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comments/comment2.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120" yWindow="-120" windowWidth="19440" windowHeight="15000" tabRatio="592" firstSheet="0" activeTab="0" autoFilterDateGrouping="1"/>
  </bookViews>
  <sheets>
    <sheet xmlns:r="http://schemas.openxmlformats.org/officeDocument/2006/relationships" name="RegimeEspecial" sheetId="1" state="visible" r:id="rId1"/>
    <sheet xmlns:r="http://schemas.openxmlformats.org/officeDocument/2006/relationships" name="Planilha1" sheetId="2" state="visible" r:id="rId2"/>
    <sheet xmlns:r="http://schemas.openxmlformats.org/officeDocument/2006/relationships" name="RelaçãoNFE" sheetId="3" state="visible" r:id="rId3"/>
    <sheet xmlns:r="http://schemas.openxmlformats.org/officeDocument/2006/relationships" name="GNRE" sheetId="4" state="visible" r:id="rId4"/>
    <sheet xmlns:r="http://schemas.openxmlformats.org/officeDocument/2006/relationships" name="Resumo" sheetId="5" state="visible" r:id="rId5"/>
    <sheet xmlns:r="http://schemas.openxmlformats.org/officeDocument/2006/relationships" name="MVA" sheetId="6" state="hidden" r:id="rId6"/>
    <sheet xmlns:r="http://schemas.openxmlformats.org/officeDocument/2006/relationships" name="Supérfluos" sheetId="7" state="hidden" r:id="rId7"/>
  </sheets>
  <definedNames>
    <definedName name="_xleta.SUM" hidden="1" xlm="1">#NAME?</definedName>
    <definedName name="MODBCICMS">"ModICMS"</definedName>
    <definedName name="UFs">#REF!</definedName>
    <definedName name="_xlnm._FilterDatabase" localSheetId="5" hidden="1">'MVA'!$A$3:$L$1501</definedName>
  </definedNames>
  <calcPr calcId="191029" fullCalcOnLoad="1"/>
</workbook>
</file>

<file path=xl/styles.xml><?xml version="1.0" encoding="utf-8"?>
<styleSheet xmlns="http://schemas.openxmlformats.org/spreadsheetml/2006/main">
  <numFmts count="10">
    <numFmt numFmtId="164" formatCode="_(&quot;R$&quot;* #,##0.00_);_(&quot;R$&quot;* \(#,##0.00\);_(&quot;R$&quot;* &quot;-&quot;??_);_(@_)"/>
    <numFmt numFmtId="165" formatCode="&quot;R$&quot;\ #,##0.00;[Red]\-\(&quot;R$&quot;\ #,##0.00\)"/>
    <numFmt numFmtId="166" formatCode="_-* #,##0_-;\-* #,##0_-;_-* &quot;-&quot;??_-;_-@_-"/>
    <numFmt numFmtId="167" formatCode="mmmm/yyyy"/>
    <numFmt numFmtId="168" formatCode="#,##0.00_);[Red]\(\-\)"/>
    <numFmt numFmtId="169" formatCode="_-* #,##0.00_-;_-* &quot;-&quot;??_-"/>
    <numFmt numFmtId="170" formatCode="_-* #,##0.0000_-"/>
    <numFmt numFmtId="171" formatCode="_-* #,##0.00_-;\-* #,##0.00_-;_-* &quot;-&quot;??_-;_-@_-"/>
    <numFmt numFmtId="172" formatCode="_-* #,##0.00_-;[Red]\-\(#,##0.00\)_-;_-* &quot;-&quot;??_-"/>
    <numFmt numFmtId="173" formatCode="0.0000"/>
  </numFmts>
  <fonts count="34">
    <font>
      <name val="Calibri"/>
      <family val="2"/>
      <color theme="1"/>
      <sz val="11"/>
      <scheme val="minor"/>
    </font>
    <font>
      <name val="Calibri"/>
      <family val="2"/>
      <color theme="1"/>
      <sz val="11"/>
      <scheme val="minor"/>
    </font>
    <font>
      <name val="Calibri"/>
      <family val="2"/>
      <b val="1"/>
      <color theme="1"/>
      <sz val="11"/>
      <scheme val="minor"/>
    </font>
    <font>
      <name val="Calibri"/>
      <family val="2"/>
      <color indexed="8"/>
      <sz val="11"/>
    </font>
    <font>
      <name val="Verdana"/>
      <family val="2"/>
      <color theme="1"/>
      <sz val="10"/>
    </font>
    <font>
      <name val="Calibri"/>
      <family val="2"/>
      <sz val="11"/>
      <scheme val="minor"/>
    </font>
    <font>
      <name val="Segoe UI"/>
      <family val="2"/>
      <b val="1"/>
      <color indexed="81"/>
      <sz val="9"/>
    </font>
    <font>
      <name val="Segoe UI"/>
      <family val="2"/>
      <color indexed="81"/>
      <sz val="9"/>
    </font>
    <font>
      <name val="Calibri"/>
      <family val="2"/>
      <b val="1"/>
      <color rgb="FFFF0000"/>
      <sz val="14"/>
      <scheme val="minor"/>
    </font>
    <font>
      <name val="Calibri"/>
      <family val="2"/>
      <b val="1"/>
      <color theme="1"/>
      <sz val="14"/>
      <scheme val="minor"/>
    </font>
    <font>
      <name val="Calibri"/>
      <family val="2"/>
      <color theme="10"/>
      <sz val="11"/>
      <u val="single"/>
      <scheme val="minor"/>
    </font>
    <font>
      <name val="Verdana"/>
      <family val="2"/>
      <i val="1"/>
      <color theme="1"/>
      <sz val="10"/>
    </font>
    <font>
      <name val="Verdana"/>
      <family val="2"/>
      <b val="1"/>
      <color theme="1"/>
      <sz val="10"/>
    </font>
    <font>
      <name val="Verdana"/>
      <family val="2"/>
      <i val="1"/>
      <color theme="1"/>
      <sz val="8"/>
    </font>
    <font>
      <name val="Verdana"/>
      <family val="2"/>
      <color rgb="FF000000"/>
      <sz val="8"/>
    </font>
    <font>
      <name val="Verdana"/>
      <family val="2"/>
      <color theme="1"/>
      <sz val="8"/>
    </font>
    <font>
      <name val="Verdana"/>
      <family val="2"/>
      <i val="1"/>
      <color rgb="FF000000"/>
      <sz val="8"/>
    </font>
    <font>
      <name val="Verdana"/>
      <family val="2"/>
      <b val="1"/>
      <color rgb="FF000000"/>
      <sz val="10"/>
    </font>
    <font>
      <name val="Verdana"/>
      <family val="2"/>
      <color rgb="FF000000"/>
      <sz val="10"/>
    </font>
    <font>
      <name val="Times New Roman"/>
      <family val="1"/>
      <color theme="1"/>
      <sz val="10"/>
    </font>
    <font>
      <name val="Verdana"/>
      <family val="2"/>
      <strike val="1"/>
      <color rgb="FF000000"/>
      <sz val="8"/>
    </font>
    <font>
      <name val="Verdana"/>
      <family val="2"/>
      <i val="1"/>
      <color rgb="FF00B050"/>
      <sz val="10"/>
    </font>
    <font>
      <name val="Verdana"/>
      <family val="2"/>
      <strike val="1"/>
      <color theme="1"/>
      <sz val="8"/>
    </font>
    <font>
      <name val="Verdana"/>
      <family val="2"/>
      <i val="1"/>
      <strike val="1"/>
      <color theme="1"/>
      <sz val="8"/>
    </font>
    <font>
      <name val="MS Mincho"/>
      <charset val="128"/>
      <family val="3"/>
      <color rgb="FF000000"/>
      <sz val="8"/>
    </font>
    <font>
      <name val="Verdana"/>
      <family val="2"/>
      <strike val="1"/>
      <color rgb="FFC5000B"/>
      <sz val="8"/>
    </font>
    <font>
      <name val="Arial"/>
      <family val="2"/>
      <color theme="1"/>
      <sz val="8"/>
    </font>
    <font>
      <name val="Verdana"/>
      <family val="2"/>
      <b val="1"/>
      <strike val="1"/>
      <color theme="1"/>
      <sz val="8"/>
    </font>
    <font>
      <name val="Arial"/>
      <family val="2"/>
      <i val="1"/>
      <color theme="1"/>
      <sz val="8"/>
    </font>
    <font>
      <name val="Verdana"/>
      <family val="2"/>
      <color theme="1"/>
      <sz val="8"/>
      <u val="single"/>
    </font>
    <font>
      <name val="Verdana"/>
      <family val="2"/>
      <sz val="8"/>
    </font>
    <font>
      <name val="Calibri"/>
      <family val="2"/>
      <color theme="1"/>
      <sz val="12"/>
      <scheme val="minor"/>
    </font>
    <font>
      <name val="Calibri"/>
      <family val="2"/>
      <b val="1"/>
      <color theme="1"/>
      <sz val="12"/>
      <scheme val="minor"/>
    </font>
    <font>
      <name val="Calibri"/>
      <family val="2"/>
      <color theme="1" tint="0.0499893185216834"/>
      <sz val="11"/>
      <scheme val="minor"/>
    </font>
  </fonts>
  <fills count="11">
    <fill>
      <patternFill/>
    </fill>
    <fill>
      <patternFill patternType="gray125"/>
    </fill>
    <fill>
      <patternFill patternType="solid">
        <fgColor theme="0"/>
        <bgColor indexed="64"/>
      </patternFill>
    </fill>
    <fill>
      <patternFill patternType="solid">
        <fgColor rgb="FFF7F7F7"/>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0" tint="-0.249977111117893"/>
        <bgColor indexed="64"/>
      </patternFill>
    </fill>
    <fill>
      <patternFill patternType="solid">
        <fgColor theme="9" tint="0.3999755851924192"/>
        <bgColor indexed="64"/>
      </patternFill>
    </fill>
    <fill>
      <patternFill patternType="solid">
        <fgColor rgb="FFFFFF00"/>
        <bgColor indexed="64"/>
      </patternFill>
    </fill>
    <fill>
      <patternFill patternType="solid">
        <fgColor theme="9" tint="0.5999938962981048"/>
        <bgColor indexed="64"/>
      </patternFill>
    </fill>
    <fill>
      <patternFill patternType="solid">
        <fgColor rgb="FF00B0F0"/>
        <bgColor indexed="64"/>
      </patternFill>
    </fill>
  </fills>
  <borders count="28">
    <border>
      <left/>
      <right/>
      <top/>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double">
        <color indexed="64"/>
      </right>
      <top style="double">
        <color indexed="64"/>
      </top>
      <bottom style="double">
        <color indexed="64"/>
      </bottom>
      <diagonal/>
    </border>
    <border>
      <left style="double">
        <color indexed="64"/>
      </left>
      <right style="medium">
        <color indexed="64"/>
      </right>
      <top style="double">
        <color indexed="64"/>
      </top>
      <bottom style="double">
        <color indexed="64"/>
      </bottom>
      <diagonal/>
    </border>
    <border>
      <left style="medium">
        <color indexed="64"/>
      </left>
      <right style="double">
        <color indexed="64"/>
      </right>
      <top style="double">
        <color indexed="64"/>
      </top>
      <bottom style="medium">
        <color indexed="64"/>
      </bottom>
      <diagonal/>
    </border>
    <border>
      <left style="double">
        <color indexed="64"/>
      </left>
      <right style="double">
        <color indexed="64"/>
      </right>
      <top style="double">
        <color indexed="64"/>
      </top>
      <bottom style="medium">
        <color indexed="64"/>
      </bottom>
      <diagonal/>
    </border>
    <border>
      <left style="double">
        <color indexed="64"/>
      </left>
      <right style="medium">
        <color indexed="64"/>
      </right>
      <top style="double">
        <color indexed="64"/>
      </top>
      <bottom style="medium">
        <color indexed="64"/>
      </bottom>
      <diagonal/>
    </border>
    <border>
      <left style="medium">
        <color indexed="64"/>
      </left>
      <right style="double">
        <color indexed="64"/>
      </right>
      <top/>
      <bottom style="double">
        <color indexed="64"/>
      </bottom>
      <diagonal/>
    </border>
    <border>
      <left style="double">
        <color indexed="64"/>
      </left>
      <right style="double">
        <color indexed="64"/>
      </right>
      <top/>
      <bottom style="double">
        <color indexed="64"/>
      </bottom>
      <diagonal/>
    </border>
    <border>
      <left style="double">
        <color indexed="64"/>
      </left>
      <right style="medium">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s>
  <cellStyleXfs count="6">
    <xf numFmtId="0" fontId="1" fillId="0" borderId="0"/>
    <xf numFmtId="43" fontId="1" fillId="0" borderId="0"/>
    <xf numFmtId="173" fontId="3" fillId="0" borderId="0"/>
    <xf numFmtId="164" fontId="1" fillId="0" borderId="0"/>
    <xf numFmtId="0" fontId="10" fillId="0" borderId="0"/>
    <xf numFmtId="0" fontId="31" fillId="0" borderId="0"/>
  </cellStyleXfs>
  <cellXfs count="195">
    <xf numFmtId="0" fontId="0" fillId="0" borderId="0" pivotButton="0" quotePrefix="0" xfId="0"/>
    <xf numFmtId="0" fontId="0" fillId="0" borderId="0" applyAlignment="1" pivotButton="0" quotePrefix="0" xfId="0">
      <alignment horizontal="left"/>
    </xf>
    <xf numFmtId="0" fontId="4" fillId="0" borderId="1" applyAlignment="1" pivotButton="0" quotePrefix="0" xfId="0">
      <alignment horizontal="left" vertical="center" wrapText="1"/>
    </xf>
    <xf numFmtId="0" fontId="4" fillId="0" borderId="2" applyAlignment="1" pivotButton="0" quotePrefix="0" xfId="0">
      <alignment horizontal="left" vertical="center" wrapText="1"/>
    </xf>
    <xf numFmtId="0" fontId="4" fillId="0" borderId="3" applyAlignment="1" pivotButton="0" quotePrefix="0" xfId="0">
      <alignment horizontal="left" vertical="center" wrapText="1"/>
    </xf>
    <xf numFmtId="43" fontId="0" fillId="0" borderId="0" pivotButton="0" quotePrefix="0" xfId="0"/>
    <xf numFmtId="0" fontId="0" fillId="3" borderId="4" applyAlignment="1" pivotButton="0" quotePrefix="0" xfId="0">
      <alignment wrapText="1"/>
    </xf>
    <xf numFmtId="0" fontId="0" fillId="3" borderId="4" applyAlignment="1" pivotButton="0" quotePrefix="0" xfId="0">
      <alignment horizontal="left" vertical="center" wrapText="1"/>
    </xf>
    <xf numFmtId="43" fontId="0" fillId="0" borderId="0" applyProtection="1" pivotButton="0" quotePrefix="0" xfId="1">
      <protection locked="0" hidden="0"/>
    </xf>
    <xf numFmtId="14" fontId="0" fillId="0" borderId="0" applyProtection="1" pivotButton="0" quotePrefix="0" xfId="0">
      <protection locked="0" hidden="0"/>
    </xf>
    <xf numFmtId="49" fontId="0" fillId="0" borderId="0" applyProtection="1" pivotButton="0" quotePrefix="0" xfId="0">
      <protection locked="0" hidden="0"/>
    </xf>
    <xf numFmtId="49" fontId="0" fillId="0" borderId="0" pivotButton="0" quotePrefix="0" xfId="0"/>
    <xf numFmtId="49" fontId="0" fillId="5" borderId="0" applyAlignment="1" pivotButton="0" quotePrefix="0" xfId="0">
      <alignment horizontal="center" vertical="center" wrapText="1"/>
    </xf>
    <xf numFmtId="14" fontId="0" fillId="5" borderId="0" applyAlignment="1" pivotButton="0" quotePrefix="0" xfId="0">
      <alignment horizontal="center" vertical="center" wrapText="1"/>
    </xf>
    <xf numFmtId="2" fontId="0" fillId="0" borderId="0" applyAlignment="1" pivotButton="0" quotePrefix="0" xfId="0">
      <alignment wrapText="1"/>
    </xf>
    <xf numFmtId="49" fontId="0" fillId="0" borderId="0" applyAlignment="1" pivotButton="0" quotePrefix="0" xfId="0">
      <alignment wrapText="1"/>
    </xf>
    <xf numFmtId="43" fontId="0" fillId="0" borderId="0" pivotButton="0" quotePrefix="0" xfId="1"/>
    <xf numFmtId="2" fontId="0" fillId="0" borderId="0" pivotButton="0" quotePrefix="0" xfId="0"/>
    <xf numFmtId="14" fontId="0" fillId="0" borderId="0" pivotButton="0" quotePrefix="0" xfId="0"/>
    <xf numFmtId="43" fontId="1" fillId="5" borderId="0" applyAlignment="1" pivotButton="0" quotePrefix="0" xfId="0">
      <alignment horizontal="center" vertical="center" wrapText="1"/>
    </xf>
    <xf numFmtId="0" fontId="1" fillId="0" borderId="0" pivotButton="0" quotePrefix="0" xfId="0"/>
    <xf numFmtId="164" fontId="0" fillId="0" borderId="0" pivotButton="0" quotePrefix="0" xfId="3"/>
    <xf numFmtId="165" fontId="0" fillId="3" borderId="10" applyAlignment="1" pivotButton="0" quotePrefix="0" xfId="1">
      <alignment wrapText="1"/>
    </xf>
    <xf numFmtId="165" fontId="0" fillId="4" borderId="10" applyAlignment="1" applyProtection="1" pivotButton="0" quotePrefix="0" xfId="1">
      <alignment vertical="center" wrapText="1"/>
      <protection locked="0" hidden="0"/>
    </xf>
    <xf numFmtId="165" fontId="0" fillId="3" borderId="13" applyAlignment="1" pivotButton="0" quotePrefix="0" xfId="1">
      <alignment wrapText="1"/>
    </xf>
    <xf numFmtId="165" fontId="0" fillId="3" borderId="16" applyAlignment="1" pivotButton="0" quotePrefix="0" xfId="1">
      <alignment wrapText="1"/>
    </xf>
    <xf numFmtId="164" fontId="2" fillId="6" borderId="19" applyAlignment="1" pivotButton="0" quotePrefix="0" xfId="3">
      <alignment horizontal="centerContinuous"/>
    </xf>
    <xf numFmtId="164" fontId="8" fillId="0" borderId="0" applyAlignment="1" pivotButton="0" quotePrefix="0" xfId="3">
      <alignment horizontal="right"/>
    </xf>
    <xf numFmtId="0" fontId="4" fillId="0" borderId="0" applyAlignment="1" pivotButton="0" quotePrefix="0" xfId="0">
      <alignment horizontal="left" vertical="center"/>
    </xf>
    <xf numFmtId="0" fontId="0" fillId="0" borderId="0" applyAlignment="1" pivotButton="0" quotePrefix="0" xfId="0">
      <alignment horizontal="right"/>
    </xf>
    <xf numFmtId="0" fontId="11" fillId="0" borderId="0" applyAlignment="1" pivotButton="0" quotePrefix="0" xfId="0">
      <alignment horizontal="left" vertical="center"/>
    </xf>
    <xf numFmtId="0" fontId="12" fillId="0" borderId="0" applyAlignment="1" pivotButton="0" quotePrefix="0" xfId="0">
      <alignment horizontal="left" vertical="center"/>
    </xf>
    <xf numFmtId="0" fontId="10" fillId="0" borderId="0" applyAlignment="1" pivotButton="0" quotePrefix="0" xfId="4">
      <alignment horizontal="left" vertical="center"/>
    </xf>
    <xf numFmtId="0" fontId="14" fillId="0" borderId="20" applyAlignment="1" pivotButton="0" quotePrefix="0" xfId="0">
      <alignment horizontal="left" vertical="center"/>
    </xf>
    <xf numFmtId="0" fontId="14" fillId="0" borderId="17" applyAlignment="1" pivotButton="0" quotePrefix="0" xfId="0">
      <alignment horizontal="left" vertical="center"/>
    </xf>
    <xf numFmtId="0" fontId="14" fillId="0" borderId="21" applyAlignment="1" pivotButton="0" quotePrefix="0" xfId="0">
      <alignment horizontal="left" vertical="center"/>
    </xf>
    <xf numFmtId="0" fontId="14" fillId="0" borderId="19" applyAlignment="1" pivotButton="0" quotePrefix="0" xfId="0">
      <alignment horizontal="left" vertical="center"/>
    </xf>
    <xf numFmtId="0" fontId="14" fillId="0" borderId="22" applyAlignment="1" pivotButton="0" quotePrefix="0" xfId="0">
      <alignment horizontal="left" vertical="center"/>
    </xf>
    <xf numFmtId="0" fontId="15" fillId="0" borderId="22" applyAlignment="1" pivotButton="0" quotePrefix="0" xfId="0">
      <alignment horizontal="left" vertical="center"/>
    </xf>
    <xf numFmtId="0" fontId="14" fillId="0" borderId="23" applyAlignment="1" pivotButton="0" quotePrefix="0" xfId="0">
      <alignment horizontal="left" vertical="center"/>
    </xf>
    <xf numFmtId="0" fontId="0" fillId="0" borderId="22" applyAlignment="1" pivotButton="0" quotePrefix="0" xfId="0">
      <alignment horizontal="left" vertical="center"/>
    </xf>
    <xf numFmtId="0" fontId="0" fillId="0" borderId="21" applyAlignment="1" pivotButton="0" quotePrefix="0" xfId="0">
      <alignment horizontal="left" vertical="center"/>
    </xf>
    <xf numFmtId="0" fontId="15" fillId="0" borderId="20" applyAlignment="1" pivotButton="0" quotePrefix="0" xfId="0">
      <alignment horizontal="left" vertical="center"/>
    </xf>
    <xf numFmtId="0" fontId="16" fillId="0" borderId="17" applyAlignment="1" pivotButton="0" quotePrefix="0" xfId="0">
      <alignment horizontal="left" vertical="center"/>
    </xf>
    <xf numFmtId="0" fontId="14" fillId="0" borderId="24" applyAlignment="1" pivotButton="0" quotePrefix="0" xfId="0">
      <alignment horizontal="left" vertical="center"/>
    </xf>
    <xf numFmtId="0" fontId="15" fillId="0" borderId="24" applyAlignment="1" pivotButton="0" quotePrefix="0" xfId="0">
      <alignment horizontal="left" vertical="center"/>
    </xf>
    <xf numFmtId="0" fontId="15" fillId="0" borderId="23" applyAlignment="1" pivotButton="0" quotePrefix="0" xfId="0">
      <alignment horizontal="left" vertical="center"/>
    </xf>
    <xf numFmtId="0" fontId="10" fillId="0" borderId="17" applyAlignment="1" pivotButton="0" quotePrefix="0" xfId="4">
      <alignment horizontal="left" vertical="center"/>
    </xf>
    <xf numFmtId="0" fontId="15" fillId="0" borderId="21" applyAlignment="1" pivotButton="0" quotePrefix="0" xfId="0">
      <alignment horizontal="left" vertical="center"/>
    </xf>
    <xf numFmtId="0" fontId="13" fillId="0" borderId="17" applyAlignment="1" pivotButton="0" quotePrefix="0" xfId="0">
      <alignment horizontal="left" vertical="center"/>
    </xf>
    <xf numFmtId="0" fontId="2" fillId="0" borderId="0" applyAlignment="1" pivotButton="0" quotePrefix="0" xfId="0">
      <alignment horizontal="left"/>
    </xf>
    <xf numFmtId="0" fontId="17" fillId="0" borderId="0" applyAlignment="1" pivotButton="0" quotePrefix="0" xfId="0">
      <alignment horizontal="left" vertical="center"/>
    </xf>
    <xf numFmtId="0" fontId="10" fillId="0" borderId="21" applyAlignment="1" pivotButton="0" quotePrefix="0" xfId="4">
      <alignment horizontal="left" vertical="center"/>
    </xf>
    <xf numFmtId="0" fontId="16" fillId="0" borderId="18" applyAlignment="1" pivotButton="0" quotePrefix="0" xfId="0">
      <alignment horizontal="left" vertical="center"/>
    </xf>
    <xf numFmtId="0" fontId="16" fillId="0" borderId="19" applyAlignment="1" pivotButton="0" quotePrefix="0" xfId="0">
      <alignment horizontal="left" vertical="center"/>
    </xf>
    <xf numFmtId="0" fontId="18" fillId="0" borderId="0" applyAlignment="1" pivotButton="0" quotePrefix="0" xfId="0">
      <alignment horizontal="left" vertical="center"/>
    </xf>
    <xf numFmtId="0" fontId="16" fillId="0" borderId="17" applyAlignment="1" pivotButton="0" quotePrefix="0" xfId="0">
      <alignment vertical="center"/>
    </xf>
    <xf numFmtId="0" fontId="16" fillId="0" borderId="18" applyAlignment="1" pivotButton="0" quotePrefix="0" xfId="0">
      <alignment vertical="center"/>
    </xf>
    <xf numFmtId="0" fontId="16" fillId="0" borderId="19" applyAlignment="1" pivotButton="0" quotePrefix="0" xfId="0">
      <alignment vertical="center"/>
    </xf>
    <xf numFmtId="0" fontId="14" fillId="0" borderId="0" applyAlignment="1" pivotButton="0" quotePrefix="0" xfId="0">
      <alignment horizontal="left" vertical="center"/>
    </xf>
    <xf numFmtId="0" fontId="15" fillId="0" borderId="0" applyAlignment="1" pivotButton="0" quotePrefix="0" xfId="0">
      <alignment horizontal="left" vertical="center"/>
    </xf>
    <xf numFmtId="0" fontId="16" fillId="0" borderId="0" applyAlignment="1" pivotButton="0" quotePrefix="0" xfId="0">
      <alignment horizontal="left" vertical="center"/>
    </xf>
    <xf numFmtId="0" fontId="0" fillId="0" borderId="0" applyAlignment="1" pivotButton="0" quotePrefix="0" xfId="0">
      <alignment horizontal="left" vertical="center"/>
    </xf>
    <xf numFmtId="0" fontId="14" fillId="0" borderId="18" applyAlignment="1" pivotButton="0" quotePrefix="0" xfId="0">
      <alignment horizontal="left" vertical="center"/>
    </xf>
    <xf numFmtId="0" fontId="19" fillId="0" borderId="25" applyAlignment="1" pivotButton="0" quotePrefix="0" xfId="0">
      <alignment horizontal="left" vertical="center"/>
    </xf>
    <xf numFmtId="0" fontId="19" fillId="0" borderId="0" applyAlignment="1" pivotButton="0" quotePrefix="0" xfId="0">
      <alignment horizontal="left" vertical="center"/>
    </xf>
    <xf numFmtId="0" fontId="13" fillId="0" borderId="6" applyAlignment="1" pivotButton="0" quotePrefix="0" xfId="0">
      <alignment horizontal="left" vertical="center"/>
    </xf>
    <xf numFmtId="0" fontId="16" fillId="0" borderId="6" applyAlignment="1" pivotButton="0" quotePrefix="0" xfId="0">
      <alignment horizontal="left" vertical="center"/>
    </xf>
    <xf numFmtId="0" fontId="16" fillId="0" borderId="7" applyAlignment="1" pivotButton="0" quotePrefix="0" xfId="0">
      <alignment horizontal="left" vertical="center"/>
    </xf>
    <xf numFmtId="0" fontId="16" fillId="0" borderId="8" applyAlignment="1" pivotButton="0" quotePrefix="0" xfId="0">
      <alignment horizontal="left" vertical="center"/>
    </xf>
    <xf numFmtId="0" fontId="15" fillId="0" borderId="8" applyAlignment="1" pivotButton="0" quotePrefix="0" xfId="0">
      <alignment horizontal="left" vertical="center"/>
    </xf>
    <xf numFmtId="0" fontId="16" fillId="0" borderId="26" applyAlignment="1" pivotButton="0" quotePrefix="0" xfId="0">
      <alignment horizontal="left" vertical="center"/>
    </xf>
    <xf numFmtId="0" fontId="16" fillId="0" borderId="27" applyAlignment="1" pivotButton="0" quotePrefix="0" xfId="0">
      <alignment horizontal="left" vertical="center"/>
    </xf>
    <xf numFmtId="0" fontId="16" fillId="0" borderId="21" applyAlignment="1" pivotButton="0" quotePrefix="0" xfId="0">
      <alignment horizontal="left" vertical="center"/>
    </xf>
    <xf numFmtId="0" fontId="16" fillId="0" borderId="20" applyAlignment="1" pivotButton="0" quotePrefix="0" xfId="0">
      <alignment horizontal="left" vertical="center"/>
    </xf>
    <xf numFmtId="0" fontId="16" fillId="0" borderId="22" applyAlignment="1" pivotButton="0" quotePrefix="0" xfId="0">
      <alignment horizontal="left" vertical="center"/>
    </xf>
    <xf numFmtId="0" fontId="16" fillId="0" borderId="23" applyAlignment="1" pivotButton="0" quotePrefix="0" xfId="0">
      <alignment horizontal="left" vertical="center"/>
    </xf>
    <xf numFmtId="0" fontId="21" fillId="0" borderId="0" applyAlignment="1" pivotButton="0" quotePrefix="0" xfId="0">
      <alignment horizontal="left" vertical="center"/>
    </xf>
    <xf numFmtId="0" fontId="15" fillId="0" borderId="17" applyAlignment="1" pivotButton="0" quotePrefix="0" xfId="0">
      <alignment horizontal="left" vertical="center"/>
    </xf>
    <xf numFmtId="0" fontId="15" fillId="0" borderId="18" applyAlignment="1" pivotButton="0" quotePrefix="0" xfId="0">
      <alignment horizontal="left" vertical="center"/>
    </xf>
    <xf numFmtId="0" fontId="15" fillId="0" borderId="19" applyAlignment="1" pivotButton="0" quotePrefix="0" xfId="0">
      <alignment horizontal="left" vertical="center"/>
    </xf>
    <xf numFmtId="0" fontId="15" fillId="0" borderId="6" applyAlignment="1" pivotButton="0" quotePrefix="0" xfId="0">
      <alignment horizontal="left" vertical="center"/>
    </xf>
    <xf numFmtId="0" fontId="15" fillId="0" borderId="26" applyAlignment="1" pivotButton="0" quotePrefix="0" xfId="0">
      <alignment horizontal="left" vertical="center"/>
    </xf>
    <xf numFmtId="0" fontId="15" fillId="0" borderId="7" applyAlignment="1" pivotButton="0" quotePrefix="0" xfId="0">
      <alignment horizontal="left" vertical="center"/>
    </xf>
    <xf numFmtId="0" fontId="19" fillId="0" borderId="6" applyAlignment="1" pivotButton="0" quotePrefix="0" xfId="0">
      <alignment horizontal="left" vertical="center"/>
    </xf>
    <xf numFmtId="0" fontId="15" fillId="0" borderId="27" applyAlignment="1" pivotButton="0" quotePrefix="0" xfId="0">
      <alignment horizontal="left" vertical="center"/>
    </xf>
    <xf numFmtId="0" fontId="13" fillId="0" borderId="20" applyAlignment="1" pivotButton="0" quotePrefix="0" xfId="0">
      <alignment horizontal="left" vertical="center"/>
    </xf>
    <xf numFmtId="0" fontId="13" fillId="0" borderId="7" applyAlignment="1" pivotButton="0" quotePrefix="0" xfId="0">
      <alignment horizontal="left" vertical="center"/>
    </xf>
    <xf numFmtId="0" fontId="13" fillId="0" borderId="8" applyAlignment="1" pivotButton="0" quotePrefix="0" xfId="0">
      <alignment horizontal="left" vertical="center"/>
    </xf>
    <xf numFmtId="0" fontId="13" fillId="0" borderId="23" applyAlignment="1" pivotButton="0" quotePrefix="0" xfId="0">
      <alignment horizontal="left" vertical="center"/>
    </xf>
    <xf numFmtId="0" fontId="13" fillId="0" borderId="26" applyAlignment="1" pivotButton="0" quotePrefix="0" xfId="0">
      <alignment horizontal="left" vertical="center"/>
    </xf>
    <xf numFmtId="0" fontId="13" fillId="0" borderId="27" applyAlignment="1" pivotButton="0" quotePrefix="0" xfId="0">
      <alignment horizontal="left" vertical="center"/>
    </xf>
    <xf numFmtId="0" fontId="13" fillId="0" borderId="21" applyAlignment="1" pivotButton="0" quotePrefix="0" xfId="0">
      <alignment horizontal="left" vertical="center"/>
    </xf>
    <xf numFmtId="0" fontId="0" fillId="0" borderId="22" applyAlignment="1" pivotButton="0" quotePrefix="0" xfId="0">
      <alignment horizontal="left" vertical="top"/>
    </xf>
    <xf numFmtId="0" fontId="0" fillId="0" borderId="21" applyAlignment="1" pivotButton="0" quotePrefix="0" xfId="0">
      <alignment horizontal="left" vertical="top"/>
    </xf>
    <xf numFmtId="0" fontId="10" fillId="0" borderId="18" applyAlignment="1" pivotButton="0" quotePrefix="0" xfId="4">
      <alignment horizontal="left" vertical="center"/>
    </xf>
    <xf numFmtId="0" fontId="10" fillId="0" borderId="19" applyAlignment="1" pivotButton="0" quotePrefix="0" xfId="4">
      <alignment horizontal="left" vertical="center"/>
    </xf>
    <xf numFmtId="0" fontId="13" fillId="0" borderId="22" applyAlignment="1" pivotButton="0" quotePrefix="0" xfId="0">
      <alignment horizontal="left" vertical="center"/>
    </xf>
    <xf numFmtId="0" fontId="14" fillId="0" borderId="6" applyAlignment="1" pivotButton="0" quotePrefix="0" xfId="0">
      <alignment horizontal="left" vertical="center"/>
    </xf>
    <xf numFmtId="0" fontId="14" fillId="0" borderId="26" applyAlignment="1" pivotButton="0" quotePrefix="0" xfId="0">
      <alignment horizontal="left" vertical="center"/>
    </xf>
    <xf numFmtId="0" fontId="15" fillId="0" borderId="25" applyAlignment="1" pivotButton="0" quotePrefix="0" xfId="0">
      <alignment horizontal="left" vertical="center"/>
    </xf>
    <xf numFmtId="0" fontId="14" fillId="0" borderId="25" applyAlignment="1" pivotButton="0" quotePrefix="0" xfId="0">
      <alignment horizontal="left" vertical="center"/>
    </xf>
    <xf numFmtId="0" fontId="15" fillId="0" borderId="5" applyAlignment="1" pivotButton="0" quotePrefix="0" xfId="0">
      <alignment horizontal="left" vertical="center"/>
    </xf>
    <xf numFmtId="0" fontId="10" fillId="0" borderId="6" applyAlignment="1" pivotButton="0" quotePrefix="0" xfId="4">
      <alignment horizontal="left" vertical="center"/>
    </xf>
    <xf numFmtId="0" fontId="0" fillId="0" borderId="24" applyAlignment="1" pivotButton="0" quotePrefix="0" xfId="0">
      <alignment horizontal="left" vertical="center"/>
    </xf>
    <xf numFmtId="0" fontId="0" fillId="0" borderId="23" applyAlignment="1" pivotButton="0" quotePrefix="0" xfId="0">
      <alignment horizontal="left" vertical="center"/>
    </xf>
    <xf numFmtId="0" fontId="14" fillId="0" borderId="5" applyAlignment="1" pivotButton="0" quotePrefix="0" xfId="0">
      <alignment horizontal="left" vertical="center"/>
    </xf>
    <xf numFmtId="0" fontId="13" fillId="0" borderId="24" applyAlignment="1" pivotButton="0" quotePrefix="0" xfId="0">
      <alignment horizontal="left" vertical="center"/>
    </xf>
    <xf numFmtId="0" fontId="26" fillId="0" borderId="23" applyAlignment="1" pivotButton="0" quotePrefix="0" xfId="0">
      <alignment horizontal="left" vertical="center"/>
    </xf>
    <xf numFmtId="0" fontId="26" fillId="0" borderId="21" applyAlignment="1" pivotButton="0" quotePrefix="0" xfId="0">
      <alignment horizontal="left" vertical="center"/>
    </xf>
    <xf numFmtId="0" fontId="28" fillId="0" borderId="21" applyAlignment="1" pivotButton="0" quotePrefix="0" xfId="0">
      <alignment horizontal="left" vertical="center"/>
    </xf>
    <xf numFmtId="0" fontId="26" fillId="0" borderId="20" applyAlignment="1" pivotButton="0" quotePrefix="0" xfId="0">
      <alignment horizontal="left" vertical="center"/>
    </xf>
    <xf numFmtId="0" fontId="30" fillId="0" borderId="20" applyAlignment="1" pivotButton="0" quotePrefix="0" xfId="0">
      <alignment horizontal="left" vertical="center"/>
    </xf>
    <xf numFmtId="0" fontId="10" fillId="0" borderId="0" applyAlignment="1" pivotButton="0" quotePrefix="0" xfId="4">
      <alignment horizontal="left" vertical="center"/>
    </xf>
    <xf numFmtId="14" fontId="0" fillId="0" borderId="0" applyAlignment="1" pivotButton="0" quotePrefix="0" xfId="0">
      <alignment horizontal="left"/>
    </xf>
    <xf numFmtId="0" fontId="2" fillId="0" borderId="0" pivotButton="0" quotePrefix="0" xfId="0"/>
    <xf numFmtId="0" fontId="2" fillId="6" borderId="17" applyAlignment="1" pivotButton="0" quotePrefix="0" xfId="0">
      <alignment horizontal="centerContinuous"/>
    </xf>
    <xf numFmtId="0" fontId="9" fillId="6" borderId="18" applyAlignment="1" pivotButton="0" quotePrefix="0" xfId="0">
      <alignment horizontal="center"/>
    </xf>
    <xf numFmtId="0" fontId="0" fillId="3" borderId="14" applyAlignment="1" pivotButton="0" quotePrefix="0" xfId="0">
      <alignment horizontal="center" wrapText="1"/>
    </xf>
    <xf numFmtId="0" fontId="0" fillId="3" borderId="15" applyAlignment="1" pivotButton="0" quotePrefix="0" xfId="0">
      <alignment wrapText="1"/>
    </xf>
    <xf numFmtId="0" fontId="0" fillId="3" borderId="9" applyAlignment="1" pivotButton="0" quotePrefix="0" xfId="0">
      <alignment horizontal="center" wrapText="1"/>
    </xf>
    <xf numFmtId="0" fontId="0" fillId="3" borderId="9" applyAlignment="1" pivotButton="0" quotePrefix="0" xfId="0">
      <alignment horizontal="center" vertical="center" wrapText="1"/>
    </xf>
    <xf numFmtId="0" fontId="5" fillId="3" borderId="11" applyAlignment="1" pivotButton="0" quotePrefix="0" xfId="0">
      <alignment horizontal="center" wrapText="1"/>
    </xf>
    <xf numFmtId="0" fontId="5" fillId="3" borderId="12" applyAlignment="1" pivotButton="0" quotePrefix="0" xfId="0">
      <alignment horizontal="left" wrapText="1"/>
    </xf>
    <xf numFmtId="166" fontId="0" fillId="0" borderId="0" applyAlignment="1" pivotButton="0" quotePrefix="0" xfId="1">
      <alignment horizontal="center"/>
    </xf>
    <xf numFmtId="167" fontId="0" fillId="0" borderId="0" pivotButton="0" quotePrefix="0" xfId="0"/>
    <xf numFmtId="164" fontId="0" fillId="0" borderId="0" pivotButton="0" quotePrefix="0" xfId="3"/>
    <xf numFmtId="0" fontId="0" fillId="7" borderId="0" pivotButton="0" quotePrefix="0" xfId="0"/>
    <xf numFmtId="167" fontId="2" fillId="7" borderId="0" pivotButton="0" quotePrefix="0" xfId="0"/>
    <xf numFmtId="164" fontId="0" fillId="7" borderId="0" pivotButton="0" quotePrefix="0" xfId="3"/>
    <xf numFmtId="168" fontId="0" fillId="0" borderId="0" pivotButton="0" quotePrefix="0" xfId="0"/>
    <xf numFmtId="169" fontId="0" fillId="0" borderId="0" pivotButton="0" quotePrefix="0" xfId="0"/>
    <xf numFmtId="170" fontId="0" fillId="0" borderId="0" pivotButton="0" quotePrefix="0" xfId="0"/>
    <xf numFmtId="0" fontId="0" fillId="2" borderId="0" applyAlignment="1" applyProtection="1" pivotButton="0" quotePrefix="0" xfId="0">
      <alignment horizontal="center" vertical="center" wrapText="1"/>
      <protection locked="0" hidden="0"/>
    </xf>
    <xf numFmtId="0" fontId="0" fillId="0" borderId="0" applyAlignment="1" pivotButton="0" quotePrefix="0" xfId="0">
      <alignment horizontal="center"/>
    </xf>
    <xf numFmtId="1" fontId="0" fillId="0" borderId="0" pivotButton="0" quotePrefix="0" xfId="0"/>
    <xf numFmtId="43" fontId="0" fillId="0" borderId="0" pivotButton="0" quotePrefix="0" xfId="1"/>
    <xf numFmtId="0" fontId="32" fillId="0" borderId="0" pivotButton="0" quotePrefix="0" xfId="0"/>
    <xf numFmtId="167" fontId="32" fillId="0" borderId="0" applyAlignment="1" pivotButton="0" quotePrefix="0" xfId="0">
      <alignment horizontal="left"/>
    </xf>
    <xf numFmtId="43" fontId="32" fillId="2" borderId="0" applyAlignment="1" pivotButton="0" quotePrefix="0" xfId="1">
      <alignment horizontal="right" vertical="center"/>
    </xf>
    <xf numFmtId="43" fontId="32" fillId="2" borderId="0" applyAlignment="1" pivotButton="0" quotePrefix="0" xfId="1">
      <alignment horizontal="left" vertical="center"/>
    </xf>
    <xf numFmtId="0" fontId="32" fillId="2" borderId="0" applyAlignment="1" pivotButton="0" quotePrefix="0" xfId="0">
      <alignment horizontal="right" vertical="center"/>
    </xf>
    <xf numFmtId="43" fontId="32" fillId="2" borderId="0" applyAlignment="1" applyProtection="1" pivotButton="0" quotePrefix="0" xfId="1">
      <alignment vertical="center"/>
      <protection locked="0" hidden="0"/>
    </xf>
    <xf numFmtId="0" fontId="0" fillId="0" borderId="0" pivotButton="0" quotePrefix="1" xfId="0"/>
    <xf numFmtId="168" fontId="2" fillId="0" borderId="0" pivotButton="0" quotePrefix="0" xfId="0"/>
    <xf numFmtId="1" fontId="2" fillId="0" borderId="0" pivotButton="0" quotePrefix="0" xfId="0"/>
    <xf numFmtId="49" fontId="0" fillId="8" borderId="0" pivotButton="0" quotePrefix="0" xfId="0"/>
    <xf numFmtId="171" fontId="0" fillId="0" borderId="0" pivotButton="0" quotePrefix="0" xfId="0"/>
    <xf numFmtId="0" fontId="0" fillId="9" borderId="0" pivotButton="0" quotePrefix="0" xfId="0"/>
    <xf numFmtId="14" fontId="0" fillId="9" borderId="0" pivotButton="0" quotePrefix="0" xfId="0"/>
    <xf numFmtId="43" fontId="0" fillId="9" borderId="0" pivotButton="0" quotePrefix="0" xfId="1"/>
    <xf numFmtId="4" fontId="0" fillId="9" borderId="0" pivotButton="0" quotePrefix="0" xfId="0"/>
    <xf numFmtId="0" fontId="0" fillId="10" borderId="0" pivotButton="0" quotePrefix="0" xfId="0"/>
    <xf numFmtId="19" fontId="0" fillId="0" borderId="0" pivotButton="0" quotePrefix="0" xfId="0"/>
    <xf numFmtId="172" fontId="0" fillId="0" borderId="0" pivotButton="0" quotePrefix="0" xfId="0"/>
    <xf numFmtId="168" fontId="5" fillId="0" borderId="0" pivotButton="0" quotePrefix="0" xfId="0"/>
    <xf numFmtId="0" fontId="5" fillId="0" borderId="0" pivotButton="0" quotePrefix="0" xfId="0"/>
    <xf numFmtId="14" fontId="5" fillId="0" borderId="0" pivotButton="0" quotePrefix="0" xfId="0"/>
    <xf numFmtId="49" fontId="5" fillId="0" borderId="0" pivotButton="0" quotePrefix="0" xfId="0"/>
    <xf numFmtId="169" fontId="5" fillId="0" borderId="0" pivotButton="0" quotePrefix="0" xfId="0"/>
    <xf numFmtId="170" fontId="5" fillId="0" borderId="0" pivotButton="0" quotePrefix="0" xfId="0"/>
    <xf numFmtId="172" fontId="5" fillId="0" borderId="0" pivotButton="0" quotePrefix="0" xfId="0"/>
    <xf numFmtId="168" fontId="33" fillId="0" borderId="0" pivotButton="0" quotePrefix="0" xfId="0"/>
    <xf numFmtId="0" fontId="14" fillId="0" borderId="20" applyAlignment="1" pivotButton="0" quotePrefix="0" xfId="0">
      <alignment horizontal="left" vertical="center"/>
    </xf>
    <xf numFmtId="0" fontId="14" fillId="0" borderId="23" applyAlignment="1" pivotButton="0" quotePrefix="0" xfId="0">
      <alignment horizontal="left" vertical="center"/>
    </xf>
    <xf numFmtId="0" fontId="14" fillId="0" borderId="17" applyAlignment="1" pivotButton="0" quotePrefix="0" xfId="0">
      <alignment horizontal="left" vertical="center"/>
    </xf>
    <xf numFmtId="0" fontId="14" fillId="0" borderId="18" applyAlignment="1" pivotButton="0" quotePrefix="0" xfId="0">
      <alignment horizontal="left" vertical="center"/>
    </xf>
    <xf numFmtId="0" fontId="14" fillId="0" borderId="19" applyAlignment="1" pivotButton="0" quotePrefix="0" xfId="0">
      <alignment horizontal="left" vertical="center"/>
    </xf>
    <xf numFmtId="43" fontId="32" fillId="2" borderId="0" applyAlignment="1" pivotButton="0" quotePrefix="0" xfId="1">
      <alignment horizontal="right" vertical="center"/>
    </xf>
    <xf numFmtId="43" fontId="32" fillId="2" borderId="0" applyAlignment="1" pivotButton="0" quotePrefix="0" xfId="1">
      <alignment horizontal="left" vertical="center"/>
    </xf>
    <xf numFmtId="43" fontId="32" fillId="2" borderId="0" applyAlignment="1" applyProtection="1" pivotButton="0" quotePrefix="0" xfId="1">
      <alignment vertical="center"/>
      <protection locked="0" hidden="0"/>
    </xf>
    <xf numFmtId="168" fontId="2"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172" fontId="0" fillId="0" borderId="0" pivotButton="0" quotePrefix="0" xfId="0"/>
    <xf numFmtId="168" fontId="5" fillId="0" borderId="0" pivotButton="0" quotePrefix="0" xfId="0"/>
    <xf numFmtId="168" fontId="33" fillId="0" borderId="0" pivotButton="0" quotePrefix="0" xfId="0"/>
    <xf numFmtId="169" fontId="5" fillId="0" borderId="0" pivotButton="0" quotePrefix="0" xfId="0"/>
    <xf numFmtId="170" fontId="5" fillId="0" borderId="0" pivotButton="0" quotePrefix="0" xfId="0"/>
    <xf numFmtId="172" fontId="5" fillId="0" borderId="0" pivotButton="0" quotePrefix="0" xfId="0"/>
    <xf numFmtId="171" fontId="0" fillId="0" borderId="0" pivotButton="0" quotePrefix="0" xfId="0"/>
    <xf numFmtId="43" fontId="0" fillId="0" borderId="0" pivotButton="0" quotePrefix="0" xfId="1"/>
    <xf numFmtId="43" fontId="0" fillId="0" borderId="0" pivotButton="0" quotePrefix="0" xfId="0"/>
    <xf numFmtId="43" fontId="0" fillId="9" borderId="0" pivotButton="0" quotePrefix="0" xfId="1"/>
    <xf numFmtId="43" fontId="1" fillId="5" borderId="0" applyAlignment="1" pivotButton="0" quotePrefix="0" xfId="0">
      <alignment horizontal="center" vertical="center" wrapText="1"/>
    </xf>
    <xf numFmtId="43" fontId="0" fillId="0" borderId="0" applyProtection="1" pivotButton="0" quotePrefix="0" xfId="1">
      <protection locked="0" hidden="0"/>
    </xf>
    <xf numFmtId="165" fontId="0" fillId="3" borderId="16" applyAlignment="1" pivotButton="0" quotePrefix="0" xfId="1">
      <alignment wrapText="1"/>
    </xf>
    <xf numFmtId="165" fontId="0" fillId="3" borderId="10" applyAlignment="1" pivotButton="0" quotePrefix="0" xfId="1">
      <alignment wrapText="1"/>
    </xf>
    <xf numFmtId="165" fontId="0" fillId="4" borderId="10" applyAlignment="1" applyProtection="1" pivotButton="0" quotePrefix="0" xfId="1">
      <alignment vertical="center" wrapText="1"/>
      <protection locked="0" hidden="0"/>
    </xf>
    <xf numFmtId="165" fontId="0" fillId="3" borderId="13" applyAlignment="1" pivotButton="0" quotePrefix="0" xfId="1">
      <alignment wrapText="1"/>
    </xf>
    <xf numFmtId="166" fontId="0" fillId="0" borderId="0" applyAlignment="1" pivotButton="0" quotePrefix="0" xfId="1">
      <alignment horizontal="center"/>
    </xf>
    <xf numFmtId="0" fontId="0" fillId="0" borderId="18" pivotButton="0" quotePrefix="0" xfId="0"/>
    <xf numFmtId="0" fontId="0" fillId="0" borderId="19" pivotButton="0" quotePrefix="0" xfId="0"/>
    <xf numFmtId="0" fontId="0" fillId="0" borderId="23" pivotButton="0" quotePrefix="0" xfId="0"/>
  </cellXfs>
  <cellStyles count="6">
    <cellStyle name="Normal" xfId="0" builtinId="0"/>
    <cellStyle name="Vírgula" xfId="1" builtinId="3"/>
    <cellStyle name="Separador de milhares 2" xfId="2"/>
    <cellStyle name="Moeda" xfId="3" builtinId="4"/>
    <cellStyle name="Hiperlink" xfId="4" builtinId="8"/>
    <cellStyle name="Normal 2" xfId="5"/>
  </cellStyles>
  <dxfs count="64">
    <dxf>
      <font>
        <name val="Verdana"/>
        <strike val="0"/>
        <outline val="0"/>
        <shadow val="0"/>
        <condense val="0"/>
        <color theme="1"/>
        <extend val="0"/>
        <sz val="10"/>
        <vertAlign val="baseline"/>
      </font>
      <alignment horizontal="left" vertical="center" wrapText="1"/>
      <border>
        <left/>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name val="Verdana"/>
        <strike val="0"/>
        <outline val="0"/>
        <shadow val="0"/>
        <condense val="0"/>
        <color theme="1"/>
        <extend val="0"/>
        <sz val="10"/>
        <vertAlign val="baseline"/>
      </font>
      <alignment horizontal="left" vertical="center" wrapText="1"/>
    </dxf>
    <dxf>
      <border outline="0">
        <bottom style="thin">
          <color rgb="FF000000"/>
        </bottom>
      </border>
    </dxf>
    <dxf>
      <font>
        <name val="Verdana"/>
        <strike val="0"/>
        <outline val="0"/>
        <shadow val="0"/>
        <condense val="0"/>
        <color theme="1"/>
        <extend val="0"/>
        <sz val="10"/>
        <vertAlign val="baseline"/>
      </font>
      <alignment horizontal="left" vertical="center" wrapText="1"/>
    </dxf>
    <dxf>
      <numFmt numFmtId="165" formatCode="_(* #,##0.00_);_(* \(#,##0.00\);_(* &quot;-&quot;??_);_(@_)"/>
    </dxf>
    <dxf>
      <numFmt numFmtId="165" formatCode="_(* #,##0.00_);_(* \(#,##0.00\);_(* &quot;-&quot;??_);_(@_)"/>
      <protection locked="1" hidden="0"/>
    </dxf>
    <dxf>
      <numFmt numFmtId="2" formatCode="0.00"/>
      <protection locked="1" hidden="0"/>
    </dxf>
    <dxf>
      <numFmt numFmtId="165" formatCode="_(* #,##0.00_);_(* \(#,##0.00\);_(* &quot;-&quot;??_);_(@_)"/>
    </dxf>
    <dxf>
      <font>
        <name val="Calibri"/>
        <strike val="0"/>
        <outline val="0"/>
        <shadow val="0"/>
        <condense val="0"/>
        <color theme="1"/>
        <extend val="0"/>
        <sz val="11"/>
        <vertAlign val="baseline"/>
        <scheme val="minor"/>
      </font>
      <protection locked="1" hidden="0"/>
    </dxf>
    <dxf>
      <numFmt numFmtId="30" formatCode="@"/>
      <protection locked="1" hidden="0"/>
    </dxf>
    <dxf>
      <numFmt numFmtId="30" formatCode="@"/>
      <protection locked="1" hidden="0"/>
    </dxf>
    <dxf>
      <numFmt numFmtId="30" formatCode="@"/>
      <protection locked="1" hidden="0"/>
    </dxf>
    <dxf>
      <numFmt numFmtId="30" formatCode="@"/>
      <protection locked="1" hidden="0"/>
    </dxf>
    <dxf>
      <numFmt numFmtId="30" formatCode="@"/>
      <protection locked="1" hidden="0"/>
    </dxf>
    <dxf>
      <numFmt numFmtId="174" formatCode="m/d/yyyy"/>
      <protection locked="1" hidden="0"/>
    </dxf>
    <dxf>
      <font>
        <name val="Calibri"/>
        <strike val="0"/>
        <outline val="0"/>
        <shadow val="0"/>
        <condense val="0"/>
        <color theme="1"/>
        <extend val="0"/>
        <sz val="11"/>
        <vertAlign val="baseline"/>
        <scheme val="minor"/>
      </font>
    </dxf>
    <dxf>
      <font>
        <name val="Calibri"/>
        <strike val="0"/>
        <outline val="0"/>
        <shadow val="0"/>
        <condense val="0"/>
        <color theme="1"/>
        <extend val="0"/>
        <sz val="11"/>
        <vertAlign val="baseline"/>
        <scheme val="minor"/>
      </font>
      <protection locked="1" hidden="0"/>
    </dxf>
    <dxf>
      <protection locked="1" hidden="0"/>
    </dxf>
    <dxf>
      <font>
        <b val="1"/>
        <i val="1"/>
      </font>
      <fill>
        <patternFill>
          <bgColor theme="7" tint="-0.249946592608417"/>
        </patternFill>
      </fill>
    </dxf>
    <dxf>
      <font>
        <b val="1"/>
        <i val="1"/>
      </font>
      <fill>
        <patternFill>
          <bgColor theme="7" tint="-0.249946592608417"/>
        </patternFill>
      </fill>
    </dxf>
    <dxf>
      <numFmt numFmtId="170" formatCode="#,##0.00_);[Red]\(\-\)"/>
    </dxf>
    <dxf>
      <numFmt numFmtId="170" formatCode="#,##0.00_);[Red]\(\-\)"/>
    </dxf>
    <dxf>
      <numFmt numFmtId="170" formatCode="#,##0.00_);[Red]\(\-\)"/>
    </dxf>
    <dxf>
      <numFmt numFmtId="170" formatCode="#,##0.00_);[Red]\(\-\)"/>
    </dxf>
    <dxf>
      <numFmt numFmtId="170" formatCode="#,##0.00_);[Red]\(\-\)"/>
    </dxf>
    <dxf>
      <numFmt numFmtId="30" formatCode="@"/>
    </dxf>
    <dxf>
      <numFmt numFmtId="19" formatCode="dd/mm/yyyy"/>
    </dxf>
    <dxf>
      <numFmt numFmtId="170" formatCode="#,##0.00_);[Red]\(\-\)"/>
    </dxf>
    <dxf>
      <numFmt numFmtId="170" formatCode="#,##0.00_);[Red]\(\-\)"/>
    </dxf>
    <dxf>
      <numFmt numFmtId="170" formatCode="#,##0.00_);[Red]\(\-\)"/>
    </dxf>
    <dxf>
      <numFmt numFmtId="170" formatCode="#,##0.00_);[Red]\(\-\)"/>
    </dxf>
    <dxf>
      <numFmt numFmtId="170" formatCode="#,##0.00_);[Red]\(\-\)"/>
    </dxf>
    <dxf>
      <numFmt numFmtId="170" formatCode="#,##0.00_);[Red]\(\-\)"/>
    </dxf>
    <dxf>
      <numFmt numFmtId="170" formatCode="#,##0.00_);[Red]\(\-\)"/>
    </dxf>
    <dxf>
      <numFmt numFmtId="170" formatCode="#,##0.00_);[Red]\(\-\)"/>
      <fill>
        <patternFill>
          <fgColor indexed="64"/>
          <bgColor auto="1"/>
        </patternFill>
      </fill>
    </dxf>
    <dxf>
      <numFmt numFmtId="170" formatCode="#,##0.00_);[Red]\(\-\)"/>
    </dxf>
    <dxf>
      <numFmt numFmtId="170" formatCode="#,##0.00_);[Red]\(\-\)"/>
    </dxf>
    <dxf>
      <numFmt numFmtId="171" formatCode="_-* #,##0.0000_-"/>
    </dxf>
    <dxf>
      <numFmt numFmtId="172" formatCode="_-* #,##0.00_-;_-* &quot;-&quot;??_-"/>
    </dxf>
    <dxf>
      <numFmt numFmtId="170" formatCode="#,##0.00_);[Red]\(\-\)"/>
    </dxf>
    <dxf>
      <numFmt numFmtId="170" formatCode="#,##0.00_);[Red]\(\-\)"/>
    </dxf>
    <dxf>
      <numFmt numFmtId="170" formatCode="#,##0.00_);[Red]\(\-\)"/>
    </dxf>
    <dxf>
      <numFmt numFmtId="170" formatCode="#,##0.00_);[Red]\(\-\)"/>
    </dxf>
    <dxf>
      <numFmt numFmtId="170" formatCode="#,##0.00_);[Red]\(\-\)"/>
    </dxf>
    <dxf>
      <numFmt numFmtId="170" formatCode="#,##0.00_);[Red]\(\-\)"/>
    </dxf>
    <dxf>
      <numFmt numFmtId="170" formatCode="#,##0.00_);[Red]\(\-\)"/>
    </dxf>
    <dxf>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30" formatCode="@"/>
      <fill>
        <patternFill>
          <fgColor indexed="64"/>
          <bgColor auto="1"/>
        </patternFill>
      </fill>
    </dxf>
    <dxf>
      <numFmt numFmtId="30" formatCode="@"/>
      <fill>
        <patternFill>
          <fgColor indexed="64"/>
          <bgColor auto="1"/>
        </patternFill>
      </fill>
    </dxf>
    <dxf>
      <numFmt numFmtId="30" formatCode="@"/>
      <fill>
        <patternFill>
          <fgColor indexed="64"/>
          <bgColor auto="1"/>
        </patternFill>
      </fill>
    </dxf>
    <dxf>
      <fill>
        <patternFill>
          <fgColor indexed="64"/>
          <bgColor auto="1"/>
        </patternFill>
      </fill>
    </dxf>
    <dxf>
      <numFmt numFmtId="30" formatCode="@"/>
      <fill>
        <patternFill>
          <fgColor indexed="64"/>
          <bgColor auto="1"/>
        </patternFill>
      </fill>
    </dxf>
    <dxf>
      <fill>
        <patternFill>
          <fgColor indexed="64"/>
          <bgColor auto="1"/>
        </patternFill>
      </fill>
    </dxf>
    <dxf>
      <fill>
        <patternFill>
          <fgColor indexed="64"/>
          <bgColor auto="1"/>
        </patternFill>
      </fill>
    </dxf>
    <dxf>
      <numFmt numFmtId="30" formatCode="@"/>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font>
        <b val="1"/>
        <strike val="0"/>
      </font>
      <fill>
        <patternFill>
          <bgColor auto="1"/>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omments/comment1.xml><?xml version="1.0" encoding="utf-8"?>
<comments xmlns="http://schemas.openxmlformats.org/spreadsheetml/2006/main">
  <authors>
    <author>luzemir barbosa</author>
    <author>Contili</author>
  </authors>
  <commentList>
    <comment ref="AA4" authorId="0" shapeId="0">
      <text>
        <t>Legenda
0 = PMC
1 = Negativo
2 = Positivo
3 = Neutro
4 = MVA
5= Trib. Normal</t>
      </text>
    </comment>
    <comment ref="Z5" authorId="1" shapeId="0">
      <text>
        <t>Contili:
Produto veio do fornecedor como isento, mas é sujeito a st, por isso não possui crédito de ICMS.</t>
      </text>
    </comment>
  </commentList>
</comments>
</file>

<file path=xl/comments/comment2.xml><?xml version="1.0" encoding="utf-8"?>
<comments xmlns="http://schemas.openxmlformats.org/spreadsheetml/2006/main">
  <authors>
    <author>Gigliola Lilian Decarli</author>
  </authors>
  <commentList>
    <comment ref="B10" authorId="0" shapeId="0">
      <text>
        <t>Gigliola Lilian Decarli:
Soma do ICMS ST apurado nas abas CALC. ICMS ST e CRED. OUTORG. E CÁLC. ICMS ST OUTROS PRODUTOS</t>
      </text>
    </comment>
  </commentList>
</comments>
</file>

<file path=xl/tables/table1.xml><?xml version="1.0" encoding="utf-8"?>
<table xmlns="http://schemas.openxmlformats.org/spreadsheetml/2006/main" id="1" name="tabRegEsp" displayName="tabRegEsp" ref="A4:AP5" headerRowCount="1">
  <tableColumns count="42">
    <tableColumn id="1" name="ANO"/>
    <tableColumn id="2" name="MÊS"/>
    <tableColumn id="3" name="DATA"/>
    <tableColumn id="4" name="CHAVE DE ACESSO"/>
    <tableColumn id="5" name="Nº NF"/>
    <tableColumn id="6" name="RAZÃO REMTE"/>
    <tableColumn id="7" name="CNPJ REMTE"/>
    <tableColumn id="8" name="UF REMTE"/>
    <tableColumn id="9" name="CEST"/>
    <tableColumn id="10" name="COD NCM"/>
    <tableColumn id="11" name="COD EAN GTIN TRIB"/>
    <tableColumn id="12" name="COD CFOP"/>
    <tableColumn id="13" name="COD PRODUTO NF ORIGEM"/>
    <tableColumn id="14" name="Nº ITEM"/>
    <tableColumn id="15" name="DESCRICAO PRODUTO"/>
    <tableColumn id="16" name="UNID."/>
    <tableColumn id="17" name="QTDE"/>
    <tableColumn id="18" name="VLR UNIT TRIB."/>
    <tableColumn id="19" name="FRETE"/>
    <tableColumn id="20" name="SEGURO/DESP. ACESS."/>
    <tableColumn id="21" name="IPI"/>
    <tableColumn id="22" name="DESCONTO"/>
    <tableColumn id="23" name="BC ICMS (ORIGEM)"/>
    <tableColumn id="24" name="VLR ICMS (ORIGEM)"/>
    <tableColumn id="25" name="PMC"/>
    <tableColumn id="26" name="MVA"/>
    <tableColumn id="27" name="MOD BC ICMS ST"/>
    <tableColumn id="28" name="BC ICMS ST RETIDO"/>
    <tableColumn id="29" name="VLR ICMS ST RETIDO"/>
    <tableColumn id="30" name="BC ICMS ST APURADO"/>
    <tableColumn id="31" name="Aliquota Interna"/>
    <tableColumn id="32" name="VLR ICMS ST APURADO"/>
    <tableColumn id="33" name="CRÉDITO OUTORGADO É DEVIDO? (S ou N)"/>
    <tableColumn id="34" name="CALC. 1"/>
    <tableColumn id="35" name="CALC. 2"/>
    <tableColumn id="36" name="CRÉD. OUTORG."/>
    <tableColumn id="37" name="Valor ICMS a Pagar"/>
    <tableColumn id="38" name="Coluna1"/>
    <tableColumn id="39" name="Coluna3"/>
    <tableColumn id="40" name="PMC CMED"/>
    <tableColumn id="41" name="Diferença PMC"/>
    <tableColumn id="42" name="ALÍQUOTA DO PRODUTO"/>
  </tableColumns>
  <tableStyleInfo name="TableStyleMedium23" showFirstColumn="0" showLastColumn="0" showRowStripes="1" showColumnStripes="1"/>
</table>
</file>

<file path=xl/tables/table2.xml><?xml version="1.0" encoding="utf-8"?>
<table xmlns="http://schemas.openxmlformats.org/spreadsheetml/2006/main" id="2" name="tabRelNFE" displayName="tabRelNFE" ref="A1:I2" headerRowCount="1" totalsRowShown="0">
  <autoFilter ref="A1:I2">
    <filterColumn colId="7" hiddenButton="0" showButton="1">
      <customFilters>
        <customFilter val=" " operator="notEqual"/>
      </customFilters>
    </filterColumn>
  </autoFilter>
  <tableColumns count="9">
    <tableColumn id="1" name="DATA" dataDxfId="28"/>
    <tableColumn id="2" name="CHAVE DE ACESSO" dataDxfId="27"/>
    <tableColumn id="3" name="Nº NF"/>
    <tableColumn id="4" name="FORNECEDOR"/>
    <tableColumn id="5" name="Valor Total da Nfe" dataDxfId="26"/>
    <tableColumn id="6" name="BC ICMS Nfe" dataDxfId="25"/>
    <tableColumn id="7" name="ICMS Nfe" dataDxfId="24"/>
    <tableColumn id="8" name="ICMS ST Retido" dataDxfId="23"/>
    <tableColumn id="9" name="Valor ICMS a Pagar" dataDxfId="22">
      <calculatedColumnFormula>SUMIF(RegimeEspecial!D:D,tabRelNFE[[#This Row],[CHAVE DE ACESSO]],RegimeEspecial!AL:AL)</calculatedColumnFormula>
    </tableColumn>
  </tableColumns>
  <tableStyleInfo name="TableStyleMedium7" showFirstColumn="0" showLastColumn="0" showRowStripes="1" showColumnStripes="1"/>
</table>
</file>

<file path=xl/tables/table3.xml><?xml version="1.0" encoding="utf-8"?>
<table xmlns="http://schemas.openxmlformats.org/spreadsheetml/2006/main" id="3" name="GNRE" displayName="GNRE" ref="A1:J10" headerRowCount="1" totalsRowCount="1" dataDxfId="19">
  <autoFilter ref="A1:J9"/>
  <tableColumns count="10">
    <tableColumn id="1" name="N. GNRE" totalsRowLabel="Total" dataDxfId="18" totalsRowDxfId="17" dataCellStyle="Vírgula"/>
    <tableColumn id="2" name="DATA PGTO" dataDxfId="16"/>
    <tableColumn id="3" name="RAZÃO SOCIAL DO CONTRIBUINTE EMITENTE" dataDxfId="15"/>
    <tableColumn id="4" name="CNPJ DO CONTRIBUINTE EMITENTE" dataDxfId="14"/>
    <tableColumn id="5" name="UF DO CONTRIBUINTE EMITENTE " dataDxfId="13"/>
    <tableColumn id="6" name="CHAVE DE ACESSO DA NFE" totalsRowFunction="count" dataDxfId="12"/>
    <tableColumn id="7" name="Nº NF" dataDxfId="11"/>
    <tableColumn id="8" name="VALOR GNRE" totalsRowFunction="sum" dataDxfId="10" totalsRowDxfId="9" dataCellStyle="Vírgula"/>
    <tableColumn id="9" name="Validação 1" dataDxfId="8"/>
    <tableColumn id="10" name="Validação 2" totalsRowFunction="sum" dataDxfId="7" totalsRowDxfId="6"/>
  </tableColumns>
  <tableStyleInfo name="TableStyleLight16" showFirstColumn="0" showLastColumn="0" showRowStripes="1" showColumnStripes="0"/>
</table>
</file>

<file path=xl/tables/table4.xml><?xml version="1.0" encoding="utf-8"?>
<table xmlns="http://schemas.openxmlformats.org/spreadsheetml/2006/main" id="4" name="Superfluos" displayName="Superfluos" ref="A1:A19" headerRowCount="1" totalsRowShown="0" headerRowDxfId="5" dataDxfId="3" headerRowBorderDxfId="4" tableBorderDxfId="2" totalsRowBorderDxfId="1">
  <autoFilter ref="A1:A19"/>
  <tableColumns count="1">
    <tableColumn id="1" name="Superfluos" dataDxfId="0"/>
  </tableColumns>
  <tableStyleInfo name="TableStyleLight1" showFirstColumn="0" showLastColumn="0" showRowStripes="1" showColumnStripes="0"/>
</table>
</file>

<file path=xl/tables/table5.xml><?xml version="1.0" encoding="utf-8"?>
<table xmlns="http://schemas.openxmlformats.org/spreadsheetml/2006/main" id="5" name="ListaMVA" displayName="ListaMVA" ref="C1:G10" headerRowCount="1" totalsRowShown="0">
  <autoFilter ref="C1:G10"/>
  <tableColumns count="5">
    <tableColumn id="1" name="Cod.ap">
      <calculatedColumnFormula>D2+F2</calculatedColumnFormula>
    </tableColumn>
    <tableColumn id="2" name="Lista"/>
    <tableColumn id="3" name="Descr.Lista"/>
    <tableColumn id="4" name="Aliq"/>
    <tableColumn id="5" name="1+MVA"/>
  </tableColumns>
  <tableStyleInfo name="TableStyleLight1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table" Target="/xl/tables/table2.xml" Id="rId1"/></Relationships>
</file>

<file path=xl/worksheets/_rels/sheet4.xml.rels><Relationships xmlns="http://schemas.openxmlformats.org/package/2006/relationships"><Relationship Type="http://schemas.openxmlformats.org/officeDocument/2006/relationships/table" Target="/xl/tables/table3.xml" Id="rId1"/></Relationships>
</file>

<file path=xl/worksheets/_rels/sheet5.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6.xml.rels><Relationships xmlns="http://schemas.openxmlformats.org/package/2006/relationships"><Relationship Type="http://schemas.openxmlformats.org/officeDocument/2006/relationships/hyperlink" Target="http://aacpdappls.net.ms.gov.br/appls/legislacao/serc/legato.nsf/fd8600de8a55c7fc04256b210079ce25/d50603b720f2c17b042588a0004eae7e?OpenDocument" TargetMode="External" Id="rId1"/><Relationship Type="http://schemas.openxmlformats.org/officeDocument/2006/relationships/hyperlink" Target="http://aacpdappls.net.ms.gov.br/appls/legislacao/serc/legato.nsf/fd8600de8a55c7fc04256b210079ce25/d50603b720f2c17b042588a0004eae7e?OpenDocument" TargetMode="External" Id="rId2"/><Relationship Type="http://schemas.openxmlformats.org/officeDocument/2006/relationships/hyperlink" Target="http://aacpdappls.net.ms.gov.br/appls/legislacao/serc/legato.nsf/fd8600de8a55c7fc04256b210079ce25/d50603b720f2c17b042588a0004eae7e?OpenDocument" TargetMode="External" Id="rId3"/><Relationship Type="http://schemas.openxmlformats.org/officeDocument/2006/relationships/hyperlink" Target="http://aacpdappls.net.ms.gov.br/appls/legislacao/serc/legato.nsf/fd8600de8a55c7fc04256b210079ce25/d50603b720f2c17b042588a0004eae7e?OpenDocument" TargetMode="External" Id="rId4"/><Relationship Type="http://schemas.openxmlformats.org/officeDocument/2006/relationships/hyperlink" Target="http://aacpdappls.net.ms.gov.br/appls/legislacao/serc/legato.nsf/fd8600de8a55c7fc04256b210079ce25/d50603b720f2c17b042588a0004eae7e?OpenDocument" TargetMode="External" Id="rId5"/><Relationship Type="http://schemas.openxmlformats.org/officeDocument/2006/relationships/hyperlink" Target="http://aacpdappls.net.ms.gov.br/appls/legislacao/serc/legato.nsf/fd8600de8a55c7fc04256b210079ce25/d50603b720f2c17b042588a0004eae7e?OpenDocument" TargetMode="External" Id="rId6"/><Relationship Type="http://schemas.openxmlformats.org/officeDocument/2006/relationships/hyperlink" Target="http://aacpdappls.net.ms.gov.br/appls/legislacao/serc/legato.nsf/fd8600de8a55c7fc04256b210079ce25/d50603b720f2c17b042588a0004eae7e?OpenDocument" TargetMode="External" Id="rId7"/><Relationship Type="http://schemas.openxmlformats.org/officeDocument/2006/relationships/hyperlink" Target="http://aacpdappls.net.ms.gov.br/appls/legislacao/serc/legato.nsf/fd8600de8a55c7fc04256b210079ce25/d50603b720f2c17b042588a0004eae7e?OpenDocument" TargetMode="External" Id="rId8"/><Relationship Type="http://schemas.openxmlformats.org/officeDocument/2006/relationships/hyperlink" Target="http://aacpdappls.net.ms.gov.br/appls/legislacao/serc/legato.nsf/fd8600de8a55c7fc04256b210079ce25/d50603b720f2c17b042588a0004eae7e?OpenDocument" TargetMode="External" Id="rId9"/><Relationship Type="http://schemas.openxmlformats.org/officeDocument/2006/relationships/hyperlink" Target="http://aacpdappls.net.ms.gov.br/appls/legislacao/serc/legato.nsf/fd8600de8a55c7fc04256b210079ce25/a5e066211a56a79804258b42004e668c?OpenDocument" TargetMode="External" Id="rId10"/><Relationship Type="http://schemas.openxmlformats.org/officeDocument/2006/relationships/hyperlink" Target="http://aacpdappls.net.ms.gov.br/appls/legislacao/serc/legato.nsf/fd8600de8a55c7fc04256b210079ce25/a5e066211a56a79804258b42004e668c?OpenDocument" TargetMode="External" Id="rId11"/><Relationship Type="http://schemas.openxmlformats.org/officeDocument/2006/relationships/hyperlink" Target="http://aacpdappls.net.ms.gov.br/appls/legislacao/serc/legato.nsf/fd8600de8a55c7fc04256b210079ce25/d50603b720f2c17b042588a0004eae7e?OpenDocument" TargetMode="External" Id="rId12"/><Relationship Type="http://schemas.openxmlformats.org/officeDocument/2006/relationships/hyperlink" Target="http://aacpdappls.net.ms.gov.br/appls/legislacao/serc/legato.nsf/fd8600de8a55c7fc04256b210079ce25/a5e066211a56a79804258b42004e668c?OpenDocument" TargetMode="External" Id="rId13"/><Relationship Type="http://schemas.openxmlformats.org/officeDocument/2006/relationships/hyperlink" Target="http://aacpdappls.net.ms.gov.br/appls/legislacao/serc/legato.nsf/fd8600de8a55c7fc04256b210079ce25/d50603b720f2c17b042588a0004eae7e?OpenDocument" TargetMode="External" Id="rId14"/><Relationship Type="http://schemas.openxmlformats.org/officeDocument/2006/relationships/hyperlink" Target="http://aacpdappls.net.ms.gov.br/appls/legislacao/serc/legato.nsf/fd8600de8a55c7fc04256b210079ce25/dd2f3e6507049040042589ce004691f1?OpenDocument" TargetMode="External" Id="rId15"/><Relationship Type="http://schemas.openxmlformats.org/officeDocument/2006/relationships/hyperlink" Target="http://aacpdappls.net.ms.gov.br/appls/legislacao/serc/legato.nsf/fd8600de8a55c7fc04256b210079ce25/dd2f3e6507049040042589ce004691f1?OpenDocument" TargetMode="External" Id="rId16"/><Relationship Type="http://schemas.openxmlformats.org/officeDocument/2006/relationships/hyperlink" Target="http://aacpdappls.net.ms.gov.br/appls/legislacao/serc/legato.nsf/fd8600de8a55c7fc04256b210079ce25/dd2f3e6507049040042589ce004691f1?OpenDocument" TargetMode="External" Id="rId17"/><Relationship Type="http://schemas.openxmlformats.org/officeDocument/2006/relationships/hyperlink" Target="http://aacpdappls.net.ms.gov.br/appls/legislacao/serc/legato.nsf/fd8600de8a55c7fc04256b210079ce25/dd2f3e6507049040042589ce004691f1?OpenDocument" TargetMode="External" Id="rId18"/><Relationship Type="http://schemas.openxmlformats.org/officeDocument/2006/relationships/hyperlink" Target="http://aacpdappls.net.ms.gov.br/appls/legislacao/serc/legato.nsf/fd8600de8a55c7fc04256b210079ce25/dd2f3e6507049040042589ce004691f1?OpenDocument" TargetMode="External" Id="rId19"/><Relationship Type="http://schemas.openxmlformats.org/officeDocument/2006/relationships/hyperlink" Target="http://aacpdappls.net.ms.gov.br/appls/legislacao/serc/legato.nsf/fd8600de8a55c7fc04256b210079ce25/dd2f3e6507049040042589ce004691f1?OpenDocument" TargetMode="External" Id="rId20"/><Relationship Type="http://schemas.openxmlformats.org/officeDocument/2006/relationships/hyperlink" Target="http://aacpdappls.net.ms.gov.br/appls/legislacao/serc/legato.nsf/fd8600de8a55c7fc04256b210079ce25/dd2f3e6507049040042589ce004691f1?OpenDocument" TargetMode="External" Id="rId21"/><Relationship Type="http://schemas.openxmlformats.org/officeDocument/2006/relationships/hyperlink" Target="http://aacpdappls.net.ms.gov.br/appls/legislacao/serc/legato.nsf/fd8600de8a55c7fc04256b210079ce25/dd2f3e6507049040042589ce004691f1?OpenDocument" TargetMode="External" Id="rId22"/><Relationship Type="http://schemas.openxmlformats.org/officeDocument/2006/relationships/hyperlink" Target="http://aacpdappls.net.ms.gov.br/appls/legislacao/serc/legato.nsf/fd8600de8a55c7fc04256b210079ce25/dd2f3e6507049040042589ce004691f1?OpenDocument" TargetMode="External" Id="rId23"/><Relationship Type="http://schemas.openxmlformats.org/officeDocument/2006/relationships/hyperlink" Target="http://aacpdappls.net.ms.gov.br/appls/legislacao/serc/legato.nsf/fd8600de8a55c7fc04256b210079ce25/dd2f3e6507049040042589ce004691f1?OpenDocument" TargetMode="External" Id="rId24"/><Relationship Type="http://schemas.openxmlformats.org/officeDocument/2006/relationships/hyperlink" Target="http://aacpdappls.net.ms.gov.br/appls/legislacao/serc/legato.nsf/fd8600de8a55c7fc04256b210079ce25/360c443e97109af9042588fe004b091c?OpenDocument" TargetMode="External" Id="rId25"/><Relationship Type="http://schemas.openxmlformats.org/officeDocument/2006/relationships/hyperlink" Target="http://aacpdappls.net.ms.gov.br/appls/legislacao/serc/legato.nsf/fd8600de8a55c7fc04256b210079ce25/360c443e97109af9042588fe004b091c?OpenDocument" TargetMode="External" Id="rId26"/><Relationship Type="http://schemas.openxmlformats.org/officeDocument/2006/relationships/hyperlink" Target="http://aacpdappls.net.ms.gov.br/appls/legislacao/serc/legato.nsf/fd8600de8a55c7fc04256b210079ce25/360c443e97109af9042588fe004b091c?OpenDocument" TargetMode="External" Id="rId27"/><Relationship Type="http://schemas.openxmlformats.org/officeDocument/2006/relationships/hyperlink" Target="http://aacpdappls.net.ms.gov.br/appls/legislacao/serc/legato.nsf/fd8600de8a55c7fc04256b210079ce25/1811cb73d9e00ac304258950004f31bb?OpenDocument" TargetMode="External" Id="rId28"/><Relationship Type="http://schemas.openxmlformats.org/officeDocument/2006/relationships/hyperlink" Target="http://aacpdappls.net.ms.gov.br/appls/legislacao/serc/legato.nsf/fd8600de8a55c7fc04256b210079ce25/0623038486b81ad404258a6f0047acda?OpenDocument" TargetMode="External" Id="rId29"/><Relationship Type="http://schemas.openxmlformats.org/officeDocument/2006/relationships/hyperlink" Target="http://aacpdappls.net.ms.gov.br/appls/legislacao/serc/legato.nsf/fd8600de8a55c7fc04256b210079ce25/0623038486b81ad404258a6f0047acda?OpenDocument" TargetMode="External" Id="rId30"/><Relationship Type="http://schemas.openxmlformats.org/officeDocument/2006/relationships/hyperlink" Target="http://aacpdappls.net.ms.gov.br/appls/legislacao/serc/legato.nsf/fd8600de8a55c7fc04256b210079ce25/0623038486b81ad404258a6f0047acda?OpenDocument" TargetMode="External" Id="rId31"/><Relationship Type="http://schemas.openxmlformats.org/officeDocument/2006/relationships/hyperlink" Target="http://aacpdappls.net.ms.gov.br/appls/legislacao/serc/legato.nsf/fd8600de8a55c7fc04256b210079ce25/0623038486b81ad404258a6f0047acda?OpenDocument" TargetMode="External" Id="rId32"/><Relationship Type="http://schemas.openxmlformats.org/officeDocument/2006/relationships/hyperlink" Target="http://aacpdappls.net.ms.gov.br/appls/legislacao/serc/legato.nsf/fd8600de8a55c7fc04256b210079ce25/0623038486b81ad404258a6f0047acda?OpenDocument" TargetMode="External" Id="rId33"/><Relationship Type="http://schemas.openxmlformats.org/officeDocument/2006/relationships/hyperlink" Target="http://aacpdappls.net.ms.gov.br/appls/legislacao/serc/legato.nsf/fd8600de8a55c7fc04256b210079ce25/0623038486b81ad404258a6f0047acda?OpenDocument" TargetMode="External" Id="rId34"/><Relationship Type="http://schemas.openxmlformats.org/officeDocument/2006/relationships/hyperlink" Target="http://aacpdappls.net.ms.gov.br/appls/legislacao/serc/legato.nsf/fd8600de8a55c7fc04256b210079ce25/0623038486b81ad404258a6f0047acda?OpenDocument" TargetMode="External" Id="rId35"/><Relationship Type="http://schemas.openxmlformats.org/officeDocument/2006/relationships/hyperlink" Target="http://aacpdappls.net.ms.gov.br/appls/legislacao/serc/legato.nsf/fd8600de8a55c7fc04256b210079ce25/0623038486b81ad404258a6f0047acda?OpenDocument" TargetMode="External" Id="rId36"/><Relationship Type="http://schemas.openxmlformats.org/officeDocument/2006/relationships/hyperlink" Target="http://aacpdappls.net.ms.gov.br/appls/legislacao/serc/legato.nsf/fd8600de8a55c7fc04256b210079ce25/0623038486b81ad404258a6f0047acda?OpenDocument" TargetMode="External" Id="rId37"/><Relationship Type="http://schemas.openxmlformats.org/officeDocument/2006/relationships/hyperlink" Target="http://aacpdappls.net.ms.gov.br/appls/legislacao/serc/legato.nsf/fd8600de8a55c7fc04256b210079ce25/0623038486b81ad404258a6f0047acda?OpenDocument" TargetMode="External" Id="rId38"/><Relationship Type="http://schemas.openxmlformats.org/officeDocument/2006/relationships/hyperlink" Target="http://aacpdappls.net.ms.gov.br/appls/legislacao/serc/legato.nsf/fd8600de8a55c7fc04256b210079ce25/0623038486b81ad404258a6f0047acda?OpenDocument" TargetMode="External" Id="rId39"/><Relationship Type="http://schemas.openxmlformats.org/officeDocument/2006/relationships/hyperlink" Target="http://aacpdappls.net.ms.gov.br/appls/legislacao/serc/legato.nsf/fd8600de8a55c7fc04256b210079ce25/0623038486b81ad404258a6f0047acda?OpenDocument" TargetMode="External" Id="rId40"/><Relationship Type="http://schemas.openxmlformats.org/officeDocument/2006/relationships/hyperlink" Target="http://aacpdappls.net.ms.gov.br/appls/legislacao/serc/legato.nsf/fd8600de8a55c7fc04256b210079ce25/0623038486b81ad404258a6f0047acda?OpenDocument" TargetMode="External" Id="rId41"/><Relationship Type="http://schemas.openxmlformats.org/officeDocument/2006/relationships/hyperlink" Target="http://aacpdappls.net.ms.gov.br/appls/legislacao/serc/legato.nsf/fd8600de8a55c7fc04256b210079ce25/0623038486b81ad404258a6f0047acda?OpenDocument" TargetMode="External" Id="rId42"/><Relationship Type="http://schemas.openxmlformats.org/officeDocument/2006/relationships/hyperlink" Target="http://aacpdappls.net.ms.gov.br/appls/legislacao/serc/legato.nsf/fd8600de8a55c7fc04256b210079ce25/0623038486b81ad404258a6f0047acda?OpenDocument" TargetMode="External" Id="rId43"/><Relationship Type="http://schemas.openxmlformats.org/officeDocument/2006/relationships/hyperlink" Target="http://aacpdappls.net.ms.gov.br/appls/legislacao/serc/legato.nsf/fd8600de8a55c7fc04256b210079ce25/0623038486b81ad404258a6f0047acda?OpenDocument" TargetMode="External" Id="rId44"/><Relationship Type="http://schemas.openxmlformats.org/officeDocument/2006/relationships/hyperlink" Target="http://aacpdappls.net.ms.gov.br/appls/legislacao/serc/legato.nsf/fd8600de8a55c7fc04256b210079ce25/0623038486b81ad404258a6f0047acda?OpenDocument" TargetMode="External" Id="rId45"/><Relationship Type="http://schemas.openxmlformats.org/officeDocument/2006/relationships/hyperlink" Target="http://aacpdappls.net.ms.gov.br/appls/legislacao/serc/legato.nsf/fd8600de8a55c7fc04256b210079ce25/0623038486b81ad404258a6f0047acda?OpenDocument" TargetMode="External" Id="rId46"/><Relationship Type="http://schemas.openxmlformats.org/officeDocument/2006/relationships/hyperlink" Target="http://aacpdappls.net.ms.gov.br/appls/legislacao/serc/legato.nsf/fd8600de8a55c7fc04256b210079ce25/0623038486b81ad404258a6f0047acda?OpenDocument" TargetMode="External" Id="rId47"/><Relationship Type="http://schemas.openxmlformats.org/officeDocument/2006/relationships/hyperlink" Target="http://aacpdappls.net.ms.gov.br/appls/legislacao/serc/legato.nsf/fd8600de8a55c7fc04256b210079ce25/0623038486b81ad404258a6f0047acda?OpenDocument" TargetMode="External" Id="rId48"/><Relationship Type="http://schemas.openxmlformats.org/officeDocument/2006/relationships/hyperlink" Target="http://aacpdappls.net.ms.gov.br/appls/legislacao/serc/legato.nsf/fd8600de8a55c7fc04256b210079ce25/0623038486b81ad404258a6f0047acda?OpenDocument" TargetMode="External" Id="rId49"/><Relationship Type="http://schemas.openxmlformats.org/officeDocument/2006/relationships/hyperlink" Target="http://aacpdappls.net.ms.gov.br/appls/legislacao/serc/legato.nsf/fd8600de8a55c7fc04256b210079ce25/0623038486b81ad404258a6f0047acda?OpenDocument" TargetMode="External" Id="rId50"/><Relationship Type="http://schemas.openxmlformats.org/officeDocument/2006/relationships/hyperlink" Target="http://aacpdappls.net.ms.gov.br/appls/legislacao/serc/legato.nsf/fd8600de8a55c7fc04256b210079ce25/0623038486b81ad404258a6f0047acda?OpenDocument" TargetMode="External" Id="rId51"/><Relationship Type="http://schemas.openxmlformats.org/officeDocument/2006/relationships/hyperlink" Target="http://aacpdappls.net.ms.gov.br/appls/legislacao/serc/legato.nsf/fd8600de8a55c7fc04256b210079ce25/0623038486b81ad404258a6f0047acda?OpenDocument" TargetMode="External" Id="rId52"/><Relationship Type="http://schemas.openxmlformats.org/officeDocument/2006/relationships/hyperlink" Target="http://aacpdappls.net.ms.gov.br/appls/legislacao/serc/legato.nsf/fd8600de8a55c7fc04256b210079ce25/0623038486b81ad404258a6f0047acda?OpenDocument" TargetMode="External" Id="rId53"/><Relationship Type="http://schemas.openxmlformats.org/officeDocument/2006/relationships/hyperlink" Target="http://aacpdappls.net.ms.gov.br/appls/legislacao/serc/legato.nsf/fd8600de8a55c7fc04256b210079ce25/0623038486b81ad404258a6f0047acda?OpenDocument" TargetMode="External" Id="rId54"/><Relationship Type="http://schemas.openxmlformats.org/officeDocument/2006/relationships/hyperlink" Target="http://aacpdappls.net.ms.gov.br/appls/legislacao/serc/legato.nsf/fd8600de8a55c7fc04256b210079ce25/0623038486b81ad404258a6f0047acda?OpenDocument" TargetMode="External" Id="rId55"/><Relationship Type="http://schemas.openxmlformats.org/officeDocument/2006/relationships/hyperlink" Target="http://aacpdappls.net.ms.gov.br/appls/legislacao/serc/legato.nsf/fd8600de8a55c7fc04256b210079ce25/0623038486b81ad404258a6f0047acda?OpenDocument" TargetMode="External" Id="rId56"/><Relationship Type="http://schemas.openxmlformats.org/officeDocument/2006/relationships/hyperlink" Target="http://aacpdappls.net.ms.gov.br/appls/legislacao/serc/legato.nsf/fd8600de8a55c7fc04256b210079ce25/0623038486b81ad404258a6f0047acda?OpenDocument" TargetMode="External" Id="rId57"/><Relationship Type="http://schemas.openxmlformats.org/officeDocument/2006/relationships/hyperlink" Target="http://aacpdappls.net.ms.gov.br/appls/legislacao/serc/legato.nsf/fd8600de8a55c7fc04256b210079ce25/0623038486b81ad404258a6f0047acda?OpenDocument" TargetMode="External" Id="rId58"/><Relationship Type="http://schemas.openxmlformats.org/officeDocument/2006/relationships/hyperlink" Target="http://aacpdappls.net.ms.gov.br/appls/legislacao/serc/legato.nsf/fd8600de8a55c7fc04256b210079ce25/0623038486b81ad404258a6f0047acda?OpenDocument" TargetMode="External" Id="rId59"/><Relationship Type="http://schemas.openxmlformats.org/officeDocument/2006/relationships/hyperlink" Target="http://aacpdappls.net.ms.gov.br/appls/legislacao/serc/legato.nsf/fd8600de8a55c7fc04256b210079ce25/0623038486b81ad404258a6f0047acda?OpenDocument" TargetMode="External" Id="rId60"/><Relationship Type="http://schemas.openxmlformats.org/officeDocument/2006/relationships/hyperlink" Target="http://aacpdappls.net.ms.gov.br/appls/legislacao/serc/legato.nsf/fd8600de8a55c7fc04256b210079ce25/0623038486b81ad404258a6f0047acda?OpenDocument" TargetMode="External" Id="rId61"/><Relationship Type="http://schemas.openxmlformats.org/officeDocument/2006/relationships/hyperlink" Target="http://aacpdappls.net.ms.gov.br/appls/legislacao/serc/legato.nsf/fd8600de8a55c7fc04256b210079ce25/0623038486b81ad404258a6f0047acda?OpenDocument" TargetMode="External" Id="rId62"/><Relationship Type="http://schemas.openxmlformats.org/officeDocument/2006/relationships/hyperlink" Target="http://aacpdappls.net.ms.gov.br/appls/legislacao/serc/legato.nsf/fd8600de8a55c7fc04256b210079ce25/dd2f3e6507049040042589ce004691f1?OpenDocument" TargetMode="External" Id="rId63"/><Relationship Type="http://schemas.openxmlformats.org/officeDocument/2006/relationships/hyperlink" Target="http://aacpdappls.net.ms.gov.br/appls/legislacao/serc/legato.nsf/fd8600de8a55c7fc04256b210079ce25/360c443e97109af9042588fe004b091c?OpenDocument" TargetMode="External" Id="rId64"/><Relationship Type="http://schemas.openxmlformats.org/officeDocument/2006/relationships/hyperlink" Target="http://aacpdappls.net.ms.gov.br/appls/legislacao/serc/legato.nsf/fd8600de8a55c7fc04256b210079ce25/360c443e97109af9042588fe004b091c?OpenDocument" TargetMode="External" Id="rId65"/><Relationship Type="http://schemas.openxmlformats.org/officeDocument/2006/relationships/hyperlink" Target="http://aacpdappls.net.ms.gov.br/appls/legislacao/serc/legato.nsf/fd8600de8a55c7fc04256b210079ce25/360c443e97109af9042588fe004b091c?OpenDocument" TargetMode="External" Id="rId66"/><Relationship Type="http://schemas.openxmlformats.org/officeDocument/2006/relationships/hyperlink" Target="http://aacpdappls.net.ms.gov.br/appls/legislacao/serc/legato.nsf/fd8600de8a55c7fc04256b210079ce25/360c443e97109af9042588fe004b091c?OpenDocument" TargetMode="External" Id="rId67"/><Relationship Type="http://schemas.openxmlformats.org/officeDocument/2006/relationships/hyperlink" Target="http://aacpdappls.net.ms.gov.br/appls/legislacao/serc/legato.nsf/fd8600de8a55c7fc04256b210079ce25/360c443e97109af9042588fe004b091c?OpenDocument" TargetMode="External" Id="rId68"/><Relationship Type="http://schemas.openxmlformats.org/officeDocument/2006/relationships/hyperlink" Target="http://aacpdappls.net.ms.gov.br/appls/legislacao/serc/legato.nsf/fd8600de8a55c7fc04256b210079ce25/360c443e97109af9042588fe004b091c?OpenDocument" TargetMode="External" Id="rId69"/><Relationship Type="http://schemas.openxmlformats.org/officeDocument/2006/relationships/hyperlink" Target="http://aacpdappls.net.ms.gov.br/appls/legislacao/serc/legato.nsf/fd8600de8a55c7fc04256b210079ce25/360c443e97109af9042588fe004b091c?OpenDocument" TargetMode="External" Id="rId70"/><Relationship Type="http://schemas.openxmlformats.org/officeDocument/2006/relationships/hyperlink" Target="http://aacpdappls.net.ms.gov.br/appls/legislacao/serc/legato.nsf/fd8600de8a55c7fc04256b210079ce25/d50603b720f2c17b042588a0004eae7e?OpenDocument" TargetMode="External" Id="rId71"/><Relationship Type="http://schemas.openxmlformats.org/officeDocument/2006/relationships/hyperlink" Target="http://aacpdappls.net.ms.gov.br/appls/legislacao/serc/legato.nsf/fd8600de8a55c7fc04256b210079ce25/d50603b720f2c17b042588a0004eae7e?OpenDocument" TargetMode="External" Id="rId72"/><Relationship Type="http://schemas.openxmlformats.org/officeDocument/2006/relationships/hyperlink" Target="http://aacpdappls.net.ms.gov.br/appls/legislacao/serc/legato.nsf/fd8600de8a55c7fc04256b210079ce25/d50603b720f2c17b042588a0004eae7e?OpenDocument" TargetMode="External" Id="rId73"/><Relationship Type="http://schemas.openxmlformats.org/officeDocument/2006/relationships/hyperlink" Target="http://aacpdappls.net.ms.gov.br/appls/legislacao/serc/legato.nsf/fd8600de8a55c7fc04256b210079ce25/d50603b720f2c17b042588a0004eae7e?OpenDocument" TargetMode="External" Id="rId74"/><Relationship Type="http://schemas.openxmlformats.org/officeDocument/2006/relationships/hyperlink" Target="http://aacpdappls.net.ms.gov.br/appls/legislacao/serc/legato.nsf/fd8600de8a55c7fc04256b210079ce25/d50603b720f2c17b042588a0004eae7e?OpenDocument" TargetMode="External" Id="rId75"/><Relationship Type="http://schemas.openxmlformats.org/officeDocument/2006/relationships/hyperlink" Target="http://aacpdappls.net.ms.gov.br/appls/legislacao/serc/legato.nsf/fd8600de8a55c7fc04256b210079ce25/d50603b720f2c17b042588a0004eae7e?OpenDocument" TargetMode="External" Id="rId76"/><Relationship Type="http://schemas.openxmlformats.org/officeDocument/2006/relationships/hyperlink" Target="http://aacpdappls.net.ms.gov.br/appls/legislacao/serc/legato.nsf/fd8600de8a55c7fc04256b210079ce25/d50603b720f2c17b042588a0004eae7e?OpenDocument" TargetMode="External" Id="rId77"/><Relationship Type="http://schemas.openxmlformats.org/officeDocument/2006/relationships/hyperlink" Target="http://aacpdappls.net.ms.gov.br/appls/legislacao/serc/legato.nsf/fd8600de8a55c7fc04256b210079ce25/d50603b720f2c17b042588a0004eae7e?OpenDocument" TargetMode="External" Id="rId78"/><Relationship Type="http://schemas.openxmlformats.org/officeDocument/2006/relationships/hyperlink" Target="http://aacpdappls.net.ms.gov.br/appls/legislacao/serc/legato.nsf/fd8600de8a55c7fc04256b210079ce25/d50603b720f2c17b042588a0004eae7e?OpenDocument" TargetMode="External" Id="rId79"/><Relationship Type="http://schemas.openxmlformats.org/officeDocument/2006/relationships/hyperlink" Target="http://aacpdappls.net.ms.gov.br/appls/legislacao/serc/legato.nsf/fd8600de8a55c7fc04256b210079ce25/dd2f3e6507049040042589ce004691f1?OpenDocument" TargetMode="External" Id="rId80"/><Relationship Type="http://schemas.openxmlformats.org/officeDocument/2006/relationships/hyperlink" Target="http://aacpdappls.net.ms.gov.br/appls/legislacao/serc/legato.nsf/fd8600de8a55c7fc04256b210079ce25/d50603b720f2c17b042588a0004eae7e?OpenDocument" TargetMode="External" Id="rId81"/><Relationship Type="http://schemas.openxmlformats.org/officeDocument/2006/relationships/hyperlink" Target="http://aacpdappls.net.ms.gov.br/appls/legislacao/serc/legato.nsf/fd8600de8a55c7fc04256b210079ce25/d50603b720f2c17b042588a0004eae7e?OpenDocument" TargetMode="External" Id="rId82"/><Relationship Type="http://schemas.openxmlformats.org/officeDocument/2006/relationships/hyperlink" Target="http://aacpdappls.net.ms.gov.br/appls/legislacao/serc/legato.nsf/fd8600de8a55c7fc04256b210079ce25/d50603b720f2c17b042588a0004eae7e?OpenDocument" TargetMode="External" Id="rId83"/><Relationship Type="http://schemas.openxmlformats.org/officeDocument/2006/relationships/hyperlink" Target="http://aacpdappls.net.ms.gov.br/appls/legislacao/serc/legato.nsf/fd8600de8a55c7fc04256b210079ce25/d50603b720f2c17b042588a0004eae7e?OpenDocument" TargetMode="External" Id="rId84"/><Relationship Type="http://schemas.openxmlformats.org/officeDocument/2006/relationships/hyperlink" Target="http://aacpdappls.net.ms.gov.br/appls/legislacao/serc/legato.nsf/fd8600de8a55c7fc04256b210079ce25/d50603b720f2c17b042588a0004eae7e?OpenDocument" TargetMode="External" Id="rId85"/><Relationship Type="http://schemas.openxmlformats.org/officeDocument/2006/relationships/hyperlink" Target="http://aacpdappls.net.ms.gov.br/appls/legislacao/serc/legato.nsf/fd8600de8a55c7fc04256b210079ce25/d50603b720f2c17b042588a0004eae7e?OpenDocument" TargetMode="External" Id="rId86"/><Relationship Type="http://schemas.openxmlformats.org/officeDocument/2006/relationships/hyperlink" Target="http://aacpdappls.net.ms.gov.br/appls/legislacao/serc/legato.nsf/fd8600de8a55c7fc04256b210079ce25/d50603b720f2c17b042588a0004eae7e?OpenDocument" TargetMode="External" Id="rId87"/><Relationship Type="http://schemas.openxmlformats.org/officeDocument/2006/relationships/hyperlink" Target="http://aacpdappls.net.ms.gov.br/appls/legislacao/serc/legato.nsf/fd8600de8a55c7fc04256b210079ce25/d50603b720f2c17b042588a0004eae7e?OpenDocument" TargetMode="External" Id="rId88"/><Relationship Type="http://schemas.openxmlformats.org/officeDocument/2006/relationships/hyperlink" Target="http://aacpdappls.net.ms.gov.br/appls/legislacao/serc/legato.nsf/fd8600de8a55c7fc04256b210079ce25/d50603b720f2c17b042588a0004eae7e?OpenDocument" TargetMode="External" Id="rId89"/><Relationship Type="http://schemas.openxmlformats.org/officeDocument/2006/relationships/hyperlink" Target="http://aacpdappls.net.ms.gov.br/appls/legislacao/serc/legato.nsf/fd8600de8a55c7fc04256b210079ce25/d50603b720f2c17b042588a0004eae7e?OpenDocument" TargetMode="External" Id="rId90"/><Relationship Type="http://schemas.openxmlformats.org/officeDocument/2006/relationships/hyperlink" Target="http://aacpdappls.net.ms.gov.br/appls/legislacao/serc/legato.nsf/fd8600de8a55c7fc04256b210079ce25/d50603b720f2c17b042588a0004eae7e?OpenDocument" TargetMode="External" Id="rId91"/><Relationship Type="http://schemas.openxmlformats.org/officeDocument/2006/relationships/hyperlink" Target="http://aacpdappls.net.ms.gov.br/appls/legislacao/serc/legato.nsf/fd8600de8a55c7fc04256b210079ce25/d50603b720f2c17b042588a0004eae7e?OpenDocument" TargetMode="External" Id="rId92"/><Relationship Type="http://schemas.openxmlformats.org/officeDocument/2006/relationships/hyperlink" Target="http://aacpdappls.net.ms.gov.br/appls/legislacao/serc/legato.nsf/fd8600de8a55c7fc04256b210079ce25/d50603b720f2c17b042588a0004eae7e?OpenDocument" TargetMode="External" Id="rId93"/><Relationship Type="http://schemas.openxmlformats.org/officeDocument/2006/relationships/hyperlink" Target="http://aacpdappls.net.ms.gov.br/appls/legislacao/serc/legato.nsf/fd8600de8a55c7fc04256b210079ce25/d50603b720f2c17b042588a0004eae7e?OpenDocument" TargetMode="External" Id="rId94"/><Relationship Type="http://schemas.openxmlformats.org/officeDocument/2006/relationships/hyperlink" Target="http://aacpdappls.net.ms.gov.br/appls/legislacao/serc/legato.nsf/fd8600de8a55c7fc04256b210079ce25/d50603b720f2c17b042588a0004eae7e?OpenDocument" TargetMode="External" Id="rId95"/><Relationship Type="http://schemas.openxmlformats.org/officeDocument/2006/relationships/hyperlink" Target="http://aacpdappls.net.ms.gov.br/appls/legislacao/serc/legato.nsf/fd8600de8a55c7fc04256b210079ce25/d50603b720f2c17b042588a0004eae7e?OpenDocument" TargetMode="External" Id="rId96"/><Relationship Type="http://schemas.openxmlformats.org/officeDocument/2006/relationships/hyperlink" Target="http://aacpdappls.net.ms.gov.br/appls/legislacao/serc/legato.nsf/fd8600de8a55c7fc04256b210079ce25/d50603b720f2c17b042588a0004eae7e?OpenDocument" TargetMode="External" Id="rId97"/><Relationship Type="http://schemas.openxmlformats.org/officeDocument/2006/relationships/hyperlink" Target="http://aacpdappls.net.ms.gov.br/appls/legislacao/serc/legato.nsf/fd8600de8a55c7fc04256b210079ce25/d50603b720f2c17b042588a0004eae7e?OpenDocument" TargetMode="External" Id="rId98"/><Relationship Type="http://schemas.openxmlformats.org/officeDocument/2006/relationships/hyperlink" Target="http://aacpdappls.net.ms.gov.br/appls/legislacao/serc/legato.nsf/fd8600de8a55c7fc04256b210079ce25/dd2f3e6507049040042589ce004691f1?OpenDocument" TargetMode="External" Id="rId99"/><Relationship Type="http://schemas.openxmlformats.org/officeDocument/2006/relationships/hyperlink" Target="http://aacpdappls.net.ms.gov.br/appls/legislacao/serc/legato.nsf/fd8600de8a55c7fc04256b210079ce25/dd2f3e6507049040042589ce004691f1?OpenDocument" TargetMode="External" Id="rId100"/><Relationship Type="http://schemas.openxmlformats.org/officeDocument/2006/relationships/hyperlink" Target="http://aacpdappls.net.ms.gov.br/appls/legislacao/serc/legato.nsf/fd8600de8a55c7fc04256b210079ce25/dd2f3e6507049040042589ce004691f1?OpenDocument" TargetMode="External" Id="rId101"/><Relationship Type="http://schemas.openxmlformats.org/officeDocument/2006/relationships/hyperlink" Target="http://aacpdappls.net.ms.gov.br/appls/legislacao/serc/legato.nsf/fd8600de8a55c7fc04256b210079ce25/dd2f3e6507049040042589ce004691f1?OpenDocument" TargetMode="External" Id="rId102"/><Relationship Type="http://schemas.openxmlformats.org/officeDocument/2006/relationships/hyperlink" Target="http://aacpdappls.net.ms.gov.br/appls/legislacao/serc/legato.nsf/fd8600de8a55c7fc04256b210079ce25/dd2f3e6507049040042589ce004691f1?OpenDocument" TargetMode="External" Id="rId103"/><Relationship Type="http://schemas.openxmlformats.org/officeDocument/2006/relationships/hyperlink" Target="http://aacpdappls.net.ms.gov.br/appls/legislacao/serc/legato.nsf/fd8600de8a55c7fc04256b210079ce25/dd2f3e6507049040042589ce004691f1?OpenDocument" TargetMode="External" Id="rId104"/><Relationship Type="http://schemas.openxmlformats.org/officeDocument/2006/relationships/hyperlink" Target="http://aacpdappls.net.ms.gov.br/appls/legislacao/serc/legato.nsf/fd8600de8a55c7fc04256b210079ce25/d50603b720f2c17b042588a0004eae7e?OpenDocument" TargetMode="External" Id="rId105"/><Relationship Type="http://schemas.openxmlformats.org/officeDocument/2006/relationships/hyperlink" Target="http://aacpdappls.net.ms.gov.br/appls/legislacao/serc/legato.nsf/fd8600de8a55c7fc04256b210079ce25/d50603b720f2c17b042588a0004eae7e?OpenDocument" TargetMode="External" Id="rId106"/><Relationship Type="http://schemas.openxmlformats.org/officeDocument/2006/relationships/hyperlink" Target="http://aacpdappls.net.ms.gov.br/appls/legislacao/serc/legato.nsf/fd8600de8a55c7fc04256b210079ce25/d50603b720f2c17b042588a0004eae7e?OpenDocument" TargetMode="External" Id="rId107"/><Relationship Type="http://schemas.openxmlformats.org/officeDocument/2006/relationships/hyperlink" Target="http://aacpdappls.net.ms.gov.br/appls/legislacao/serc/legato.nsf/fd8600de8a55c7fc04256b210079ce25/d50603b720f2c17b042588a0004eae7e?OpenDocument" TargetMode="External" Id="rId108"/><Relationship Type="http://schemas.openxmlformats.org/officeDocument/2006/relationships/hyperlink" Target="http://aacpdappls.net.ms.gov.br/appls/legislacao/serc/legato.nsf/fd8600de8a55c7fc04256b210079ce25/d50603b720f2c17b042588a0004eae7e?OpenDocument" TargetMode="External" Id="rId109"/><Relationship Type="http://schemas.openxmlformats.org/officeDocument/2006/relationships/hyperlink" Target="http://aacpdappls.net.ms.gov.br/appls/legislacao/serc/legato.nsf/fd8600de8a55c7fc04256b210079ce25/d50603b720f2c17b042588a0004eae7e?OpenDocument" TargetMode="External" Id="rId110"/><Relationship Type="http://schemas.openxmlformats.org/officeDocument/2006/relationships/hyperlink" Target="http://aacpdappls.net.ms.gov.br/appls/legislacao/serc/legato.nsf/fd8600de8a55c7fc04256b210079ce25/d50603b720f2c17b042588a0004eae7e?OpenDocument" TargetMode="External" Id="rId111"/><Relationship Type="http://schemas.openxmlformats.org/officeDocument/2006/relationships/hyperlink" Target="http://aacpdappls.net.ms.gov.br/appls/legislacao/serc/legato.nsf/fd8600de8a55c7fc04256b210079ce25/d50603b720f2c17b042588a0004eae7e?OpenDocument" TargetMode="External" Id="rId112"/><Relationship Type="http://schemas.openxmlformats.org/officeDocument/2006/relationships/hyperlink" Target="http://aacpdappls.net.ms.gov.br/appls/legislacao/serc/legato.nsf/fd8600de8a55c7fc04256b210079ce25/d50603b720f2c17b042588a0004eae7e?OpenDocument" TargetMode="External" Id="rId113"/><Relationship Type="http://schemas.openxmlformats.org/officeDocument/2006/relationships/hyperlink" Target="http://aacpdappls.net.ms.gov.br/appls/legislacao/serc/legato.nsf/fd8600de8a55c7fc04256b210079ce25/d50603b720f2c17b042588a0004eae7e?OpenDocument" TargetMode="External" Id="rId114"/></Relationships>
</file>

<file path=xl/worksheets/_rels/sheet7.xml.rels><Relationships xmlns="http://schemas.openxmlformats.org/package/2006/relationships"><Relationship Type="http://schemas.openxmlformats.org/officeDocument/2006/relationships/table" Target="/xl/tables/table4.xml" Id="rId1"/><Relationship Type="http://schemas.openxmlformats.org/officeDocument/2006/relationships/table" Target="/xl/tables/table5.xml" Id="rId2"/></Relationships>
</file>

<file path=xl/worksheets/sheet1.xml><?xml version="1.0" encoding="utf-8"?>
<worksheet xmlns="http://schemas.openxmlformats.org/spreadsheetml/2006/main">
  <sheetPr codeName="wsRegimeEspecial">
    <tabColor theme="5"/>
    <outlinePr summaryBelow="1" summaryRight="1"/>
    <pageSetUpPr/>
  </sheetPr>
  <dimension ref="A1:AP514"/>
  <sheetViews>
    <sheetView tabSelected="1" topLeftCell="Z1" zoomScale="93" zoomScaleNormal="93" workbookViewId="0">
      <pane ySplit="4" topLeftCell="A39" activePane="bottomLeft" state="frozen"/>
      <selection pane="bottomLeft" activeCell="AK514" sqref="AK514"/>
    </sheetView>
  </sheetViews>
  <sheetFormatPr baseColWidth="8" defaultColWidth="15.5703125" defaultRowHeight="15"/>
  <cols>
    <col width="7.5703125" customWidth="1" min="1" max="2"/>
    <col width="11.28515625" customWidth="1" min="3" max="3"/>
    <col width="26.28515625" customWidth="1" style="1" min="4" max="4"/>
    <col width="8.5703125" bestFit="1" customWidth="1" min="5" max="5"/>
    <col width="37" customWidth="1" min="6" max="6"/>
    <col width="11.5703125" customWidth="1" min="7" max="7"/>
    <col width="5.140625" customWidth="1" min="8" max="8"/>
    <col width="12.5703125" customWidth="1" style="135" min="9" max="9"/>
    <col width="11.42578125" customWidth="1" min="10" max="10"/>
    <col width="16.7109375" customWidth="1" min="11" max="11"/>
    <col width="5.85546875" customWidth="1" min="12" max="12"/>
    <col width="11.140625" customWidth="1" min="13" max="13"/>
    <col width="5.140625" customWidth="1" min="14" max="14"/>
    <col width="42.42578125" customWidth="1" style="1" min="15" max="15"/>
    <col width="5.140625" customWidth="1" min="16" max="16"/>
    <col width="10.140625" customWidth="1" min="17" max="17"/>
    <col width="10.28515625" customWidth="1" min="18" max="18"/>
    <col width="10.140625" customWidth="1" min="19" max="19"/>
    <col width="10.42578125" customWidth="1" min="20" max="20"/>
    <col width="29.85546875" customWidth="1" min="21" max="21"/>
    <col width="13" customWidth="1" min="22" max="22"/>
    <col width="13.7109375" customWidth="1" min="23" max="23"/>
    <col width="9.5703125" customWidth="1" min="24" max="24"/>
    <col width="8.28515625" bestFit="1" customWidth="1" min="25" max="25"/>
    <col width="9" customWidth="1" min="26" max="26"/>
    <col width="8.140625" customWidth="1" min="27" max="27"/>
    <col width="12.42578125" customWidth="1" min="28" max="29"/>
    <col width="11.28515625" customWidth="1" min="30" max="30"/>
    <col width="15" customWidth="1" min="31" max="31"/>
    <col width="7.5703125" customWidth="1" style="134" min="32" max="32"/>
    <col width="16.7109375" customWidth="1" min="33" max="33"/>
    <col width="8.28515625" customWidth="1" min="34" max="34"/>
    <col width="10.28515625" customWidth="1" min="35" max="35"/>
    <col width="10.5703125" customWidth="1" min="36" max="36"/>
    <col width="14" customWidth="1" min="37" max="37"/>
    <col width="20" customWidth="1" min="38" max="38"/>
    <col hidden="1" width="19.5703125" customWidth="1" min="39" max="39"/>
  </cols>
  <sheetData>
    <row r="1" ht="15.75" customHeight="1">
      <c r="C1" s="137" t="inlineStr">
        <is>
          <t>Período:</t>
        </is>
      </c>
      <c r="D1" s="138" t="n">
        <v>46113</v>
      </c>
      <c r="F1" s="168" t="inlineStr">
        <is>
          <t>Contribuinte:</t>
        </is>
      </c>
      <c r="G1" s="169" t="inlineStr">
        <is>
          <t>ROTILLI &amp; MACHADO LTDA</t>
        </is>
      </c>
      <c r="AD1" s="134" t="n"/>
      <c r="AM1" t="inlineStr">
        <is>
          <t>PMC CEMED</t>
        </is>
      </c>
      <c r="AN1" t="inlineStr">
        <is>
          <t>PMC CEMED</t>
        </is>
      </c>
      <c r="AO1" t="inlineStr">
        <is>
          <t>Diferença CEMED</t>
        </is>
      </c>
    </row>
    <row r="2" ht="15.75" customHeight="1">
      <c r="A2" t="inlineStr">
        <is>
          <t>x</t>
        </is>
      </c>
      <c r="C2" s="141" t="inlineStr">
        <is>
          <t>Inscrição Estadual:</t>
        </is>
      </c>
      <c r="D2" s="170" t="inlineStr">
        <is>
          <t>28.950.783-9</t>
        </is>
      </c>
      <c r="F2" s="168" t="inlineStr">
        <is>
          <t>Cidade:</t>
        </is>
      </c>
      <c r="G2" s="169" t="inlineStr">
        <is>
          <t>Campo Grande/MS</t>
        </is>
      </c>
      <c r="AD2" s="134" t="n"/>
    </row>
    <row r="3" ht="15.75" customHeight="1">
      <c r="C3" s="168" t="inlineStr">
        <is>
          <t>CNPJ:</t>
        </is>
      </c>
      <c r="D3" s="170" t="inlineStr">
        <is>
          <t>08.833.844/0004-78</t>
        </is>
      </c>
      <c r="AD3" s="134" t="n"/>
      <c r="AL3" s="171">
        <f>SUM(tabRegEsp[Valor ICMS a Pagar])</f>
        <v/>
      </c>
    </row>
    <row r="4" customFormat="1" s="133">
      <c r="A4" t="inlineStr">
        <is>
          <t>ANO</t>
        </is>
      </c>
      <c r="B4" t="inlineStr">
        <is>
          <t>MÊS</t>
        </is>
      </c>
      <c r="C4" t="inlineStr">
        <is>
          <t>DATA</t>
        </is>
      </c>
      <c r="D4" t="inlineStr">
        <is>
          <t>CHAVE DE ACESSO</t>
        </is>
      </c>
      <c r="E4" t="inlineStr">
        <is>
          <t>Nº NF</t>
        </is>
      </c>
      <c r="F4" t="inlineStr">
        <is>
          <t>RAZÃO REMTE</t>
        </is>
      </c>
      <c r="G4" t="inlineStr">
        <is>
          <t>CNPJ REMTE</t>
        </is>
      </c>
      <c r="H4" t="inlineStr">
        <is>
          <t>UF REMTE</t>
        </is>
      </c>
      <c r="I4" t="inlineStr">
        <is>
          <t>CEST</t>
        </is>
      </c>
      <c r="J4" t="inlineStr">
        <is>
          <t>COD NCM</t>
        </is>
      </c>
      <c r="K4" t="inlineStr">
        <is>
          <t>COD EAN GTIN TRIB</t>
        </is>
      </c>
      <c r="L4" t="inlineStr">
        <is>
          <t>COD CFOP</t>
        </is>
      </c>
      <c r="M4" t="inlineStr">
        <is>
          <t>COD PRODUTO NF ORIGEM</t>
        </is>
      </c>
      <c r="N4" t="inlineStr">
        <is>
          <t>Nº ITEM</t>
        </is>
      </c>
      <c r="O4" t="inlineStr">
        <is>
          <t>DESCRICAO PRODUTO</t>
        </is>
      </c>
      <c r="P4" t="inlineStr">
        <is>
          <t>UNID.</t>
        </is>
      </c>
      <c r="Q4" t="inlineStr">
        <is>
          <t>QTDE</t>
        </is>
      </c>
      <c r="R4" t="inlineStr">
        <is>
          <t>VLR UNIT TRIB.</t>
        </is>
      </c>
      <c r="S4" t="inlineStr">
        <is>
          <t>FRETE</t>
        </is>
      </c>
      <c r="T4" t="inlineStr">
        <is>
          <t>SEGURO/DESP. ACESS.</t>
        </is>
      </c>
      <c r="U4" s="152" t="inlineStr">
        <is>
          <t>IPI</t>
        </is>
      </c>
      <c r="V4" t="inlineStr">
        <is>
          <t>DESCONTO</t>
        </is>
      </c>
      <c r="W4" t="inlineStr">
        <is>
          <t>BC ICMS (ORIGEM)</t>
        </is>
      </c>
      <c r="X4" t="inlineStr">
        <is>
          <t>VLR ICMS (ORIGEM)</t>
        </is>
      </c>
      <c r="Y4" t="inlineStr">
        <is>
          <t>PMC</t>
        </is>
      </c>
      <c r="Z4" t="inlineStr">
        <is>
          <t>MVA</t>
        </is>
      </c>
      <c r="AA4" t="inlineStr">
        <is>
          <t>MOD BC ICMS ST</t>
        </is>
      </c>
      <c r="AB4" t="inlineStr">
        <is>
          <t>BC ICMS ST RETIDO</t>
        </is>
      </c>
      <c r="AC4" t="inlineStr">
        <is>
          <t>VLR ICMS ST RETIDO</t>
        </is>
      </c>
      <c r="AD4" t="inlineStr">
        <is>
          <t>BC ICMS ST APURADO</t>
        </is>
      </c>
      <c r="AE4" t="inlineStr">
        <is>
          <t>Aliquota Interna</t>
        </is>
      </c>
      <c r="AF4" t="inlineStr">
        <is>
          <t>VLR ICMS ST APURADO</t>
        </is>
      </c>
      <c r="AG4" t="inlineStr">
        <is>
          <t>CRÉDITO OUTORGADO É DEVIDO? (S ou N)</t>
        </is>
      </c>
      <c r="AH4" t="inlineStr">
        <is>
          <t>CALC. 1</t>
        </is>
      </c>
      <c r="AI4" t="inlineStr">
        <is>
          <t>CALC. 2</t>
        </is>
      </c>
      <c r="AJ4" t="inlineStr">
        <is>
          <t>CRÉD. OUTORG.</t>
        </is>
      </c>
      <c r="AK4" t="inlineStr">
        <is>
          <t>Valor ICMS a Pagar</t>
        </is>
      </c>
      <c r="AL4" t="inlineStr">
        <is>
          <t>Coluna1</t>
        </is>
      </c>
      <c r="AM4" s="133" t="inlineStr">
        <is>
          <t>Coluna3</t>
        </is>
      </c>
      <c r="AN4" t="inlineStr">
        <is>
          <t>PMC CMED</t>
        </is>
      </c>
      <c r="AO4" t="inlineStr">
        <is>
          <t>Diferença PMC</t>
        </is>
      </c>
      <c r="AP4" t="inlineStr">
        <is>
          <t>ALÍQUOTA DO PRODUTO</t>
        </is>
      </c>
    </row>
    <row r="5">
      <c r="C5" s="18" t="n"/>
      <c r="D5" s="11" t="n"/>
      <c r="G5" s="11" t="n"/>
      <c r="I5" s="11" t="n"/>
      <c r="J5" s="11" t="n"/>
      <c r="K5" s="11" t="n"/>
      <c r="R5" s="172" t="n"/>
      <c r="S5" s="172" t="n"/>
      <c r="T5" s="172" t="n"/>
      <c r="U5" s="172" t="n"/>
      <c r="V5" s="172" t="n"/>
      <c r="W5" s="172" t="n"/>
      <c r="X5" s="172" t="n"/>
      <c r="Y5" s="173" t="n"/>
      <c r="Z5" s="174" t="n"/>
      <c r="AB5" s="172" t="n"/>
      <c r="AC5" s="172" t="n"/>
      <c r="AD5" s="172" t="n"/>
      <c r="AE5" s="172" t="n"/>
      <c r="AG5" s="172" t="n"/>
      <c r="AI5" s="172" t="n"/>
      <c r="AJ5" s="172" t="n"/>
      <c r="AK5" s="172" t="n"/>
      <c r="AL5" s="172" t="n"/>
      <c r="AM5" s="172" t="n"/>
    </row>
    <row r="6">
      <c r="C6" s="18" t="n"/>
      <c r="D6" s="11" t="n"/>
      <c r="G6" s="11" t="n"/>
      <c r="I6" s="11" t="n"/>
      <c r="J6" s="11" t="n"/>
      <c r="K6" s="11" t="n"/>
      <c r="R6" s="172" t="n"/>
      <c r="S6" s="172" t="n"/>
      <c r="T6" s="172" t="n"/>
      <c r="U6" s="172" t="n"/>
      <c r="V6" s="172" t="n"/>
      <c r="W6" s="172" t="n"/>
      <c r="X6" s="172" t="n"/>
      <c r="Y6" s="173" t="n"/>
      <c r="Z6" s="174" t="n"/>
      <c r="AB6" s="172" t="n"/>
      <c r="AC6" s="172" t="n"/>
      <c r="AD6" s="172" t="n"/>
      <c r="AE6" s="172" t="n"/>
      <c r="AG6" s="172" t="n"/>
      <c r="AI6" s="172" t="n"/>
      <c r="AJ6" s="172" t="n"/>
      <c r="AK6" s="172" t="n"/>
      <c r="AL6" s="172" t="n"/>
      <c r="AM6" s="172" t="n"/>
    </row>
    <row r="7">
      <c r="C7" s="18" t="n"/>
      <c r="D7" s="11" t="n"/>
      <c r="G7" s="11" t="n"/>
      <c r="I7" s="11" t="n"/>
      <c r="J7" s="11" t="n"/>
      <c r="K7" s="11" t="n"/>
      <c r="R7" s="172" t="n"/>
      <c r="S7" s="172" t="n"/>
      <c r="T7" s="172" t="n"/>
      <c r="U7" s="172" t="n"/>
      <c r="V7" s="172" t="n"/>
      <c r="W7" s="172" t="n"/>
      <c r="X7" s="172" t="n"/>
      <c r="Y7" s="173" t="n"/>
      <c r="Z7" s="174" t="n"/>
      <c r="AB7" s="172" t="n"/>
      <c r="AC7" s="172" t="n"/>
      <c r="AD7" s="172" t="n"/>
      <c r="AE7" s="172" t="n"/>
      <c r="AG7" s="172" t="n"/>
      <c r="AI7" s="172" t="n"/>
      <c r="AJ7" s="172" t="n"/>
      <c r="AK7" s="172" t="n"/>
      <c r="AL7" s="172" t="n"/>
      <c r="AM7" s="172" t="n"/>
    </row>
    <row r="8">
      <c r="C8" s="18" t="n"/>
      <c r="D8" s="11" t="n"/>
      <c r="G8" s="11" t="n"/>
      <c r="I8" s="11" t="n"/>
      <c r="J8" s="11" t="n"/>
      <c r="K8" s="11" t="n"/>
      <c r="R8" s="172" t="n"/>
      <c r="S8" s="172" t="n"/>
      <c r="T8" s="172" t="n"/>
      <c r="U8" s="172" t="n"/>
      <c r="V8" s="172" t="n"/>
      <c r="W8" s="172" t="n"/>
      <c r="X8" s="172" t="n"/>
      <c r="Y8" s="173" t="n"/>
      <c r="Z8" s="174" t="n"/>
      <c r="AB8" s="172" t="n"/>
      <c r="AC8" s="172" t="n"/>
      <c r="AD8" s="172" t="n"/>
      <c r="AE8" s="172" t="n"/>
      <c r="AG8" s="172" t="n"/>
      <c r="AI8" s="172" t="n"/>
      <c r="AJ8" s="172" t="n"/>
      <c r="AK8" s="172" t="n"/>
      <c r="AL8" s="172" t="n"/>
      <c r="AM8" s="172" t="n"/>
    </row>
    <row r="9">
      <c r="C9" s="18" t="n"/>
      <c r="D9" s="11" t="n"/>
      <c r="G9" s="11" t="n"/>
      <c r="I9" s="11" t="n"/>
      <c r="J9" s="11" t="n"/>
      <c r="K9" s="11" t="n"/>
      <c r="R9" s="172" t="n"/>
      <c r="S9" s="172" t="n"/>
      <c r="T9" s="172" t="n"/>
      <c r="U9" s="172" t="n"/>
      <c r="V9" s="172" t="n"/>
      <c r="W9" s="172" t="n"/>
      <c r="X9" s="172" t="n"/>
      <c r="Y9" s="173" t="n"/>
      <c r="Z9" s="174" t="n"/>
      <c r="AB9" s="172" t="n"/>
      <c r="AC9" s="172" t="n"/>
      <c r="AD9" s="172" t="n"/>
      <c r="AE9" s="172" t="n"/>
      <c r="AG9" s="172" t="n"/>
      <c r="AI9" s="172" t="n"/>
      <c r="AJ9" s="172" t="n"/>
      <c r="AK9" s="172" t="n"/>
      <c r="AL9" s="172" t="n"/>
      <c r="AM9" s="172" t="n"/>
    </row>
    <row r="10">
      <c r="C10" s="18" t="n"/>
      <c r="D10" s="11" t="n"/>
      <c r="G10" s="11" t="n"/>
      <c r="I10" s="11" t="n"/>
      <c r="J10" s="11" t="n"/>
      <c r="K10" s="11" t="n"/>
      <c r="R10" s="172" t="n"/>
      <c r="S10" s="172" t="n"/>
      <c r="T10" s="172" t="n"/>
      <c r="U10" s="172" t="n"/>
      <c r="V10" s="172" t="n"/>
      <c r="W10" s="172" t="n"/>
      <c r="X10" s="172" t="n"/>
      <c r="Y10" s="173" t="n"/>
      <c r="Z10" s="174" t="n"/>
      <c r="AB10" s="172" t="n"/>
      <c r="AC10" s="172" t="n"/>
      <c r="AD10" s="172" t="n"/>
      <c r="AE10" s="172" t="n"/>
      <c r="AG10" s="172" t="n"/>
      <c r="AI10" s="172" t="n"/>
      <c r="AJ10" s="172" t="n"/>
      <c r="AK10" s="172" t="n"/>
      <c r="AL10" s="172" t="n"/>
      <c r="AM10" s="172" t="n"/>
    </row>
    <row r="11">
      <c r="C11" s="18" t="n"/>
      <c r="D11" s="11" t="n"/>
      <c r="G11" s="11" t="n"/>
      <c r="I11" s="11" t="n"/>
      <c r="J11" s="11" t="n"/>
      <c r="K11" s="11" t="n"/>
      <c r="R11" s="172" t="n"/>
      <c r="S11" s="172" t="n"/>
      <c r="T11" s="172" t="n"/>
      <c r="U11" s="172" t="n"/>
      <c r="V11" s="172" t="n"/>
      <c r="W11" s="172" t="n"/>
      <c r="X11" s="172" t="n"/>
      <c r="Y11" s="173" t="n"/>
      <c r="Z11" s="174" t="n"/>
      <c r="AB11" s="172" t="n"/>
      <c r="AC11" s="172" t="n"/>
      <c r="AD11" s="172" t="n"/>
      <c r="AE11" s="172" t="n"/>
      <c r="AG11" s="172" t="n"/>
      <c r="AI11" s="172" t="n"/>
      <c r="AJ11" s="172" t="n"/>
      <c r="AK11" s="172" t="n"/>
      <c r="AL11" s="172" t="n"/>
      <c r="AM11" s="172" t="n"/>
    </row>
    <row r="12">
      <c r="C12" s="18" t="n"/>
      <c r="D12" s="11" t="n"/>
      <c r="G12" s="11" t="n"/>
      <c r="I12" s="11" t="n"/>
      <c r="J12" s="11" t="n"/>
      <c r="K12" s="11" t="n"/>
      <c r="R12" s="172" t="n"/>
      <c r="S12" s="172" t="n"/>
      <c r="T12" s="172" t="n"/>
      <c r="U12" s="172" t="n"/>
      <c r="V12" s="172" t="n"/>
      <c r="W12" s="172" t="n"/>
      <c r="X12" s="172" t="n"/>
      <c r="Y12" s="173" t="n"/>
      <c r="Z12" s="174" t="n"/>
      <c r="AB12" s="172" t="n"/>
      <c r="AC12" s="172" t="n"/>
      <c r="AD12" s="172" t="n"/>
      <c r="AE12" s="172" t="n"/>
      <c r="AG12" s="172" t="n"/>
      <c r="AI12" s="172" t="n"/>
      <c r="AJ12" s="172" t="n"/>
      <c r="AK12" s="172" t="n"/>
      <c r="AL12" s="172" t="n"/>
      <c r="AM12" s="172" t="n"/>
    </row>
    <row r="13">
      <c r="C13" s="18" t="n"/>
      <c r="D13" s="11" t="n"/>
      <c r="G13" s="11" t="n"/>
      <c r="I13" s="11" t="n"/>
      <c r="J13" s="11" t="n"/>
      <c r="K13" s="11" t="n"/>
      <c r="R13" s="172" t="n"/>
      <c r="S13" s="172" t="n"/>
      <c r="T13" s="172" t="n"/>
      <c r="U13" s="172" t="n"/>
      <c r="V13" s="172" t="n"/>
      <c r="W13" s="172" t="n"/>
      <c r="X13" s="172" t="n"/>
      <c r="Y13" s="173" t="n"/>
      <c r="Z13" s="174" t="n"/>
      <c r="AB13" s="172" t="n"/>
      <c r="AC13" s="172" t="n"/>
      <c r="AD13" s="172" t="n"/>
      <c r="AE13" s="172" t="n"/>
      <c r="AG13" s="172" t="n"/>
      <c r="AI13" s="172" t="n"/>
      <c r="AJ13" s="172" t="n"/>
      <c r="AK13" s="172" t="n"/>
      <c r="AL13" s="172" t="n"/>
      <c r="AM13" s="172" t="n"/>
    </row>
    <row r="14">
      <c r="C14" s="18" t="n"/>
      <c r="D14" s="11" t="n"/>
      <c r="G14" s="11" t="n"/>
      <c r="I14" s="11" t="n"/>
      <c r="J14" s="11" t="n"/>
      <c r="K14" s="11" t="n"/>
      <c r="R14" s="172" t="n"/>
      <c r="S14" s="172" t="n"/>
      <c r="T14" s="172" t="n"/>
      <c r="U14" s="172" t="n"/>
      <c r="V14" s="172" t="n"/>
      <c r="W14" s="172" t="n"/>
      <c r="X14" s="172" t="n"/>
      <c r="Y14" s="173" t="n"/>
      <c r="Z14" s="174" t="n"/>
      <c r="AB14" s="172" t="n"/>
      <c r="AC14" s="172" t="n"/>
      <c r="AD14" s="172" t="n"/>
      <c r="AE14" s="172" t="n"/>
      <c r="AG14" s="172" t="n"/>
      <c r="AI14" s="172" t="n"/>
      <c r="AJ14" s="172" t="n"/>
      <c r="AK14" s="172" t="n"/>
      <c r="AL14" s="172" t="n"/>
      <c r="AM14" s="172" t="n"/>
    </row>
    <row r="15">
      <c r="C15" s="18" t="n"/>
      <c r="D15" s="11" t="n"/>
      <c r="G15" s="11" t="n"/>
      <c r="I15" s="11" t="n"/>
      <c r="J15" s="11" t="n"/>
      <c r="K15" s="11" t="n"/>
      <c r="R15" s="172" t="n"/>
      <c r="S15" s="172" t="n"/>
      <c r="T15" s="172" t="n"/>
      <c r="U15" s="172" t="n"/>
      <c r="V15" s="172" t="n"/>
      <c r="W15" s="172" t="n"/>
      <c r="X15" s="172" t="n"/>
      <c r="Y15" s="173" t="n"/>
      <c r="Z15" s="174" t="n"/>
      <c r="AB15" s="172" t="n"/>
      <c r="AC15" s="172" t="n"/>
      <c r="AD15" s="172" t="n"/>
      <c r="AE15" s="172" t="n"/>
      <c r="AG15" s="172" t="n"/>
      <c r="AI15" s="172" t="n"/>
      <c r="AJ15" s="172" t="n"/>
      <c r="AK15" s="172" t="n"/>
      <c r="AL15" s="172" t="n"/>
      <c r="AM15" s="172" t="n"/>
    </row>
    <row r="16">
      <c r="C16" s="18" t="n"/>
      <c r="D16" s="11" t="n"/>
      <c r="G16" s="11" t="n"/>
      <c r="I16" s="11" t="n"/>
      <c r="J16" s="11" t="n"/>
      <c r="K16" s="11" t="n"/>
      <c r="R16" s="172" t="n"/>
      <c r="S16" s="172" t="n"/>
      <c r="T16" s="172" t="n"/>
      <c r="U16" s="172" t="n"/>
      <c r="V16" s="172" t="n"/>
      <c r="W16" s="172" t="n"/>
      <c r="X16" s="172" t="n"/>
      <c r="Y16" s="173" t="n"/>
      <c r="Z16" s="174" t="n"/>
      <c r="AB16" s="172" t="n"/>
      <c r="AC16" s="172" t="n"/>
      <c r="AD16" s="172" t="n"/>
      <c r="AE16" s="172" t="n"/>
      <c r="AG16" s="172" t="n"/>
      <c r="AI16" s="172" t="n"/>
      <c r="AJ16" s="172" t="n"/>
      <c r="AK16" s="172" t="n"/>
      <c r="AL16" s="172" t="n"/>
      <c r="AM16" s="172" t="n"/>
    </row>
    <row r="17">
      <c r="C17" s="18" t="n"/>
      <c r="D17" s="11" t="n"/>
      <c r="G17" s="11" t="n"/>
      <c r="I17" s="11" t="n"/>
      <c r="J17" s="11" t="n"/>
      <c r="K17" s="11" t="n"/>
      <c r="R17" s="172" t="n"/>
      <c r="S17" s="172" t="n"/>
      <c r="T17" s="172" t="n"/>
      <c r="U17" s="172" t="n"/>
      <c r="V17" s="172" t="n"/>
      <c r="W17" s="172" t="n"/>
      <c r="X17" s="172" t="n"/>
      <c r="Y17" s="173" t="n"/>
      <c r="Z17" s="174" t="n"/>
      <c r="AB17" s="172" t="n"/>
      <c r="AC17" s="172" t="n"/>
      <c r="AD17" s="172" t="n"/>
      <c r="AE17" s="172" t="n"/>
      <c r="AG17" s="172" t="n"/>
      <c r="AI17" s="172" t="n"/>
      <c r="AJ17" s="172" t="n"/>
      <c r="AK17" s="172" t="n"/>
      <c r="AL17" s="172" t="n"/>
      <c r="AM17" s="172" t="n"/>
    </row>
    <row r="18">
      <c r="C18" s="18" t="n"/>
      <c r="D18" s="11" t="n"/>
      <c r="G18" s="11" t="n"/>
      <c r="I18" s="11" t="n"/>
      <c r="J18" s="11" t="n"/>
      <c r="K18" s="11" t="n"/>
      <c r="R18" s="172" t="n"/>
      <c r="S18" s="172" t="n"/>
      <c r="T18" s="172" t="n"/>
      <c r="U18" s="172" t="n"/>
      <c r="V18" s="172" t="n"/>
      <c r="W18" s="172" t="n"/>
      <c r="X18" s="172" t="n"/>
      <c r="Y18" s="173" t="n"/>
      <c r="Z18" s="174" t="n"/>
      <c r="AB18" s="172" t="n"/>
      <c r="AC18" s="172" t="n"/>
      <c r="AD18" s="172" t="n"/>
      <c r="AE18" s="172" t="n"/>
      <c r="AG18" s="172" t="n"/>
      <c r="AI18" s="172" t="n"/>
      <c r="AJ18" s="172" t="n"/>
      <c r="AK18" s="172" t="n"/>
      <c r="AL18" s="172" t="n"/>
      <c r="AM18" s="172" t="n"/>
    </row>
    <row r="19">
      <c r="C19" s="18" t="n"/>
      <c r="D19" s="11" t="n"/>
      <c r="G19" s="11" t="n"/>
      <c r="I19" s="11" t="n"/>
      <c r="J19" s="11" t="n"/>
      <c r="K19" s="11" t="n"/>
      <c r="R19" s="172" t="n"/>
      <c r="S19" s="172" t="n"/>
      <c r="T19" s="172" t="n"/>
      <c r="U19" s="172" t="n"/>
      <c r="V19" s="172" t="n"/>
      <c r="W19" s="172" t="n"/>
      <c r="X19" s="172" t="n"/>
      <c r="Y19" s="173" t="n"/>
      <c r="Z19" s="174" t="n"/>
      <c r="AB19" s="172" t="n"/>
      <c r="AC19" s="172" t="n"/>
      <c r="AD19" s="172" t="n"/>
      <c r="AE19" s="172" t="n"/>
      <c r="AG19" s="172" t="n"/>
      <c r="AI19" s="172" t="n"/>
      <c r="AJ19" s="172" t="n"/>
      <c r="AK19" s="172" t="n"/>
      <c r="AL19" s="172" t="n"/>
      <c r="AM19" s="172" t="n"/>
    </row>
    <row r="20">
      <c r="C20" s="18" t="n"/>
      <c r="D20" s="11" t="n"/>
      <c r="G20" s="11" t="n"/>
      <c r="I20" s="11" t="n"/>
      <c r="J20" s="11" t="n"/>
      <c r="K20" s="11" t="n"/>
      <c r="R20" s="172" t="n"/>
      <c r="S20" s="172" t="n"/>
      <c r="T20" s="172" t="n"/>
      <c r="U20" s="172" t="n"/>
      <c r="V20" s="172" t="n"/>
      <c r="W20" s="172" t="n"/>
      <c r="X20" s="172" t="n"/>
      <c r="Y20" s="173" t="n"/>
      <c r="Z20" s="174" t="n"/>
      <c r="AB20" s="172" t="n"/>
      <c r="AC20" s="172" t="n"/>
      <c r="AD20" s="172" t="n"/>
      <c r="AE20" s="172" t="n"/>
      <c r="AG20" s="172" t="n"/>
      <c r="AI20" s="172" t="n"/>
      <c r="AJ20" s="172" t="n"/>
      <c r="AK20" s="172" t="n"/>
      <c r="AL20" s="172" t="n"/>
      <c r="AM20" s="172" t="n"/>
    </row>
    <row r="21">
      <c r="C21" s="18" t="n"/>
      <c r="D21" s="11" t="n"/>
      <c r="G21" s="11" t="n"/>
      <c r="I21" s="11" t="n"/>
      <c r="J21" s="11" t="n"/>
      <c r="K21" s="11" t="n"/>
      <c r="R21" s="172" t="n"/>
      <c r="S21" s="172" t="n"/>
      <c r="T21" s="172" t="n"/>
      <c r="U21" s="172" t="n"/>
      <c r="V21" s="172" t="n"/>
      <c r="W21" s="172" t="n"/>
      <c r="X21" s="172" t="n"/>
      <c r="Y21" s="173" t="n"/>
      <c r="Z21" s="174" t="n"/>
      <c r="AB21" s="172" t="n"/>
      <c r="AC21" s="172" t="n"/>
      <c r="AD21" s="172" t="n"/>
      <c r="AE21" s="172" t="n"/>
      <c r="AG21" s="172" t="n"/>
      <c r="AI21" s="172" t="n"/>
      <c r="AJ21" s="172" t="n"/>
      <c r="AK21" s="172" t="n"/>
      <c r="AL21" s="172" t="n"/>
      <c r="AM21" s="172" t="n"/>
    </row>
    <row r="22">
      <c r="C22" s="18" t="n"/>
      <c r="D22" s="11" t="n"/>
      <c r="G22" s="11" t="n"/>
      <c r="I22" s="11" t="n"/>
      <c r="J22" s="11" t="n"/>
      <c r="K22" s="11" t="n"/>
      <c r="R22" s="172" t="n"/>
      <c r="S22" s="172" t="n"/>
      <c r="T22" s="172" t="n"/>
      <c r="U22" s="172" t="n"/>
      <c r="V22" s="172" t="n"/>
      <c r="W22" s="172" t="n"/>
      <c r="X22" s="172" t="n"/>
      <c r="Y22" s="173" t="n"/>
      <c r="Z22" s="174" t="n"/>
      <c r="AB22" s="172" t="n"/>
      <c r="AC22" s="172" t="n"/>
      <c r="AD22" s="172" t="n"/>
      <c r="AE22" s="172" t="n"/>
      <c r="AG22" s="172" t="n"/>
      <c r="AI22" s="172" t="n"/>
      <c r="AJ22" s="172" t="n"/>
      <c r="AK22" s="172" t="n"/>
      <c r="AL22" s="172" t="n"/>
      <c r="AM22" s="172" t="n"/>
    </row>
    <row r="23">
      <c r="C23" s="18" t="n"/>
      <c r="D23" s="11" t="n"/>
      <c r="G23" s="11" t="n"/>
      <c r="I23" s="11" t="n"/>
      <c r="J23" s="11" t="n"/>
      <c r="K23" s="11" t="n"/>
      <c r="R23" s="172" t="n"/>
      <c r="S23" s="172" t="n"/>
      <c r="T23" s="172" t="n"/>
      <c r="U23" s="172" t="n"/>
      <c r="V23" s="172" t="n"/>
      <c r="W23" s="172" t="n"/>
      <c r="X23" s="172" t="n"/>
      <c r="Y23" s="173" t="n"/>
      <c r="Z23" s="174" t="n"/>
      <c r="AB23" s="172" t="n"/>
      <c r="AC23" s="172" t="n"/>
      <c r="AD23" s="172" t="n"/>
      <c r="AE23" s="172" t="n"/>
      <c r="AG23" s="172" t="n"/>
      <c r="AI23" s="172" t="n"/>
      <c r="AJ23" s="172" t="n"/>
      <c r="AK23" s="172" t="n"/>
      <c r="AL23" s="172" t="n"/>
      <c r="AM23" s="172" t="n"/>
    </row>
    <row r="24">
      <c r="C24" s="18" t="n"/>
      <c r="D24" s="11" t="n"/>
      <c r="G24" s="11" t="n"/>
      <c r="I24" s="11" t="n"/>
      <c r="J24" s="11" t="n"/>
      <c r="K24" s="11" t="n"/>
      <c r="R24" s="172" t="n"/>
      <c r="S24" s="172" t="n"/>
      <c r="T24" s="172" t="n"/>
      <c r="U24" s="172" t="n"/>
      <c r="V24" s="172" t="n"/>
      <c r="W24" s="172" t="n"/>
      <c r="X24" s="172" t="n"/>
      <c r="Y24" s="173" t="n"/>
      <c r="Z24" s="174" t="n"/>
      <c r="AB24" s="172" t="n"/>
      <c r="AC24" s="172" t="n"/>
      <c r="AD24" s="172" t="n"/>
      <c r="AE24" s="172" t="n"/>
      <c r="AG24" s="172" t="n"/>
      <c r="AI24" s="172" t="n"/>
      <c r="AJ24" s="172" t="n"/>
      <c r="AK24" s="172" t="n"/>
      <c r="AL24" s="172" t="n"/>
      <c r="AM24" s="172" t="n"/>
    </row>
    <row r="25">
      <c r="C25" s="18" t="n"/>
      <c r="D25" s="11" t="n"/>
      <c r="G25" s="11" t="n"/>
      <c r="I25" s="11" t="n"/>
      <c r="J25" s="11" t="n"/>
      <c r="K25" s="11" t="n"/>
      <c r="R25" s="172" t="n"/>
      <c r="S25" s="172" t="n"/>
      <c r="T25" s="172" t="n"/>
      <c r="U25" s="172" t="n"/>
      <c r="V25" s="172" t="n"/>
      <c r="W25" s="172" t="n"/>
      <c r="X25" s="172" t="n"/>
      <c r="Y25" s="173" t="n"/>
      <c r="Z25" s="174" t="n"/>
      <c r="AB25" s="172" t="n"/>
      <c r="AC25" s="172" t="n"/>
      <c r="AD25" s="172" t="n"/>
      <c r="AE25" s="172" t="n"/>
      <c r="AG25" s="172" t="n"/>
      <c r="AI25" s="172" t="n"/>
      <c r="AJ25" s="172" t="n"/>
      <c r="AK25" s="172" t="n"/>
      <c r="AL25" s="172" t="n"/>
      <c r="AM25" s="172" t="n"/>
    </row>
    <row r="26">
      <c r="C26" s="18" t="n"/>
      <c r="D26" s="11" t="n"/>
      <c r="G26" s="11" t="n"/>
      <c r="I26" s="11" t="n"/>
      <c r="J26" s="11" t="n"/>
      <c r="K26" s="11" t="n"/>
      <c r="R26" s="172" t="n"/>
      <c r="S26" s="172" t="n"/>
      <c r="T26" s="172" t="n"/>
      <c r="U26" s="172" t="n"/>
      <c r="V26" s="172" t="n"/>
      <c r="W26" s="172" t="n"/>
      <c r="X26" s="172" t="n"/>
      <c r="Y26" s="173" t="n"/>
      <c r="Z26" s="174" t="n"/>
      <c r="AB26" s="172" t="n"/>
      <c r="AC26" s="172" t="n"/>
      <c r="AD26" s="172" t="n"/>
      <c r="AE26" s="172" t="n"/>
      <c r="AG26" s="172" t="n"/>
      <c r="AI26" s="172" t="n"/>
      <c r="AJ26" s="172" t="n"/>
      <c r="AK26" s="172" t="n"/>
      <c r="AL26" s="172" t="n"/>
      <c r="AM26" s="172" t="n"/>
    </row>
    <row r="27">
      <c r="C27" s="18" t="n"/>
      <c r="D27" s="11" t="n"/>
      <c r="G27" s="11" t="n"/>
      <c r="I27" s="11" t="n"/>
      <c r="J27" s="11" t="n"/>
      <c r="K27" s="11" t="n"/>
      <c r="R27" s="172" t="n"/>
      <c r="S27" s="172" t="n"/>
      <c r="T27" s="172" t="n"/>
      <c r="U27" s="172" t="n"/>
      <c r="V27" s="172" t="n"/>
      <c r="W27" s="172" t="n"/>
      <c r="X27" s="172" t="n"/>
      <c r="Y27" s="173" t="n"/>
      <c r="Z27" s="174" t="n"/>
      <c r="AB27" s="172" t="n"/>
      <c r="AC27" s="172" t="n"/>
      <c r="AD27" s="172" t="n"/>
      <c r="AE27" s="172" t="n"/>
      <c r="AG27" s="172" t="n"/>
      <c r="AI27" s="172" t="n"/>
      <c r="AJ27" s="172" t="n"/>
      <c r="AK27" s="172" t="n"/>
      <c r="AL27" s="172" t="n"/>
      <c r="AM27" s="172" t="n"/>
    </row>
    <row r="28">
      <c r="C28" s="18" t="n"/>
      <c r="D28" s="11" t="n"/>
      <c r="G28" s="11" t="n"/>
      <c r="I28" s="11" t="n"/>
      <c r="J28" s="11" t="n"/>
      <c r="K28" s="11" t="n"/>
      <c r="R28" s="172" t="n"/>
      <c r="S28" s="172" t="n"/>
      <c r="T28" s="172" t="n"/>
      <c r="U28" s="172" t="n"/>
      <c r="V28" s="172" t="n"/>
      <c r="W28" s="172" t="n"/>
      <c r="X28" s="172" t="n"/>
      <c r="Y28" s="173" t="n"/>
      <c r="Z28" s="174" t="n"/>
      <c r="AB28" s="172" t="n"/>
      <c r="AC28" s="172" t="n"/>
      <c r="AD28" s="172" t="n"/>
      <c r="AE28" s="172" t="n"/>
      <c r="AG28" s="172" t="n"/>
      <c r="AI28" s="172" t="n"/>
      <c r="AJ28" s="172" t="n"/>
      <c r="AK28" s="172" t="n"/>
      <c r="AL28" s="172" t="n"/>
      <c r="AM28" s="172" t="n"/>
    </row>
    <row r="29">
      <c r="C29" s="18" t="n"/>
      <c r="D29" s="11" t="n"/>
      <c r="G29" s="11" t="n"/>
      <c r="I29" s="11" t="n"/>
      <c r="J29" s="11" t="n"/>
      <c r="K29" s="11" t="n"/>
      <c r="R29" s="172" t="n"/>
      <c r="S29" s="172" t="n"/>
      <c r="T29" s="172" t="n"/>
      <c r="U29" s="172" t="n"/>
      <c r="V29" s="172" t="n"/>
      <c r="W29" s="172" t="n"/>
      <c r="X29" s="172" t="n"/>
      <c r="Y29" s="173" t="n"/>
      <c r="Z29" s="174" t="n"/>
      <c r="AB29" s="172" t="n"/>
      <c r="AC29" s="172" t="n"/>
      <c r="AD29" s="172" t="n"/>
      <c r="AE29" s="172" t="n"/>
      <c r="AG29" s="172" t="n"/>
      <c r="AI29" s="172" t="n"/>
      <c r="AJ29" s="172" t="n"/>
      <c r="AK29" s="172" t="n"/>
      <c r="AL29" s="172" t="n"/>
      <c r="AM29" s="172" t="n"/>
    </row>
    <row r="30">
      <c r="C30" s="18" t="n"/>
      <c r="D30" s="11" t="n"/>
      <c r="G30" s="11" t="n"/>
      <c r="I30" s="11" t="n"/>
      <c r="J30" s="11" t="n"/>
      <c r="K30" s="11" t="n"/>
      <c r="R30" s="172" t="n"/>
      <c r="S30" s="172" t="n"/>
      <c r="T30" s="172" t="n"/>
      <c r="U30" s="172" t="n"/>
      <c r="V30" s="172" t="n"/>
      <c r="W30" s="172" t="n"/>
      <c r="X30" s="172" t="n"/>
      <c r="Y30" s="173" t="n"/>
      <c r="Z30" s="174" t="n"/>
      <c r="AB30" s="172" t="n"/>
      <c r="AC30" s="172" t="n"/>
      <c r="AD30" s="172" t="n"/>
      <c r="AE30" s="172" t="n"/>
      <c r="AG30" s="172" t="n"/>
      <c r="AI30" s="172" t="n"/>
      <c r="AJ30" s="172" t="n"/>
      <c r="AK30" s="172" t="n"/>
      <c r="AL30" s="172" t="n"/>
      <c r="AM30" s="172" t="n"/>
    </row>
    <row r="31">
      <c r="C31" s="18" t="n"/>
      <c r="D31" s="11" t="n"/>
      <c r="G31" s="11" t="n"/>
      <c r="I31" s="11" t="n"/>
      <c r="J31" s="11" t="n"/>
      <c r="K31" s="11" t="n"/>
      <c r="R31" s="172" t="n"/>
      <c r="S31" s="172" t="n"/>
      <c r="T31" s="172" t="n"/>
      <c r="U31" s="172" t="n"/>
      <c r="V31" s="172" t="n"/>
      <c r="W31" s="172" t="n"/>
      <c r="X31" s="172" t="n"/>
      <c r="Y31" s="173" t="n"/>
      <c r="Z31" s="174" t="n"/>
      <c r="AB31" s="172" t="n"/>
      <c r="AC31" s="172" t="n"/>
      <c r="AD31" s="172" t="n"/>
      <c r="AE31" s="172" t="n"/>
      <c r="AG31" s="172" t="n"/>
      <c r="AI31" s="172" t="n"/>
      <c r="AJ31" s="172" t="n"/>
      <c r="AK31" s="172" t="n"/>
      <c r="AL31" s="172" t="n"/>
      <c r="AM31" s="172" t="n"/>
    </row>
    <row r="32">
      <c r="C32" s="18" t="n"/>
      <c r="D32" s="11" t="n"/>
      <c r="G32" s="11" t="n"/>
      <c r="I32" s="11" t="n"/>
      <c r="J32" s="11" t="n"/>
      <c r="K32" s="11" t="n"/>
      <c r="R32" s="172" t="n"/>
      <c r="S32" s="172" t="n"/>
      <c r="T32" s="172" t="n"/>
      <c r="U32" s="172" t="n"/>
      <c r="V32" s="172" t="n"/>
      <c r="W32" s="172" t="n"/>
      <c r="X32" s="172" t="n"/>
      <c r="Y32" s="173" t="n"/>
      <c r="Z32" s="174" t="n"/>
      <c r="AB32" s="172" t="n"/>
      <c r="AC32" s="172" t="n"/>
      <c r="AD32" s="172" t="n"/>
      <c r="AE32" s="172" t="n"/>
      <c r="AG32" s="172" t="n"/>
      <c r="AI32" s="172" t="n"/>
      <c r="AJ32" s="172" t="n"/>
      <c r="AK32" s="172" t="n"/>
      <c r="AL32" s="172" t="n"/>
      <c r="AM32" s="172" t="n"/>
    </row>
    <row r="33">
      <c r="C33" s="18" t="n"/>
      <c r="D33" s="11" t="n"/>
      <c r="G33" s="11" t="n"/>
      <c r="I33" s="11" t="n"/>
      <c r="J33" s="11" t="n"/>
      <c r="K33" s="11" t="n"/>
      <c r="R33" s="172" t="n"/>
      <c r="S33" s="172" t="n"/>
      <c r="T33" s="172" t="n"/>
      <c r="U33" s="172" t="n"/>
      <c r="V33" s="172" t="n"/>
      <c r="W33" s="172" t="n"/>
      <c r="X33" s="172" t="n"/>
      <c r="Y33" s="173" t="n"/>
      <c r="Z33" s="174" t="n"/>
      <c r="AB33" s="172" t="n"/>
      <c r="AC33" s="172" t="n"/>
      <c r="AD33" s="172" t="n"/>
      <c r="AE33" s="172" t="n"/>
      <c r="AG33" s="172" t="n"/>
      <c r="AI33" s="172" t="n"/>
      <c r="AJ33" s="172" t="n"/>
      <c r="AK33" s="172" t="n"/>
      <c r="AL33" s="172" t="n"/>
      <c r="AM33" s="172" t="n"/>
    </row>
    <row r="34">
      <c r="C34" s="18" t="n"/>
      <c r="D34" s="11" t="n"/>
      <c r="G34" s="11" t="n"/>
      <c r="I34" s="11" t="n"/>
      <c r="J34" s="11" t="n"/>
      <c r="K34" s="11" t="n"/>
      <c r="R34" s="172" t="n"/>
      <c r="S34" s="172" t="n"/>
      <c r="T34" s="172" t="n"/>
      <c r="U34" s="172" t="n"/>
      <c r="V34" s="172" t="n"/>
      <c r="W34" s="172" t="n"/>
      <c r="X34" s="172" t="n"/>
      <c r="Y34" s="173" t="n"/>
      <c r="Z34" s="174" t="n"/>
      <c r="AB34" s="172" t="n"/>
      <c r="AC34" s="172" t="n"/>
      <c r="AD34" s="172" t="n"/>
      <c r="AE34" s="172" t="n"/>
      <c r="AG34" s="172" t="n"/>
      <c r="AI34" s="172" t="n"/>
      <c r="AJ34" s="172" t="n"/>
      <c r="AK34" s="172" t="n"/>
      <c r="AL34" s="172" t="n"/>
      <c r="AM34" s="172" t="n"/>
    </row>
    <row r="35">
      <c r="C35" s="18" t="n"/>
      <c r="D35" s="11" t="n"/>
      <c r="G35" s="11" t="n"/>
      <c r="I35" s="11" t="n"/>
      <c r="J35" s="11" t="n"/>
      <c r="K35" s="11" t="n"/>
      <c r="R35" s="172" t="n"/>
      <c r="S35" s="172" t="n"/>
      <c r="T35" s="172" t="n"/>
      <c r="U35" s="172" t="n"/>
      <c r="V35" s="172" t="n"/>
      <c r="W35" s="172" t="n"/>
      <c r="X35" s="172" t="n"/>
      <c r="Y35" s="173" t="n"/>
      <c r="Z35" s="174" t="n"/>
      <c r="AB35" s="172" t="n"/>
      <c r="AC35" s="172" t="n"/>
      <c r="AD35" s="172" t="n"/>
      <c r="AE35" s="172" t="n"/>
      <c r="AG35" s="172" t="n"/>
      <c r="AI35" s="172" t="n"/>
      <c r="AJ35" s="172" t="n"/>
      <c r="AK35" s="172" t="n"/>
      <c r="AL35" s="172" t="n"/>
      <c r="AM35" s="172" t="n"/>
    </row>
    <row r="36">
      <c r="C36" s="18" t="n"/>
      <c r="D36" s="11" t="n"/>
      <c r="G36" s="11" t="n"/>
      <c r="I36" s="11" t="n"/>
      <c r="J36" s="11" t="n"/>
      <c r="K36" s="11" t="n"/>
      <c r="R36" s="172" t="n"/>
      <c r="S36" s="172" t="n"/>
      <c r="T36" s="172" t="n"/>
      <c r="U36" s="172" t="n"/>
      <c r="V36" s="172" t="n"/>
      <c r="W36" s="172" t="n"/>
      <c r="X36" s="172" t="n"/>
      <c r="Y36" s="173" t="n"/>
      <c r="Z36" s="174" t="n"/>
      <c r="AB36" s="172" t="n"/>
      <c r="AC36" s="172" t="n"/>
      <c r="AD36" s="172" t="n"/>
      <c r="AE36" s="172" t="n"/>
      <c r="AG36" s="172" t="n"/>
      <c r="AI36" s="172" t="n"/>
      <c r="AJ36" s="172" t="n"/>
      <c r="AK36" s="172" t="n"/>
      <c r="AL36" s="172" t="n"/>
      <c r="AM36" s="172" t="n"/>
    </row>
    <row r="37">
      <c r="C37" s="18" t="n"/>
      <c r="D37" s="11" t="n"/>
      <c r="G37" s="11" t="n"/>
      <c r="I37" s="11" t="n"/>
      <c r="J37" s="11" t="n"/>
      <c r="K37" s="11" t="n"/>
      <c r="R37" s="172" t="n"/>
      <c r="S37" s="172" t="n"/>
      <c r="T37" s="172" t="n"/>
      <c r="U37" s="172" t="n"/>
      <c r="V37" s="172" t="n"/>
      <c r="W37" s="172" t="n"/>
      <c r="X37" s="172" t="n"/>
      <c r="Y37" s="173" t="n"/>
      <c r="Z37" s="174" t="n"/>
      <c r="AB37" s="172" t="n"/>
      <c r="AC37" s="172" t="n"/>
      <c r="AD37" s="172" t="n"/>
      <c r="AE37" s="172" t="n"/>
      <c r="AG37" s="172" t="n"/>
      <c r="AI37" s="172" t="n"/>
      <c r="AJ37" s="172" t="n"/>
      <c r="AK37" s="172" t="n"/>
      <c r="AL37" s="172" t="n"/>
      <c r="AM37" s="172" t="n"/>
    </row>
    <row r="38">
      <c r="C38" s="18" t="n"/>
      <c r="D38" s="11" t="n"/>
      <c r="G38" s="11" t="n"/>
      <c r="I38" s="11" t="n"/>
      <c r="J38" s="11" t="n"/>
      <c r="K38" s="11" t="n"/>
      <c r="R38" s="172" t="n"/>
      <c r="S38" s="172" t="n"/>
      <c r="T38" s="172" t="n"/>
      <c r="U38" s="172" t="n"/>
      <c r="V38" s="172" t="n"/>
      <c r="W38" s="172" t="n"/>
      <c r="X38" s="172" t="n"/>
      <c r="Y38" s="173" t="n"/>
      <c r="Z38" s="174" t="n"/>
      <c r="AB38" s="172" t="n"/>
      <c r="AC38" s="172" t="n"/>
      <c r="AD38" s="172" t="n"/>
      <c r="AE38" s="172" t="n"/>
      <c r="AG38" s="172" t="n"/>
      <c r="AI38" s="172" t="n"/>
      <c r="AJ38" s="172" t="n"/>
      <c r="AK38" s="172" t="n"/>
      <c r="AL38" s="172" t="n"/>
      <c r="AM38" s="172" t="n"/>
    </row>
    <row r="39">
      <c r="C39" s="18" t="n"/>
      <c r="D39" s="11" t="n"/>
      <c r="G39" s="11" t="n"/>
      <c r="I39" s="11" t="n"/>
      <c r="J39" s="11" t="n"/>
      <c r="K39" s="11" t="n"/>
      <c r="R39" s="172" t="n"/>
      <c r="S39" s="172" t="n"/>
      <c r="T39" s="172" t="n"/>
      <c r="U39" s="172" t="n"/>
      <c r="V39" s="172" t="n"/>
      <c r="W39" s="172" t="n"/>
      <c r="X39" s="172" t="n"/>
      <c r="Y39" s="173" t="n"/>
      <c r="Z39" s="174" t="n"/>
      <c r="AB39" s="172" t="n"/>
      <c r="AC39" s="172" t="n"/>
      <c r="AD39" s="172" t="n"/>
      <c r="AE39" s="172" t="n"/>
      <c r="AG39" s="172" t="n"/>
      <c r="AI39" s="172" t="n"/>
      <c r="AJ39" s="172" t="n"/>
      <c r="AK39" s="172" t="n"/>
      <c r="AL39" s="172" t="n"/>
      <c r="AM39" s="172" t="n"/>
    </row>
    <row r="40">
      <c r="C40" s="18" t="n"/>
      <c r="D40" s="11" t="n"/>
      <c r="G40" s="11" t="n"/>
      <c r="I40" s="11" t="n"/>
      <c r="J40" s="11" t="n"/>
      <c r="K40" s="11" t="n"/>
      <c r="R40" s="172" t="n"/>
      <c r="S40" s="172" t="n"/>
      <c r="T40" s="172" t="n"/>
      <c r="U40" s="172" t="n"/>
      <c r="V40" s="172" t="n"/>
      <c r="W40" s="172" t="n"/>
      <c r="X40" s="172" t="n"/>
      <c r="Y40" s="173" t="n"/>
      <c r="Z40" s="174" t="n"/>
      <c r="AB40" s="172" t="n"/>
      <c r="AC40" s="172" t="n"/>
      <c r="AD40" s="172" t="n"/>
      <c r="AE40" s="172" t="n"/>
      <c r="AG40" s="172" t="n"/>
      <c r="AI40" s="172" t="n"/>
      <c r="AJ40" s="172" t="n"/>
      <c r="AK40" s="172" t="n"/>
      <c r="AL40" s="172" t="n"/>
      <c r="AM40" s="172" t="n"/>
    </row>
    <row r="41">
      <c r="C41" s="18" t="n"/>
      <c r="D41" s="11" t="n"/>
      <c r="G41" s="11" t="n"/>
      <c r="I41" s="11" t="n"/>
      <c r="J41" s="11" t="n"/>
      <c r="K41" s="11" t="n"/>
      <c r="R41" s="172" t="n"/>
      <c r="S41" s="172" t="n"/>
      <c r="T41" s="172" t="n"/>
      <c r="U41" s="172" t="n"/>
      <c r="V41" s="172" t="n"/>
      <c r="W41" s="172" t="n"/>
      <c r="X41" s="172" t="n"/>
      <c r="Y41" s="173" t="n"/>
      <c r="Z41" s="174" t="n"/>
      <c r="AB41" s="172" t="n"/>
      <c r="AC41" s="172" t="n"/>
      <c r="AD41" s="172" t="n"/>
      <c r="AE41" s="172" t="n"/>
      <c r="AG41" s="172" t="n"/>
      <c r="AI41" s="172" t="n"/>
      <c r="AJ41" s="172" t="n"/>
      <c r="AK41" s="172" t="n"/>
      <c r="AL41" s="172" t="n"/>
      <c r="AM41" s="172" t="n"/>
    </row>
    <row r="42">
      <c r="C42" s="18" t="n"/>
      <c r="D42" s="11" t="n"/>
      <c r="G42" s="11" t="n"/>
      <c r="I42" s="11" t="n"/>
      <c r="J42" s="11" t="n"/>
      <c r="K42" s="11" t="n"/>
      <c r="R42" s="172" t="n"/>
      <c r="S42" s="172" t="n"/>
      <c r="T42" s="172" t="n"/>
      <c r="U42" s="172" t="n"/>
      <c r="V42" s="172" t="n"/>
      <c r="W42" s="172" t="n"/>
      <c r="X42" s="172" t="n"/>
      <c r="Y42" s="173" t="n"/>
      <c r="Z42" s="174" t="n"/>
      <c r="AB42" s="172" t="n"/>
      <c r="AC42" s="172" t="n"/>
      <c r="AD42" s="172" t="n"/>
      <c r="AE42" s="172" t="n"/>
      <c r="AG42" s="172" t="n"/>
      <c r="AI42" s="172" t="n"/>
      <c r="AJ42" s="172" t="n"/>
      <c r="AK42" s="172" t="n"/>
      <c r="AL42" s="172" t="n"/>
      <c r="AM42" s="172" t="n"/>
    </row>
    <row r="43">
      <c r="C43" s="18" t="n"/>
      <c r="D43" s="11" t="n"/>
      <c r="G43" s="11" t="n"/>
      <c r="I43" s="11" t="n"/>
      <c r="J43" s="11" t="n"/>
      <c r="K43" s="11" t="n"/>
      <c r="R43" s="172" t="n"/>
      <c r="S43" s="172" t="n"/>
      <c r="T43" s="172" t="n"/>
      <c r="U43" s="172" t="n"/>
      <c r="V43" s="172" t="n"/>
      <c r="W43" s="172" t="n"/>
      <c r="X43" s="172" t="n"/>
      <c r="Y43" s="173" t="n"/>
      <c r="Z43" s="174" t="n"/>
      <c r="AB43" s="172" t="n"/>
      <c r="AC43" s="172" t="n"/>
      <c r="AD43" s="172" t="n"/>
      <c r="AE43" s="172" t="n"/>
      <c r="AG43" s="172" t="n"/>
      <c r="AI43" s="172" t="n"/>
      <c r="AJ43" s="172" t="n"/>
      <c r="AK43" s="172" t="n"/>
      <c r="AL43" s="172" t="n"/>
      <c r="AM43" s="172" t="n"/>
    </row>
    <row r="44">
      <c r="C44" s="18" t="n"/>
      <c r="D44" s="11" t="n"/>
      <c r="G44" s="11" t="n"/>
      <c r="I44" s="11" t="n"/>
      <c r="J44" s="11" t="n"/>
      <c r="K44" s="11" t="n"/>
      <c r="R44" s="172" t="n"/>
      <c r="S44" s="172" t="n"/>
      <c r="T44" s="172" t="n"/>
      <c r="U44" s="172" t="n"/>
      <c r="V44" s="172" t="n"/>
      <c r="W44" s="172" t="n"/>
      <c r="X44" s="172" t="n"/>
      <c r="Y44" s="173" t="n"/>
      <c r="Z44" s="174" t="n"/>
      <c r="AB44" s="172" t="n"/>
      <c r="AC44" s="172" t="n"/>
      <c r="AD44" s="172" t="n"/>
      <c r="AE44" s="172" t="n"/>
      <c r="AG44" s="172" t="n"/>
      <c r="AI44" s="172" t="n"/>
      <c r="AJ44" s="172" t="n"/>
      <c r="AK44" s="172" t="n"/>
      <c r="AL44" s="172" t="n"/>
      <c r="AM44" s="172" t="n"/>
    </row>
    <row r="45">
      <c r="C45" s="18" t="n"/>
      <c r="D45" s="11" t="n"/>
      <c r="G45" s="11" t="n"/>
      <c r="I45" s="11" t="n"/>
      <c r="J45" s="11" t="n"/>
      <c r="K45" s="11" t="n"/>
      <c r="R45" s="172" t="n"/>
      <c r="S45" s="172" t="n"/>
      <c r="T45" s="172" t="n"/>
      <c r="U45" s="172" t="n"/>
      <c r="V45" s="172" t="n"/>
      <c r="W45" s="172" t="n"/>
      <c r="X45" s="172" t="n"/>
      <c r="Y45" s="173" t="n"/>
      <c r="Z45" s="174" t="n"/>
      <c r="AB45" s="172" t="n"/>
      <c r="AC45" s="172" t="n"/>
      <c r="AD45" s="172" t="n"/>
      <c r="AE45" s="172" t="n"/>
      <c r="AG45" s="172" t="n"/>
      <c r="AI45" s="172" t="n"/>
      <c r="AJ45" s="172" t="n"/>
      <c r="AK45" s="172" t="n"/>
      <c r="AL45" s="172" t="n"/>
      <c r="AM45" s="172" t="n"/>
    </row>
    <row r="46">
      <c r="C46" s="18" t="n"/>
      <c r="D46" s="11" t="n"/>
      <c r="G46" s="11" t="n"/>
      <c r="I46" s="11" t="n"/>
      <c r="J46" s="11" t="n"/>
      <c r="K46" s="11" t="n"/>
      <c r="R46" s="172" t="n"/>
      <c r="S46" s="172" t="n"/>
      <c r="T46" s="172" t="n"/>
      <c r="U46" s="172" t="n"/>
      <c r="V46" s="172" t="n"/>
      <c r="W46" s="172" t="n"/>
      <c r="X46" s="172" t="n"/>
      <c r="Y46" s="173" t="n"/>
      <c r="Z46" s="174" t="n"/>
      <c r="AB46" s="172" t="n"/>
      <c r="AC46" s="172" t="n"/>
      <c r="AD46" s="172" t="n"/>
      <c r="AE46" s="172" t="n"/>
      <c r="AG46" s="172" t="n"/>
      <c r="AI46" s="172" t="n"/>
      <c r="AJ46" s="172" t="n"/>
      <c r="AK46" s="172" t="n"/>
      <c r="AL46" s="172" t="n"/>
      <c r="AM46" s="172" t="n"/>
    </row>
    <row r="47">
      <c r="C47" s="18" t="n"/>
      <c r="D47" s="11" t="n"/>
      <c r="G47" s="11" t="n"/>
      <c r="I47" s="11" t="n"/>
      <c r="J47" s="11" t="n"/>
      <c r="K47" s="11" t="n"/>
      <c r="R47" s="172" t="n"/>
      <c r="S47" s="172" t="n"/>
      <c r="T47" s="172" t="n"/>
      <c r="U47" s="172" t="n"/>
      <c r="V47" s="172" t="n"/>
      <c r="W47" s="172" t="n"/>
      <c r="X47" s="172" t="n"/>
      <c r="Y47" s="173" t="n"/>
      <c r="Z47" s="174" t="n"/>
      <c r="AB47" s="172" t="n"/>
      <c r="AC47" s="172" t="n"/>
      <c r="AD47" s="172" t="n"/>
      <c r="AE47" s="172" t="n"/>
      <c r="AG47" s="172" t="n"/>
      <c r="AI47" s="172" t="n"/>
      <c r="AJ47" s="172" t="n"/>
      <c r="AK47" s="172" t="n"/>
      <c r="AL47" s="172" t="n"/>
      <c r="AM47" s="172" t="n"/>
    </row>
    <row r="48">
      <c r="C48" s="18" t="n"/>
      <c r="D48" s="11" t="n"/>
      <c r="G48" s="11" t="n"/>
      <c r="I48" s="11" t="n"/>
      <c r="J48" s="11" t="n"/>
      <c r="K48" s="11" t="n"/>
      <c r="R48" s="172" t="n"/>
      <c r="S48" s="172" t="n"/>
      <c r="T48" s="172" t="n"/>
      <c r="U48" s="172" t="n"/>
      <c r="V48" s="172" t="n"/>
      <c r="W48" s="172" t="n"/>
      <c r="X48" s="172" t="n"/>
      <c r="Y48" s="173" t="n"/>
      <c r="Z48" s="174" t="n"/>
      <c r="AB48" s="172" t="n"/>
      <c r="AC48" s="172" t="n"/>
      <c r="AD48" s="172" t="n"/>
      <c r="AE48" s="172" t="n"/>
      <c r="AG48" s="172" t="n"/>
      <c r="AI48" s="172" t="n"/>
      <c r="AJ48" s="172" t="n"/>
      <c r="AK48" s="172" t="n"/>
      <c r="AL48" s="172" t="n"/>
      <c r="AM48" s="172" t="n"/>
    </row>
    <row r="49">
      <c r="C49" s="18" t="n"/>
      <c r="D49" s="11" t="n"/>
      <c r="G49" s="11" t="n"/>
      <c r="I49" s="11" t="n"/>
      <c r="J49" s="11" t="n"/>
      <c r="K49" s="11" t="n"/>
      <c r="R49" s="172" t="n"/>
      <c r="S49" s="172" t="n"/>
      <c r="T49" s="172" t="n"/>
      <c r="U49" s="172" t="n"/>
      <c r="V49" s="172" t="n"/>
      <c r="W49" s="172" t="n"/>
      <c r="X49" s="172" t="n"/>
      <c r="Y49" s="173" t="n"/>
      <c r="Z49" s="174" t="n"/>
      <c r="AB49" s="172" t="n"/>
      <c r="AC49" s="172" t="n"/>
      <c r="AD49" s="172" t="n"/>
      <c r="AE49" s="172" t="n"/>
      <c r="AG49" s="172" t="n"/>
      <c r="AI49" s="172" t="n"/>
      <c r="AJ49" s="172" t="n"/>
      <c r="AK49" s="172" t="n"/>
      <c r="AL49" s="172" t="n"/>
      <c r="AM49" s="172" t="n"/>
    </row>
    <row r="50">
      <c r="C50" s="18" t="n"/>
      <c r="D50" s="11" t="n"/>
      <c r="G50" s="11" t="n"/>
      <c r="I50" s="11" t="n"/>
      <c r="J50" s="11" t="n"/>
      <c r="K50" s="11" t="n"/>
      <c r="R50" s="172" t="n"/>
      <c r="S50" s="172" t="n"/>
      <c r="T50" s="172" t="n"/>
      <c r="U50" s="172" t="n"/>
      <c r="V50" s="172" t="n"/>
      <c r="W50" s="172" t="n"/>
      <c r="X50" s="172" t="n"/>
      <c r="Y50" s="173" t="n"/>
      <c r="Z50" s="174" t="n"/>
      <c r="AB50" s="172" t="n"/>
      <c r="AC50" s="172" t="n"/>
      <c r="AD50" s="172" t="n"/>
      <c r="AE50" s="172" t="n"/>
      <c r="AG50" s="172" t="n"/>
      <c r="AI50" s="172" t="n"/>
      <c r="AJ50" s="172" t="n"/>
      <c r="AK50" s="172" t="n"/>
      <c r="AL50" s="172" t="n"/>
      <c r="AM50" s="172" t="n"/>
    </row>
    <row r="51">
      <c r="C51" s="18" t="n"/>
      <c r="D51" s="11" t="n"/>
      <c r="G51" s="11" t="n"/>
      <c r="I51" s="11" t="n"/>
      <c r="J51" s="11" t="n"/>
      <c r="K51" s="11" t="n"/>
      <c r="R51" s="172" t="n"/>
      <c r="S51" s="172" t="n"/>
      <c r="T51" s="172" t="n"/>
      <c r="U51" s="172" t="n"/>
      <c r="V51" s="172" t="n"/>
      <c r="W51" s="172" t="n"/>
      <c r="X51" s="172" t="n"/>
      <c r="Y51" s="173" t="n"/>
      <c r="Z51" s="174" t="n"/>
      <c r="AB51" s="172" t="n"/>
      <c r="AC51" s="172" t="n"/>
      <c r="AD51" s="172" t="n"/>
      <c r="AE51" s="172" t="n"/>
      <c r="AG51" s="172" t="n"/>
      <c r="AI51" s="172" t="n"/>
      <c r="AJ51" s="172" t="n"/>
      <c r="AK51" s="172" t="n"/>
      <c r="AL51" s="172" t="n"/>
      <c r="AM51" s="172" t="n"/>
    </row>
    <row r="52">
      <c r="C52" s="18" t="n"/>
      <c r="D52" s="11" t="n"/>
      <c r="G52" s="11" t="n"/>
      <c r="I52" s="11" t="n"/>
      <c r="J52" s="11" t="n"/>
      <c r="K52" s="11" t="n"/>
      <c r="R52" s="172" t="n"/>
      <c r="S52" s="172" t="n"/>
      <c r="T52" s="172" t="n"/>
      <c r="U52" s="172" t="n"/>
      <c r="V52" s="172" t="n"/>
      <c r="W52" s="172" t="n"/>
      <c r="X52" s="172" t="n"/>
      <c r="Y52" s="173" t="n"/>
      <c r="Z52" s="174" t="n"/>
      <c r="AB52" s="172" t="n"/>
      <c r="AC52" s="172" t="n"/>
      <c r="AD52" s="172" t="n"/>
      <c r="AE52" s="172" t="n"/>
      <c r="AG52" s="172" t="n"/>
      <c r="AI52" s="172" t="n"/>
      <c r="AJ52" s="172" t="n"/>
      <c r="AK52" s="172" t="n"/>
      <c r="AL52" s="172" t="n"/>
      <c r="AM52" s="172" t="n"/>
    </row>
    <row r="53">
      <c r="C53" s="18" t="n"/>
      <c r="D53" s="11" t="n"/>
      <c r="G53" s="11" t="n"/>
      <c r="I53" s="11" t="n"/>
      <c r="J53" s="11" t="n"/>
      <c r="K53" s="11" t="n"/>
      <c r="R53" s="172" t="n"/>
      <c r="S53" s="172" t="n"/>
      <c r="T53" s="172" t="n"/>
      <c r="U53" s="172" t="n"/>
      <c r="V53" s="172" t="n"/>
      <c r="W53" s="172" t="n"/>
      <c r="X53" s="172" t="n"/>
      <c r="Y53" s="173" t="n"/>
      <c r="Z53" s="174" t="n"/>
      <c r="AB53" s="172" t="n"/>
      <c r="AC53" s="172" t="n"/>
      <c r="AD53" s="172" t="n"/>
      <c r="AE53" s="172" t="n"/>
      <c r="AG53" s="172" t="n"/>
      <c r="AI53" s="172" t="n"/>
      <c r="AJ53" s="172" t="n"/>
      <c r="AK53" s="172" t="n"/>
      <c r="AL53" s="172" t="n"/>
      <c r="AM53" s="172" t="n"/>
    </row>
    <row r="54">
      <c r="C54" s="18" t="n"/>
      <c r="D54" s="11" t="n"/>
      <c r="G54" s="11" t="n"/>
      <c r="I54" s="11" t="n"/>
      <c r="J54" s="11" t="n"/>
      <c r="K54" s="11" t="n"/>
      <c r="R54" s="172" t="n"/>
      <c r="S54" s="172" t="n"/>
      <c r="T54" s="172" t="n"/>
      <c r="U54" s="172" t="n"/>
      <c r="V54" s="172" t="n"/>
      <c r="W54" s="172" t="n"/>
      <c r="X54" s="172" t="n"/>
      <c r="Y54" s="173" t="n"/>
      <c r="Z54" s="174" t="n"/>
      <c r="AB54" s="172" t="n"/>
      <c r="AC54" s="172" t="n"/>
      <c r="AD54" s="172" t="n"/>
      <c r="AE54" s="172" t="n"/>
      <c r="AG54" s="172" t="n"/>
      <c r="AI54" s="172" t="n"/>
      <c r="AJ54" s="172" t="n"/>
      <c r="AK54" s="172" t="n"/>
      <c r="AL54" s="172" t="n"/>
      <c r="AM54" s="172" t="n"/>
    </row>
    <row r="55">
      <c r="C55" s="18" t="n"/>
      <c r="D55" s="11" t="n"/>
      <c r="G55" s="11" t="n"/>
      <c r="I55" s="11" t="n"/>
      <c r="J55" s="11" t="n"/>
      <c r="K55" s="11" t="n"/>
      <c r="R55" s="172" t="n"/>
      <c r="S55" s="172" t="n"/>
      <c r="T55" s="172" t="n"/>
      <c r="U55" s="172" t="n"/>
      <c r="V55" s="172" t="n"/>
      <c r="W55" s="172" t="n"/>
      <c r="X55" s="172" t="n"/>
      <c r="Y55" s="173" t="n"/>
      <c r="Z55" s="174" t="n"/>
      <c r="AB55" s="172" t="n"/>
      <c r="AC55" s="172" t="n"/>
      <c r="AD55" s="172" t="n"/>
      <c r="AE55" s="172" t="n"/>
      <c r="AG55" s="172" t="n"/>
      <c r="AI55" s="172" t="n"/>
      <c r="AJ55" s="172" t="n"/>
      <c r="AK55" s="172" t="n"/>
      <c r="AL55" s="172" t="n"/>
      <c r="AM55" s="172" t="n"/>
    </row>
    <row r="56">
      <c r="C56" s="18" t="n"/>
      <c r="D56" s="11" t="n"/>
      <c r="G56" s="11" t="n"/>
      <c r="I56" s="11" t="n"/>
      <c r="J56" s="11" t="n"/>
      <c r="K56" s="11" t="n"/>
      <c r="R56" s="172" t="n"/>
      <c r="S56" s="172" t="n"/>
      <c r="T56" s="172" t="n"/>
      <c r="U56" s="172" t="n"/>
      <c r="V56" s="172" t="n"/>
      <c r="W56" s="172" t="n"/>
      <c r="X56" s="172" t="n"/>
      <c r="Y56" s="173" t="n"/>
      <c r="Z56" s="174" t="n"/>
      <c r="AB56" s="172" t="n"/>
      <c r="AC56" s="172" t="n"/>
      <c r="AD56" s="172" t="n"/>
      <c r="AE56" s="172" t="n"/>
      <c r="AG56" s="172" t="n"/>
      <c r="AI56" s="172" t="n"/>
      <c r="AJ56" s="172" t="n"/>
      <c r="AK56" s="172" t="n"/>
      <c r="AL56" s="172" t="n"/>
      <c r="AM56" s="172" t="n"/>
    </row>
    <row r="57">
      <c r="C57" s="18" t="n"/>
      <c r="D57" s="11" t="n"/>
      <c r="G57" s="11" t="n"/>
      <c r="I57" s="11" t="n"/>
      <c r="J57" s="11" t="n"/>
      <c r="K57" s="11" t="n"/>
      <c r="R57" s="172" t="n"/>
      <c r="S57" s="172" t="n"/>
      <c r="T57" s="172" t="n"/>
      <c r="U57" s="172" t="n"/>
      <c r="V57" s="172" t="n"/>
      <c r="W57" s="172" t="n"/>
      <c r="X57" s="172" t="n"/>
      <c r="Y57" s="173" t="n"/>
      <c r="Z57" s="174" t="n"/>
      <c r="AB57" s="172" t="n"/>
      <c r="AC57" s="172" t="n"/>
      <c r="AD57" s="172" t="n"/>
      <c r="AE57" s="172" t="n"/>
      <c r="AG57" s="172" t="n"/>
      <c r="AI57" s="172" t="n"/>
      <c r="AJ57" s="172" t="n"/>
      <c r="AK57" s="172" t="n"/>
      <c r="AL57" s="172" t="n"/>
      <c r="AM57" s="172" t="n"/>
    </row>
    <row r="58">
      <c r="C58" s="18" t="n"/>
      <c r="D58" s="11" t="n"/>
      <c r="G58" s="11" t="n"/>
      <c r="I58" s="11" t="n"/>
      <c r="J58" s="11" t="n"/>
      <c r="K58" s="11" t="n"/>
      <c r="R58" s="172" t="n"/>
      <c r="S58" s="172" t="n"/>
      <c r="T58" s="172" t="n"/>
      <c r="U58" s="172" t="n"/>
      <c r="V58" s="172" t="n"/>
      <c r="W58" s="172" t="n"/>
      <c r="X58" s="172" t="n"/>
      <c r="Y58" s="173" t="n"/>
      <c r="Z58" s="174" t="n"/>
      <c r="AB58" s="172" t="n"/>
      <c r="AC58" s="172" t="n"/>
      <c r="AD58" s="172" t="n"/>
      <c r="AE58" s="172" t="n"/>
      <c r="AG58" s="172" t="n"/>
      <c r="AI58" s="172" t="n"/>
      <c r="AJ58" s="172" t="n"/>
      <c r="AK58" s="172" t="n"/>
      <c r="AL58" s="172" t="n"/>
      <c r="AM58" s="172" t="n"/>
    </row>
    <row r="59">
      <c r="C59" s="18" t="n"/>
      <c r="D59" s="11" t="n"/>
      <c r="G59" s="11" t="n"/>
      <c r="I59" s="11" t="n"/>
      <c r="J59" s="11" t="n"/>
      <c r="K59" s="11" t="n"/>
      <c r="R59" s="172" t="n"/>
      <c r="S59" s="172" t="n"/>
      <c r="T59" s="172" t="n"/>
      <c r="U59" s="172" t="n"/>
      <c r="V59" s="172" t="n"/>
      <c r="W59" s="172" t="n"/>
      <c r="X59" s="172" t="n"/>
      <c r="Y59" s="173" t="n"/>
      <c r="Z59" s="174" t="n"/>
      <c r="AB59" s="172" t="n"/>
      <c r="AC59" s="172" t="n"/>
      <c r="AD59" s="172" t="n"/>
      <c r="AE59" s="172" t="n"/>
      <c r="AG59" s="172" t="n"/>
      <c r="AI59" s="172" t="n"/>
      <c r="AJ59" s="172" t="n"/>
      <c r="AK59" s="172" t="n"/>
      <c r="AL59" s="172" t="n"/>
      <c r="AM59" s="172" t="n"/>
    </row>
    <row r="60">
      <c r="C60" s="18" t="n"/>
      <c r="D60" s="11" t="n"/>
      <c r="G60" s="11" t="n"/>
      <c r="I60" s="11" t="n"/>
      <c r="J60" s="11" t="n"/>
      <c r="K60" s="11" t="n"/>
      <c r="R60" s="172" t="n"/>
      <c r="S60" s="172" t="n"/>
      <c r="T60" s="172" t="n"/>
      <c r="U60" s="172" t="n"/>
      <c r="V60" s="172" t="n"/>
      <c r="W60" s="172" t="n"/>
      <c r="X60" s="172" t="n"/>
      <c r="Y60" s="173" t="n"/>
      <c r="Z60" s="174" t="n"/>
      <c r="AB60" s="172" t="n"/>
      <c r="AC60" s="172" t="n"/>
      <c r="AD60" s="172" t="n"/>
      <c r="AE60" s="172" t="n"/>
      <c r="AG60" s="172" t="n"/>
      <c r="AI60" s="172" t="n"/>
      <c r="AJ60" s="172" t="n"/>
      <c r="AK60" s="172" t="n"/>
      <c r="AL60" s="172" t="n"/>
      <c r="AM60" s="172" t="n"/>
    </row>
    <row r="61">
      <c r="C61" s="18" t="n"/>
      <c r="D61" s="11" t="n"/>
      <c r="G61" s="11" t="n"/>
      <c r="I61" s="11" t="n"/>
      <c r="J61" s="11" t="n"/>
      <c r="K61" s="11" t="n"/>
      <c r="R61" s="172" t="n"/>
      <c r="S61" s="172" t="n"/>
      <c r="T61" s="172" t="n"/>
      <c r="U61" s="172" t="n"/>
      <c r="V61" s="172" t="n"/>
      <c r="W61" s="172" t="n"/>
      <c r="X61" s="172" t="n"/>
      <c r="Y61" s="173" t="n"/>
      <c r="Z61" s="174" t="n"/>
      <c r="AB61" s="172" t="n"/>
      <c r="AC61" s="172" t="n"/>
      <c r="AD61" s="172" t="n"/>
      <c r="AE61" s="172" t="n"/>
      <c r="AG61" s="172" t="n"/>
      <c r="AI61" s="172" t="n"/>
      <c r="AJ61" s="172" t="n"/>
      <c r="AK61" s="172" t="n"/>
      <c r="AL61" s="172" t="n"/>
      <c r="AM61" s="172" t="n"/>
    </row>
    <row r="62">
      <c r="C62" s="18" t="n"/>
      <c r="D62" s="11" t="n"/>
      <c r="G62" s="11" t="n"/>
      <c r="I62" s="11" t="n"/>
      <c r="J62" s="11" t="n"/>
      <c r="K62" s="11" t="n"/>
      <c r="R62" s="172" t="n"/>
      <c r="S62" s="172" t="n"/>
      <c r="T62" s="172" t="n"/>
      <c r="U62" s="172" t="n"/>
      <c r="V62" s="172" t="n"/>
      <c r="W62" s="172" t="n"/>
      <c r="X62" s="172" t="n"/>
      <c r="Y62" s="173" t="n"/>
      <c r="Z62" s="174" t="n"/>
      <c r="AB62" s="172" t="n"/>
      <c r="AC62" s="172" t="n"/>
      <c r="AD62" s="172" t="n"/>
      <c r="AE62" s="172" t="n"/>
      <c r="AG62" s="172" t="n"/>
      <c r="AI62" s="172" t="n"/>
      <c r="AJ62" s="172" t="n"/>
      <c r="AK62" s="172" t="n"/>
      <c r="AL62" s="172" t="n"/>
      <c r="AM62" s="172" t="n"/>
    </row>
    <row r="63">
      <c r="C63" s="18" t="n"/>
      <c r="D63" s="11" t="n"/>
      <c r="G63" s="11" t="n"/>
      <c r="I63" s="11" t="n"/>
      <c r="J63" s="11" t="n"/>
      <c r="K63" s="11" t="n"/>
      <c r="R63" s="172" t="n"/>
      <c r="S63" s="172" t="n"/>
      <c r="T63" s="172" t="n"/>
      <c r="U63" s="172" t="n"/>
      <c r="V63" s="172" t="n"/>
      <c r="W63" s="172" t="n"/>
      <c r="X63" s="172" t="n"/>
      <c r="Y63" s="173" t="n"/>
      <c r="Z63" s="174" t="n"/>
      <c r="AB63" s="172" t="n"/>
      <c r="AC63" s="172" t="n"/>
      <c r="AD63" s="172" t="n"/>
      <c r="AE63" s="172" t="n"/>
      <c r="AG63" s="172" t="n"/>
      <c r="AI63" s="172" t="n"/>
      <c r="AJ63" s="172" t="n"/>
      <c r="AK63" s="172" t="n"/>
      <c r="AL63" s="172" t="n"/>
      <c r="AM63" s="172" t="n"/>
    </row>
    <row r="64">
      <c r="C64" s="18" t="n"/>
      <c r="D64" s="11" t="n"/>
      <c r="G64" s="11" t="n"/>
      <c r="I64" s="11" t="n"/>
      <c r="J64" s="11" t="n"/>
      <c r="K64" s="11" t="n"/>
      <c r="R64" s="172" t="n"/>
      <c r="S64" s="172" t="n"/>
      <c r="T64" s="172" t="n"/>
      <c r="U64" s="172" t="n"/>
      <c r="V64" s="172" t="n"/>
      <c r="W64" s="172" t="n"/>
      <c r="X64" s="172" t="n"/>
      <c r="Y64" s="173" t="n"/>
      <c r="Z64" s="174" t="n"/>
      <c r="AB64" s="172" t="n"/>
      <c r="AC64" s="172" t="n"/>
      <c r="AD64" s="172" t="n"/>
      <c r="AE64" s="172" t="n"/>
      <c r="AG64" s="172" t="n"/>
      <c r="AI64" s="172" t="n"/>
      <c r="AJ64" s="172" t="n"/>
      <c r="AK64" s="172" t="n"/>
      <c r="AL64" s="172" t="n"/>
      <c r="AM64" s="172" t="n"/>
    </row>
    <row r="65">
      <c r="C65" s="18" t="n"/>
      <c r="D65" s="11" t="n"/>
      <c r="G65" s="11" t="n"/>
      <c r="I65" s="11" t="n"/>
      <c r="J65" s="11" t="n"/>
      <c r="K65" s="11" t="n"/>
      <c r="R65" s="172" t="n"/>
      <c r="S65" s="172" t="n"/>
      <c r="T65" s="172" t="n"/>
      <c r="U65" s="172" t="n"/>
      <c r="V65" s="172" t="n"/>
      <c r="W65" s="172" t="n"/>
      <c r="X65" s="172" t="n"/>
      <c r="Y65" s="173" t="n"/>
      <c r="Z65" s="174" t="n"/>
      <c r="AB65" s="172" t="n"/>
      <c r="AC65" s="172" t="n"/>
      <c r="AD65" s="172" t="n"/>
      <c r="AE65" s="172" t="n"/>
      <c r="AG65" s="172" t="n"/>
      <c r="AI65" s="172" t="n"/>
      <c r="AJ65" s="172" t="n"/>
      <c r="AK65" s="172" t="n"/>
      <c r="AL65" s="172" t="n"/>
      <c r="AM65" s="172" t="n"/>
    </row>
    <row r="66">
      <c r="C66" s="18" t="n"/>
      <c r="D66" s="11" t="n"/>
      <c r="G66" s="11" t="n"/>
      <c r="I66" s="11" t="n"/>
      <c r="J66" s="11" t="n"/>
      <c r="K66" s="11" t="n"/>
      <c r="R66" s="172" t="n"/>
      <c r="S66" s="172" t="n"/>
      <c r="T66" s="172" t="n"/>
      <c r="U66" s="172" t="n"/>
      <c r="V66" s="172" t="n"/>
      <c r="W66" s="172" t="n"/>
      <c r="X66" s="172" t="n"/>
      <c r="Y66" s="173" t="n"/>
      <c r="Z66" s="174" t="n"/>
      <c r="AB66" s="172" t="n"/>
      <c r="AC66" s="172" t="n"/>
      <c r="AD66" s="172" t="n"/>
      <c r="AE66" s="172" t="n"/>
      <c r="AG66" s="172" t="n"/>
      <c r="AI66" s="172" t="n"/>
      <c r="AJ66" s="172" t="n"/>
      <c r="AK66" s="172" t="n"/>
      <c r="AL66" s="172" t="n"/>
      <c r="AM66" s="172" t="n"/>
    </row>
    <row r="67">
      <c r="C67" s="18" t="n"/>
      <c r="D67" s="11" t="n"/>
      <c r="G67" s="11" t="n"/>
      <c r="I67" s="11" t="n"/>
      <c r="J67" s="11" t="n"/>
      <c r="K67" s="11" t="n"/>
      <c r="R67" s="172" t="n"/>
      <c r="S67" s="172" t="n"/>
      <c r="T67" s="172" t="n"/>
      <c r="U67" s="172" t="n"/>
      <c r="V67" s="172" t="n"/>
      <c r="W67" s="172" t="n"/>
      <c r="X67" s="172" t="n"/>
      <c r="Y67" s="173" t="n"/>
      <c r="Z67" s="174" t="n"/>
      <c r="AB67" s="172" t="n"/>
      <c r="AC67" s="172" t="n"/>
      <c r="AD67" s="172" t="n"/>
      <c r="AE67" s="172" t="n"/>
      <c r="AG67" s="172" t="n"/>
      <c r="AI67" s="172" t="n"/>
      <c r="AJ67" s="172" t="n"/>
      <c r="AK67" s="172" t="n"/>
      <c r="AL67" s="172" t="n"/>
      <c r="AM67" s="172" t="n"/>
    </row>
    <row r="68">
      <c r="C68" s="18" t="n"/>
      <c r="D68" s="11" t="n"/>
      <c r="G68" s="11" t="n"/>
      <c r="I68" s="11" t="n"/>
      <c r="J68" s="11" t="n"/>
      <c r="K68" s="11" t="n"/>
      <c r="R68" s="172" t="n"/>
      <c r="S68" s="172" t="n"/>
      <c r="T68" s="172" t="n"/>
      <c r="U68" s="172" t="n"/>
      <c r="V68" s="172" t="n"/>
      <c r="W68" s="172" t="n"/>
      <c r="X68" s="172" t="n"/>
      <c r="Y68" s="173" t="n"/>
      <c r="Z68" s="174" t="n"/>
      <c r="AB68" s="172" t="n"/>
      <c r="AC68" s="172" t="n"/>
      <c r="AD68" s="172" t="n"/>
      <c r="AE68" s="172" t="n"/>
      <c r="AG68" s="172" t="n"/>
      <c r="AI68" s="172" t="n"/>
      <c r="AJ68" s="172" t="n"/>
      <c r="AK68" s="172" t="n"/>
      <c r="AL68" s="172" t="n"/>
      <c r="AM68" s="172" t="n"/>
    </row>
    <row r="69">
      <c r="C69" s="18" t="n"/>
      <c r="D69" s="11" t="n"/>
      <c r="G69" s="11" t="n"/>
      <c r="I69" s="11" t="n"/>
      <c r="J69" s="11" t="n"/>
      <c r="K69" s="11" t="n"/>
      <c r="R69" s="172" t="n"/>
      <c r="S69" s="172" t="n"/>
      <c r="T69" s="172" t="n"/>
      <c r="U69" s="172" t="n"/>
      <c r="V69" s="172" t="n"/>
      <c r="W69" s="172" t="n"/>
      <c r="X69" s="172" t="n"/>
      <c r="Y69" s="173" t="n"/>
      <c r="Z69" s="174" t="n"/>
      <c r="AB69" s="172" t="n"/>
      <c r="AC69" s="172" t="n"/>
      <c r="AD69" s="172" t="n"/>
      <c r="AE69" s="172" t="n"/>
      <c r="AG69" s="172" t="n"/>
      <c r="AI69" s="172" t="n"/>
      <c r="AJ69" s="172" t="n"/>
      <c r="AK69" s="172" t="n"/>
      <c r="AL69" s="172" t="n"/>
      <c r="AM69" s="172" t="n"/>
    </row>
    <row r="70">
      <c r="C70" s="18" t="n"/>
      <c r="D70" s="11" t="n"/>
      <c r="G70" s="11" t="n"/>
      <c r="I70" s="11" t="n"/>
      <c r="J70" s="11" t="n"/>
      <c r="K70" s="11" t="n"/>
      <c r="R70" s="172" t="n"/>
      <c r="S70" s="172" t="n"/>
      <c r="T70" s="172" t="n"/>
      <c r="U70" s="172" t="n"/>
      <c r="V70" s="172" t="n"/>
      <c r="W70" s="172" t="n"/>
      <c r="X70" s="172" t="n"/>
      <c r="Y70" s="173" t="n"/>
      <c r="Z70" s="174" t="n"/>
      <c r="AB70" s="172" t="n"/>
      <c r="AC70" s="172" t="n"/>
      <c r="AD70" s="172" t="n"/>
      <c r="AE70" s="172" t="n"/>
      <c r="AG70" s="172" t="n"/>
      <c r="AI70" s="172" t="n"/>
      <c r="AJ70" s="172" t="n"/>
      <c r="AK70" s="172" t="n"/>
      <c r="AL70" s="172" t="n"/>
      <c r="AM70" s="172" t="n"/>
    </row>
    <row r="71">
      <c r="C71" s="18" t="n"/>
      <c r="D71" s="11" t="n"/>
      <c r="G71" s="11" t="n"/>
      <c r="I71" s="11" t="n"/>
      <c r="J71" s="11" t="n"/>
      <c r="K71" s="11" t="n"/>
      <c r="R71" s="172" t="n"/>
      <c r="S71" s="172" t="n"/>
      <c r="T71" s="172" t="n"/>
      <c r="U71" s="172" t="n"/>
      <c r="V71" s="172" t="n"/>
      <c r="W71" s="172" t="n"/>
      <c r="X71" s="172" t="n"/>
      <c r="Y71" s="173" t="n"/>
      <c r="Z71" s="174" t="n"/>
      <c r="AB71" s="172" t="n"/>
      <c r="AC71" s="172" t="n"/>
      <c r="AD71" s="172" t="n"/>
      <c r="AE71" s="172" t="n"/>
      <c r="AG71" s="172" t="n"/>
      <c r="AI71" s="172" t="n"/>
      <c r="AJ71" s="172" t="n"/>
      <c r="AK71" s="172" t="n"/>
      <c r="AL71" s="172" t="n"/>
      <c r="AM71" s="172" t="n"/>
    </row>
    <row r="72">
      <c r="C72" s="18" t="n"/>
      <c r="D72" s="11" t="n"/>
      <c r="G72" s="11" t="n"/>
      <c r="I72" s="11" t="n"/>
      <c r="J72" s="11" t="n"/>
      <c r="K72" s="11" t="n"/>
      <c r="R72" s="172" t="n"/>
      <c r="S72" s="172" t="n"/>
      <c r="T72" s="172" t="n"/>
      <c r="U72" s="172" t="n"/>
      <c r="V72" s="172" t="n"/>
      <c r="W72" s="172" t="n"/>
      <c r="X72" s="172" t="n"/>
      <c r="Y72" s="173" t="n"/>
      <c r="Z72" s="174" t="n"/>
      <c r="AB72" s="172" t="n"/>
      <c r="AC72" s="172" t="n"/>
      <c r="AD72" s="172" t="n"/>
      <c r="AE72" s="172" t="n"/>
      <c r="AG72" s="172" t="n"/>
      <c r="AI72" s="172" t="n"/>
      <c r="AJ72" s="172" t="n"/>
      <c r="AK72" s="172" t="n"/>
      <c r="AL72" s="172" t="n"/>
      <c r="AM72" s="172" t="n"/>
    </row>
    <row r="73">
      <c r="C73" s="18" t="n"/>
      <c r="D73" s="11" t="n"/>
      <c r="G73" s="11" t="n"/>
      <c r="I73" s="11" t="n"/>
      <c r="J73" s="11" t="n"/>
      <c r="K73" s="11" t="n"/>
      <c r="R73" s="172" t="n"/>
      <c r="S73" s="172" t="n"/>
      <c r="T73" s="172" t="n"/>
      <c r="U73" s="172" t="n"/>
      <c r="V73" s="172" t="n"/>
      <c r="W73" s="172" t="n"/>
      <c r="X73" s="172" t="n"/>
      <c r="Y73" s="173" t="n"/>
      <c r="Z73" s="174" t="n"/>
      <c r="AB73" s="172" t="n"/>
      <c r="AC73" s="172" t="n"/>
      <c r="AD73" s="172" t="n"/>
      <c r="AE73" s="172" t="n"/>
      <c r="AG73" s="172" t="n"/>
      <c r="AI73" s="172" t="n"/>
      <c r="AJ73" s="172" t="n"/>
      <c r="AK73" s="172" t="n"/>
      <c r="AL73" s="172" t="n"/>
      <c r="AM73" s="172" t="n"/>
    </row>
    <row r="74">
      <c r="C74" s="18" t="n"/>
      <c r="D74" s="11" t="n"/>
      <c r="G74" s="11" t="n"/>
      <c r="I74" s="11" t="n"/>
      <c r="J74" s="11" t="n"/>
      <c r="K74" s="11" t="n"/>
      <c r="R74" s="172" t="n"/>
      <c r="S74" s="172" t="n"/>
      <c r="T74" s="172" t="n"/>
      <c r="U74" s="172" t="n"/>
      <c r="V74" s="172" t="n"/>
      <c r="W74" s="172" t="n"/>
      <c r="X74" s="172" t="n"/>
      <c r="Y74" s="173" t="n"/>
      <c r="Z74" s="174" t="n"/>
      <c r="AB74" s="172" t="n"/>
      <c r="AC74" s="172" t="n"/>
      <c r="AD74" s="172" t="n"/>
      <c r="AE74" s="172" t="n"/>
      <c r="AG74" s="172" t="n"/>
      <c r="AI74" s="172" t="n"/>
      <c r="AJ74" s="172" t="n"/>
      <c r="AK74" s="172" t="n"/>
      <c r="AL74" s="172" t="n"/>
      <c r="AM74" s="172" t="n"/>
    </row>
    <row r="75">
      <c r="C75" s="18" t="n"/>
      <c r="D75" s="11" t="n"/>
      <c r="G75" s="11" t="n"/>
      <c r="I75" s="11" t="n"/>
      <c r="J75" s="11" t="n"/>
      <c r="K75" s="11" t="n"/>
      <c r="R75" s="172" t="n"/>
      <c r="S75" s="172" t="n"/>
      <c r="T75" s="172" t="n"/>
      <c r="U75" s="172" t="n"/>
      <c r="V75" s="172" t="n"/>
      <c r="W75" s="172" t="n"/>
      <c r="X75" s="172" t="n"/>
      <c r="Y75" s="173" t="n"/>
      <c r="Z75" s="174" t="n"/>
      <c r="AB75" s="172" t="n"/>
      <c r="AC75" s="172" t="n"/>
      <c r="AD75" s="172" t="n"/>
      <c r="AE75" s="172" t="n"/>
      <c r="AG75" s="172" t="n"/>
      <c r="AI75" s="172" t="n"/>
      <c r="AJ75" s="172" t="n"/>
      <c r="AK75" s="172" t="n"/>
      <c r="AL75" s="172" t="n"/>
      <c r="AM75" s="172" t="n"/>
    </row>
    <row r="76">
      <c r="C76" s="18" t="n"/>
      <c r="D76" s="11" t="n"/>
      <c r="G76" s="11" t="n"/>
      <c r="I76" s="11" t="n"/>
      <c r="J76" s="11" t="n"/>
      <c r="K76" s="11" t="n"/>
      <c r="R76" s="172" t="n"/>
      <c r="S76" s="172" t="n"/>
      <c r="T76" s="172" t="n"/>
      <c r="U76" s="172" t="n"/>
      <c r="V76" s="172" t="n"/>
      <c r="W76" s="172" t="n"/>
      <c r="X76" s="172" t="n"/>
      <c r="Y76" s="173" t="n"/>
      <c r="Z76" s="174" t="n"/>
      <c r="AB76" s="172" t="n"/>
      <c r="AC76" s="172" t="n"/>
      <c r="AD76" s="172" t="n"/>
      <c r="AE76" s="172" t="n"/>
      <c r="AG76" s="172" t="n"/>
      <c r="AI76" s="172" t="n"/>
      <c r="AJ76" s="172" t="n"/>
      <c r="AK76" s="172" t="n"/>
      <c r="AL76" s="172" t="n"/>
      <c r="AM76" s="172" t="n"/>
    </row>
    <row r="77">
      <c r="C77" s="18" t="n"/>
      <c r="D77" s="11" t="n"/>
      <c r="G77" s="11" t="n"/>
      <c r="I77" s="11" t="n"/>
      <c r="J77" s="11" t="n"/>
      <c r="K77" s="11" t="n"/>
      <c r="R77" s="172" t="n"/>
      <c r="S77" s="172" t="n"/>
      <c r="T77" s="172" t="n"/>
      <c r="U77" s="172" t="n"/>
      <c r="V77" s="172" t="n"/>
      <c r="W77" s="172" t="n"/>
      <c r="X77" s="172" t="n"/>
      <c r="Y77" s="173" t="n"/>
      <c r="Z77" s="174" t="n"/>
      <c r="AB77" s="172" t="n"/>
      <c r="AC77" s="172" t="n"/>
      <c r="AD77" s="172" t="n"/>
      <c r="AE77" s="172" t="n"/>
      <c r="AG77" s="172" t="n"/>
      <c r="AI77" s="172" t="n"/>
      <c r="AJ77" s="172" t="n"/>
      <c r="AK77" s="172" t="n"/>
      <c r="AL77" s="172" t="n"/>
      <c r="AM77" s="172" t="n"/>
    </row>
    <row r="78">
      <c r="C78" s="18" t="n"/>
      <c r="D78" s="11" t="n"/>
      <c r="G78" s="11" t="n"/>
      <c r="I78" s="11" t="n"/>
      <c r="J78" s="11" t="n"/>
      <c r="K78" s="11" t="n"/>
      <c r="R78" s="172" t="n"/>
      <c r="S78" s="172" t="n"/>
      <c r="T78" s="172" t="n"/>
      <c r="U78" s="172" t="n"/>
      <c r="V78" s="172" t="n"/>
      <c r="W78" s="172" t="n"/>
      <c r="X78" s="172" t="n"/>
      <c r="Y78" s="173" t="n"/>
      <c r="Z78" s="174" t="n"/>
      <c r="AB78" s="172" t="n"/>
      <c r="AC78" s="172" t="n"/>
      <c r="AD78" s="172" t="n"/>
      <c r="AE78" s="172" t="n"/>
      <c r="AG78" s="172" t="n"/>
      <c r="AI78" s="172" t="n"/>
      <c r="AJ78" s="172" t="n"/>
      <c r="AK78" s="172" t="n"/>
      <c r="AL78" s="172" t="n"/>
      <c r="AM78" s="172" t="n"/>
    </row>
    <row r="79">
      <c r="C79" s="18" t="n"/>
      <c r="D79" s="11" t="n"/>
      <c r="G79" s="11" t="n"/>
      <c r="I79" s="11" t="n"/>
      <c r="J79" s="11" t="n"/>
      <c r="K79" s="11" t="n"/>
      <c r="R79" s="172" t="n"/>
      <c r="S79" s="172" t="n"/>
      <c r="T79" s="172" t="n"/>
      <c r="U79" s="172" t="n"/>
      <c r="V79" s="172" t="n"/>
      <c r="W79" s="172" t="n"/>
      <c r="X79" s="172" t="n"/>
      <c r="Y79" s="173" t="n"/>
      <c r="Z79" s="174" t="n"/>
      <c r="AB79" s="172" t="n"/>
      <c r="AC79" s="172" t="n"/>
      <c r="AD79" s="172" t="n"/>
      <c r="AE79" s="172" t="n"/>
      <c r="AG79" s="172" t="n"/>
      <c r="AI79" s="172" t="n"/>
      <c r="AJ79" s="172" t="n"/>
      <c r="AK79" s="172" t="n"/>
      <c r="AL79" s="172" t="n"/>
      <c r="AM79" s="172" t="n"/>
    </row>
    <row r="80">
      <c r="C80" s="18" t="n"/>
      <c r="D80" s="11" t="n"/>
      <c r="G80" s="11" t="n"/>
      <c r="I80" s="11" t="n"/>
      <c r="J80" s="11" t="n"/>
      <c r="K80" s="11" t="n"/>
      <c r="R80" s="172" t="n"/>
      <c r="S80" s="172" t="n"/>
      <c r="T80" s="172" t="n"/>
      <c r="U80" s="172" t="n"/>
      <c r="V80" s="172" t="n"/>
      <c r="W80" s="172" t="n"/>
      <c r="X80" s="172" t="n"/>
      <c r="Y80" s="173" t="n"/>
      <c r="Z80" s="174" t="n"/>
      <c r="AB80" s="172" t="n"/>
      <c r="AC80" s="172" t="n"/>
      <c r="AD80" s="172" t="n"/>
      <c r="AE80" s="172" t="n"/>
      <c r="AG80" s="172" t="n"/>
      <c r="AI80" s="172" t="n"/>
      <c r="AJ80" s="172" t="n"/>
      <c r="AK80" s="172" t="n"/>
      <c r="AL80" s="172" t="n"/>
      <c r="AM80" s="172" t="n"/>
    </row>
    <row r="81">
      <c r="C81" s="18" t="n"/>
      <c r="D81" s="11" t="n"/>
      <c r="G81" s="11" t="n"/>
      <c r="I81" s="11" t="n"/>
      <c r="J81" s="11" t="n"/>
      <c r="K81" s="11" t="n"/>
      <c r="R81" s="172" t="n"/>
      <c r="S81" s="172" t="n"/>
      <c r="T81" s="172" t="n"/>
      <c r="U81" s="172" t="n"/>
      <c r="V81" s="172" t="n"/>
      <c r="W81" s="172" t="n"/>
      <c r="X81" s="172" t="n"/>
      <c r="Y81" s="173" t="n"/>
      <c r="Z81" s="174" t="n"/>
      <c r="AB81" s="172" t="n"/>
      <c r="AC81" s="172" t="n"/>
      <c r="AD81" s="172" t="n"/>
      <c r="AE81" s="172" t="n"/>
      <c r="AG81" s="172" t="n"/>
      <c r="AI81" s="172" t="n"/>
      <c r="AJ81" s="172" t="n"/>
      <c r="AK81" s="172" t="n"/>
      <c r="AL81" s="172" t="n"/>
      <c r="AM81" s="172" t="n"/>
    </row>
    <row r="82">
      <c r="C82" s="18" t="n"/>
      <c r="D82" s="11" t="n"/>
      <c r="G82" s="11" t="n"/>
      <c r="I82" s="11" t="n"/>
      <c r="J82" s="11" t="n"/>
      <c r="K82" s="11" t="n"/>
      <c r="R82" s="172" t="n"/>
      <c r="S82" s="172" t="n"/>
      <c r="T82" s="172" t="n"/>
      <c r="U82" s="172" t="n"/>
      <c r="V82" s="172" t="n"/>
      <c r="W82" s="172" t="n"/>
      <c r="X82" s="172" t="n"/>
      <c r="Y82" s="173" t="n"/>
      <c r="Z82" s="174" t="n"/>
      <c r="AB82" s="172" t="n"/>
      <c r="AC82" s="172" t="n"/>
      <c r="AD82" s="172" t="n"/>
      <c r="AE82" s="172" t="n"/>
      <c r="AG82" s="172" t="n"/>
      <c r="AI82" s="172" t="n"/>
      <c r="AJ82" s="172" t="n"/>
      <c r="AK82" s="172" t="n"/>
      <c r="AL82" s="172" t="n"/>
      <c r="AM82" s="172" t="n"/>
    </row>
    <row r="83">
      <c r="C83" s="18" t="n"/>
      <c r="D83" s="11" t="n"/>
      <c r="G83" s="11" t="n"/>
      <c r="I83" s="11" t="n"/>
      <c r="J83" s="11" t="n"/>
      <c r="K83" s="11" t="n"/>
      <c r="R83" s="172" t="n"/>
      <c r="S83" s="172" t="n"/>
      <c r="T83" s="172" t="n"/>
      <c r="U83" s="172" t="n"/>
      <c r="V83" s="172" t="n"/>
      <c r="W83" s="172" t="n"/>
      <c r="X83" s="172" t="n"/>
      <c r="Y83" s="173" t="n"/>
      <c r="Z83" s="174" t="n"/>
      <c r="AB83" s="172" t="n"/>
      <c r="AC83" s="172" t="n"/>
      <c r="AD83" s="172" t="n"/>
      <c r="AE83" s="172" t="n"/>
      <c r="AG83" s="172" t="n"/>
      <c r="AI83" s="172" t="n"/>
      <c r="AJ83" s="172" t="n"/>
      <c r="AK83" s="172" t="n"/>
      <c r="AL83" s="172" t="n"/>
      <c r="AM83" s="172" t="n"/>
    </row>
    <row r="84">
      <c r="C84" s="18" t="n"/>
      <c r="D84" s="11" t="n"/>
      <c r="G84" s="11" t="n"/>
      <c r="I84" s="11" t="n"/>
      <c r="J84" s="11" t="n"/>
      <c r="K84" s="11" t="n"/>
      <c r="R84" s="172" t="n"/>
      <c r="S84" s="172" t="n"/>
      <c r="T84" s="172" t="n"/>
      <c r="U84" s="172" t="n"/>
      <c r="V84" s="172" t="n"/>
      <c r="W84" s="172" t="n"/>
      <c r="X84" s="172" t="n"/>
      <c r="Y84" s="173" t="n"/>
      <c r="Z84" s="174" t="n"/>
      <c r="AB84" s="172" t="n"/>
      <c r="AC84" s="172" t="n"/>
      <c r="AD84" s="172" t="n"/>
      <c r="AE84" s="172" t="n"/>
      <c r="AG84" s="172" t="n"/>
      <c r="AI84" s="172" t="n"/>
      <c r="AJ84" s="172" t="n"/>
      <c r="AK84" s="172" t="n"/>
      <c r="AL84" s="172" t="n"/>
      <c r="AM84" s="172" t="n"/>
    </row>
    <row r="85">
      <c r="C85" s="18" t="n"/>
      <c r="D85" s="11" t="n"/>
      <c r="G85" s="11" t="n"/>
      <c r="I85" s="11" t="n"/>
      <c r="J85" s="11" t="n"/>
      <c r="K85" s="11" t="n"/>
      <c r="R85" s="172" t="n"/>
      <c r="S85" s="172" t="n"/>
      <c r="T85" s="172" t="n"/>
      <c r="U85" s="172" t="n"/>
      <c r="V85" s="172" t="n"/>
      <c r="W85" s="172" t="n"/>
      <c r="X85" s="172" t="n"/>
      <c r="Y85" s="173" t="n"/>
      <c r="Z85" s="174" t="n"/>
      <c r="AB85" s="172" t="n"/>
      <c r="AC85" s="172" t="n"/>
      <c r="AD85" s="172" t="n"/>
      <c r="AE85" s="172" t="n"/>
      <c r="AG85" s="172" t="n"/>
      <c r="AI85" s="172" t="n"/>
      <c r="AJ85" s="172" t="n"/>
      <c r="AK85" s="172" t="n"/>
      <c r="AL85" s="172" t="n"/>
      <c r="AM85" s="172" t="n"/>
    </row>
    <row r="86">
      <c r="C86" s="18" t="n"/>
      <c r="D86" s="11" t="n"/>
      <c r="G86" s="11" t="n"/>
      <c r="I86" s="11" t="n"/>
      <c r="J86" s="11" t="n"/>
      <c r="K86" s="11" t="n"/>
      <c r="R86" s="172" t="n"/>
      <c r="S86" s="172" t="n"/>
      <c r="T86" s="172" t="n"/>
      <c r="U86" s="172" t="n"/>
      <c r="V86" s="172" t="n"/>
      <c r="W86" s="172" t="n"/>
      <c r="X86" s="172" t="n"/>
      <c r="Y86" s="173" t="n"/>
      <c r="Z86" s="174" t="n"/>
      <c r="AB86" s="172" t="n"/>
      <c r="AC86" s="172" t="n"/>
      <c r="AD86" s="172" t="n"/>
      <c r="AE86" s="172" t="n"/>
      <c r="AG86" s="172" t="n"/>
      <c r="AI86" s="172" t="n"/>
      <c r="AJ86" s="172" t="n"/>
      <c r="AK86" s="172" t="n"/>
      <c r="AL86" s="172" t="n"/>
      <c r="AM86" s="172" t="n"/>
    </row>
    <row r="87">
      <c r="C87" s="18" t="n"/>
      <c r="D87" s="11" t="n"/>
      <c r="G87" s="11" t="n"/>
      <c r="I87" s="11" t="n"/>
      <c r="J87" s="11" t="n"/>
      <c r="K87" s="11" t="n"/>
      <c r="R87" s="172" t="n"/>
      <c r="S87" s="172" t="n"/>
      <c r="T87" s="172" t="n"/>
      <c r="U87" s="172" t="n"/>
      <c r="V87" s="172" t="n"/>
      <c r="W87" s="172" t="n"/>
      <c r="X87" s="172" t="n"/>
      <c r="Y87" s="173" t="n"/>
      <c r="Z87" s="174" t="n"/>
      <c r="AB87" s="172" t="n"/>
      <c r="AC87" s="172" t="n"/>
      <c r="AD87" s="172" t="n"/>
      <c r="AE87" s="172" t="n"/>
      <c r="AG87" s="172" t="n"/>
      <c r="AI87" s="172" t="n"/>
      <c r="AJ87" s="172" t="n"/>
      <c r="AK87" s="172" t="n"/>
      <c r="AL87" s="172" t="n"/>
      <c r="AM87" s="172" t="n"/>
    </row>
    <row r="88">
      <c r="C88" s="18" t="n"/>
      <c r="D88" s="11" t="n"/>
      <c r="G88" s="11" t="n"/>
      <c r="I88" s="11" t="n"/>
      <c r="J88" s="11" t="n"/>
      <c r="K88" s="11" t="n"/>
      <c r="R88" s="172" t="n"/>
      <c r="S88" s="172" t="n"/>
      <c r="T88" s="172" t="n"/>
      <c r="U88" s="172" t="n"/>
      <c r="V88" s="172" t="n"/>
      <c r="W88" s="172" t="n"/>
      <c r="X88" s="172" t="n"/>
      <c r="Y88" s="173" t="n"/>
      <c r="Z88" s="174" t="n"/>
      <c r="AB88" s="172" t="n"/>
      <c r="AC88" s="172" t="n"/>
      <c r="AD88" s="172" t="n"/>
      <c r="AE88" s="172" t="n"/>
      <c r="AG88" s="172" t="n"/>
      <c r="AI88" s="172" t="n"/>
      <c r="AJ88" s="172" t="n"/>
      <c r="AK88" s="172" t="n"/>
      <c r="AL88" s="172" t="n"/>
      <c r="AM88" s="172" t="n"/>
    </row>
    <row r="89">
      <c r="C89" s="18" t="n"/>
      <c r="D89" s="11" t="n"/>
      <c r="G89" s="11" t="n"/>
      <c r="I89" s="11" t="n"/>
      <c r="J89" s="11" t="n"/>
      <c r="K89" s="11" t="n"/>
      <c r="R89" s="172" t="n"/>
      <c r="S89" s="172" t="n"/>
      <c r="T89" s="172" t="n"/>
      <c r="U89" s="172" t="n"/>
      <c r="V89" s="172" t="n"/>
      <c r="W89" s="172" t="n"/>
      <c r="X89" s="172" t="n"/>
      <c r="Y89" s="173" t="n"/>
      <c r="Z89" s="174" t="n"/>
      <c r="AB89" s="172" t="n"/>
      <c r="AC89" s="172" t="n"/>
      <c r="AD89" s="172" t="n"/>
      <c r="AE89" s="172" t="n"/>
      <c r="AG89" s="172" t="n"/>
      <c r="AI89" s="172" t="n"/>
      <c r="AJ89" s="172" t="n"/>
      <c r="AK89" s="172" t="n"/>
      <c r="AL89" s="172" t="n"/>
      <c r="AM89" s="172" t="n"/>
    </row>
    <row r="90">
      <c r="C90" s="18" t="n"/>
      <c r="D90" s="11" t="n"/>
      <c r="G90" s="11" t="n"/>
      <c r="I90" s="11" t="n"/>
      <c r="J90" s="11" t="n"/>
      <c r="K90" s="11" t="n"/>
      <c r="R90" s="172" t="n"/>
      <c r="S90" s="172" t="n"/>
      <c r="T90" s="172" t="n"/>
      <c r="U90" s="172" t="n"/>
      <c r="V90" s="172" t="n"/>
      <c r="W90" s="172" t="n"/>
      <c r="X90" s="172" t="n"/>
      <c r="Y90" s="173" t="n"/>
      <c r="Z90" s="174" t="n"/>
      <c r="AB90" s="172" t="n"/>
      <c r="AC90" s="172" t="n"/>
      <c r="AD90" s="172" t="n"/>
      <c r="AE90" s="172" t="n"/>
      <c r="AG90" s="172" t="n"/>
      <c r="AI90" s="172" t="n"/>
      <c r="AJ90" s="172" t="n"/>
      <c r="AK90" s="172" t="n"/>
      <c r="AL90" s="172" t="n"/>
      <c r="AM90" s="172" t="n"/>
    </row>
    <row r="91">
      <c r="C91" s="18" t="n"/>
      <c r="D91" s="11" t="n"/>
      <c r="G91" s="11" t="n"/>
      <c r="I91" s="11" t="n"/>
      <c r="J91" s="11" t="n"/>
      <c r="K91" s="11" t="n"/>
      <c r="R91" s="172" t="n"/>
      <c r="S91" s="172" t="n"/>
      <c r="T91" s="172" t="n"/>
      <c r="U91" s="172" t="n"/>
      <c r="V91" s="172" t="n"/>
      <c r="W91" s="172" t="n"/>
      <c r="X91" s="172" t="n"/>
      <c r="Y91" s="173" t="n"/>
      <c r="Z91" s="174" t="n"/>
      <c r="AB91" s="172" t="n"/>
      <c r="AC91" s="172" t="n"/>
      <c r="AD91" s="172" t="n"/>
      <c r="AE91" s="172" t="n"/>
      <c r="AG91" s="172" t="n"/>
      <c r="AI91" s="172" t="n"/>
      <c r="AJ91" s="172" t="n"/>
      <c r="AK91" s="172" t="n"/>
      <c r="AL91" s="172" t="n"/>
      <c r="AM91" s="172" t="n"/>
    </row>
    <row r="92">
      <c r="C92" s="18" t="n"/>
      <c r="D92" s="11" t="n"/>
      <c r="G92" s="11" t="n"/>
      <c r="I92" s="11" t="n"/>
      <c r="J92" s="11" t="n"/>
      <c r="K92" s="11" t="n"/>
      <c r="R92" s="172" t="n"/>
      <c r="S92" s="172" t="n"/>
      <c r="T92" s="172" t="n"/>
      <c r="U92" s="172" t="n"/>
      <c r="V92" s="172" t="n"/>
      <c r="W92" s="172" t="n"/>
      <c r="X92" s="172" t="n"/>
      <c r="Y92" s="173" t="n"/>
      <c r="Z92" s="174" t="n"/>
      <c r="AB92" s="172" t="n"/>
      <c r="AC92" s="172" t="n"/>
      <c r="AD92" s="172" t="n"/>
      <c r="AE92" s="172" t="n"/>
      <c r="AG92" s="172" t="n"/>
      <c r="AI92" s="172" t="n"/>
      <c r="AJ92" s="172" t="n"/>
      <c r="AK92" s="172" t="n"/>
      <c r="AL92" s="172" t="n"/>
      <c r="AM92" s="172" t="n"/>
    </row>
    <row r="93">
      <c r="C93" s="18" t="n"/>
      <c r="D93" s="11" t="n"/>
      <c r="G93" s="11" t="n"/>
      <c r="I93" s="11" t="n"/>
      <c r="J93" s="11" t="n"/>
      <c r="K93" s="11" t="n"/>
      <c r="R93" s="172" t="n"/>
      <c r="S93" s="172" t="n"/>
      <c r="T93" s="172" t="n"/>
      <c r="U93" s="172" t="n"/>
      <c r="V93" s="172" t="n"/>
      <c r="W93" s="172" t="n"/>
      <c r="X93" s="172" t="n"/>
      <c r="Y93" s="173" t="n"/>
      <c r="Z93" s="174" t="n"/>
      <c r="AB93" s="172" t="n"/>
      <c r="AC93" s="172" t="n"/>
      <c r="AD93" s="172" t="n"/>
      <c r="AE93" s="172" t="n"/>
      <c r="AG93" s="172" t="n"/>
      <c r="AI93" s="172" t="n"/>
      <c r="AJ93" s="172" t="n"/>
      <c r="AK93" s="172" t="n"/>
      <c r="AL93" s="172" t="n"/>
      <c r="AM93" s="172" t="n"/>
    </row>
    <row r="94">
      <c r="C94" s="18" t="n"/>
      <c r="D94" s="11" t="n"/>
      <c r="G94" s="11" t="n"/>
      <c r="I94" s="11" t="n"/>
      <c r="J94" s="11" t="n"/>
      <c r="K94" s="11" t="n"/>
      <c r="R94" s="172" t="n"/>
      <c r="S94" s="172" t="n"/>
      <c r="T94" s="172" t="n"/>
      <c r="U94" s="172" t="n"/>
      <c r="V94" s="172" t="n"/>
      <c r="W94" s="172" t="n"/>
      <c r="X94" s="172" t="n"/>
      <c r="Y94" s="173" t="n"/>
      <c r="Z94" s="174" t="n"/>
      <c r="AB94" s="172" t="n"/>
      <c r="AC94" s="172" t="n"/>
      <c r="AD94" s="172" t="n"/>
      <c r="AE94" s="172" t="n"/>
      <c r="AG94" s="172" t="n"/>
      <c r="AI94" s="172" t="n"/>
      <c r="AJ94" s="172" t="n"/>
      <c r="AK94" s="172" t="n"/>
      <c r="AL94" s="172" t="n"/>
      <c r="AM94" s="172" t="n"/>
    </row>
    <row r="95">
      <c r="C95" s="18" t="n"/>
      <c r="D95" s="11" t="n"/>
      <c r="G95" s="11" t="n"/>
      <c r="I95" s="11" t="n"/>
      <c r="J95" s="11" t="n"/>
      <c r="K95" s="11" t="n"/>
      <c r="R95" s="172" t="n"/>
      <c r="S95" s="172" t="n"/>
      <c r="T95" s="172" t="n"/>
      <c r="U95" s="172" t="n"/>
      <c r="V95" s="172" t="n"/>
      <c r="W95" s="172" t="n"/>
      <c r="X95" s="172" t="n"/>
      <c r="Y95" s="173" t="n"/>
      <c r="Z95" s="174" t="n"/>
      <c r="AB95" s="172" t="n"/>
      <c r="AC95" s="172" t="n"/>
      <c r="AD95" s="172" t="n"/>
      <c r="AE95" s="172" t="n"/>
      <c r="AG95" s="172" t="n"/>
      <c r="AI95" s="172" t="n"/>
      <c r="AJ95" s="172" t="n"/>
      <c r="AK95" s="172" t="n"/>
      <c r="AL95" s="172" t="n"/>
      <c r="AM95" s="172" t="n"/>
    </row>
    <row r="96">
      <c r="C96" s="18" t="n"/>
      <c r="D96" s="11" t="n"/>
      <c r="G96" s="11" t="n"/>
      <c r="I96" s="11" t="n"/>
      <c r="J96" s="11" t="n"/>
      <c r="K96" s="11" t="n"/>
      <c r="R96" s="172" t="n"/>
      <c r="S96" s="172" t="n"/>
      <c r="T96" s="172" t="n"/>
      <c r="U96" s="172" t="n"/>
      <c r="V96" s="172" t="n"/>
      <c r="W96" s="172" t="n"/>
      <c r="X96" s="172" t="n"/>
      <c r="Y96" s="173" t="n"/>
      <c r="Z96" s="174" t="n"/>
      <c r="AB96" s="172" t="n"/>
      <c r="AC96" s="172" t="n"/>
      <c r="AD96" s="172" t="n"/>
      <c r="AE96" s="172" t="n"/>
      <c r="AG96" s="172" t="n"/>
      <c r="AI96" s="172" t="n"/>
      <c r="AJ96" s="172" t="n"/>
      <c r="AK96" s="172" t="n"/>
      <c r="AL96" s="172" t="n"/>
      <c r="AM96" s="172" t="n"/>
    </row>
    <row r="97">
      <c r="C97" s="18" t="n"/>
      <c r="D97" s="11" t="n"/>
      <c r="G97" s="11" t="n"/>
      <c r="I97" s="11" t="n"/>
      <c r="J97" s="11" t="n"/>
      <c r="K97" s="11" t="n"/>
      <c r="R97" s="172" t="n"/>
      <c r="S97" s="172" t="n"/>
      <c r="T97" s="172" t="n"/>
      <c r="U97" s="172" t="n"/>
      <c r="V97" s="172" t="n"/>
      <c r="W97" s="172" t="n"/>
      <c r="X97" s="172" t="n"/>
      <c r="Y97" s="173" t="n"/>
      <c r="Z97" s="174" t="n"/>
      <c r="AB97" s="172" t="n"/>
      <c r="AC97" s="172" t="n"/>
      <c r="AD97" s="172" t="n"/>
      <c r="AE97" s="172" t="n"/>
      <c r="AG97" s="172" t="n"/>
      <c r="AI97" s="172" t="n"/>
      <c r="AJ97" s="172" t="n"/>
      <c r="AK97" s="172" t="n"/>
      <c r="AL97" s="172" t="n"/>
      <c r="AM97" s="172" t="n"/>
    </row>
    <row r="98">
      <c r="C98" s="18" t="n"/>
      <c r="D98" s="11" t="n"/>
      <c r="G98" s="11" t="n"/>
      <c r="I98" s="11" t="n"/>
      <c r="J98" s="11" t="n"/>
      <c r="K98" s="11" t="n"/>
      <c r="R98" s="172" t="n"/>
      <c r="S98" s="172" t="n"/>
      <c r="T98" s="172" t="n"/>
      <c r="U98" s="172" t="n"/>
      <c r="V98" s="172" t="n"/>
      <c r="W98" s="172" t="n"/>
      <c r="X98" s="172" t="n"/>
      <c r="Y98" s="173" t="n"/>
      <c r="Z98" s="174" t="n"/>
      <c r="AB98" s="172" t="n"/>
      <c r="AC98" s="172" t="n"/>
      <c r="AD98" s="172" t="n"/>
      <c r="AE98" s="172" t="n"/>
      <c r="AG98" s="172" t="n"/>
      <c r="AI98" s="172" t="n"/>
      <c r="AJ98" s="172" t="n"/>
      <c r="AK98" s="172" t="n"/>
      <c r="AL98" s="172" t="n"/>
      <c r="AM98" s="172" t="n"/>
    </row>
    <row r="99">
      <c r="C99" s="18" t="n"/>
      <c r="D99" s="11" t="n"/>
      <c r="G99" s="11" t="n"/>
      <c r="I99" s="11" t="n"/>
      <c r="J99" s="11" t="n"/>
      <c r="K99" s="11" t="n"/>
      <c r="R99" s="172" t="n"/>
      <c r="S99" s="172" t="n"/>
      <c r="T99" s="172" t="n"/>
      <c r="U99" s="172" t="n"/>
      <c r="V99" s="172" t="n"/>
      <c r="W99" s="172" t="n"/>
      <c r="X99" s="172" t="n"/>
      <c r="Y99" s="173" t="n"/>
      <c r="Z99" s="174" t="n"/>
      <c r="AB99" s="172" t="n"/>
      <c r="AC99" s="172" t="n"/>
      <c r="AD99" s="172" t="n"/>
      <c r="AE99" s="172" t="n"/>
      <c r="AG99" s="172" t="n"/>
      <c r="AI99" s="172" t="n"/>
      <c r="AJ99" s="172" t="n"/>
      <c r="AK99" s="172" t="n"/>
      <c r="AL99" s="172" t="n"/>
      <c r="AM99" s="172" t="n"/>
    </row>
    <row r="100">
      <c r="C100" s="18" t="n"/>
      <c r="D100" s="11" t="n"/>
      <c r="G100" s="11" t="n"/>
      <c r="I100" s="11" t="n"/>
      <c r="J100" s="11" t="n"/>
      <c r="K100" s="11" t="n"/>
      <c r="R100" s="172" t="n"/>
      <c r="S100" s="172" t="n"/>
      <c r="T100" s="172" t="n"/>
      <c r="U100" s="172" t="n"/>
      <c r="V100" s="172" t="n"/>
      <c r="W100" s="172" t="n"/>
      <c r="X100" s="172" t="n"/>
      <c r="Y100" s="173" t="n"/>
      <c r="Z100" s="174" t="n"/>
      <c r="AB100" s="172" t="n"/>
      <c r="AC100" s="172" t="n"/>
      <c r="AD100" s="172" t="n"/>
      <c r="AE100" s="172" t="n"/>
      <c r="AG100" s="172" t="n"/>
      <c r="AI100" s="172" t="n"/>
      <c r="AJ100" s="172" t="n"/>
      <c r="AK100" s="172" t="n"/>
      <c r="AL100" s="172" t="n"/>
      <c r="AM100" s="172" t="n"/>
    </row>
    <row r="101">
      <c r="C101" s="18" t="n"/>
      <c r="D101" s="11" t="n"/>
      <c r="G101" s="11" t="n"/>
      <c r="I101" s="11" t="n"/>
      <c r="J101" s="11" t="n"/>
      <c r="K101" s="11" t="n"/>
      <c r="R101" s="172" t="n"/>
      <c r="S101" s="172" t="n"/>
      <c r="T101" s="172" t="n"/>
      <c r="U101" s="172" t="n"/>
      <c r="V101" s="172" t="n"/>
      <c r="W101" s="172" t="n"/>
      <c r="X101" s="172" t="n"/>
      <c r="Y101" s="173" t="n"/>
      <c r="Z101" s="174" t="n"/>
      <c r="AB101" s="172" t="n"/>
      <c r="AC101" s="172" t="n"/>
      <c r="AD101" s="172" t="n"/>
      <c r="AE101" s="172" t="n"/>
      <c r="AG101" s="172" t="n"/>
      <c r="AI101" s="172" t="n"/>
      <c r="AJ101" s="172" t="n"/>
      <c r="AK101" s="172" t="n"/>
      <c r="AL101" s="172" t="n"/>
      <c r="AM101" s="172" t="n"/>
    </row>
    <row r="102">
      <c r="C102" s="18" t="n"/>
      <c r="D102" s="11" t="n"/>
      <c r="G102" s="11" t="n"/>
      <c r="I102" s="11" t="n"/>
      <c r="J102" s="11" t="n"/>
      <c r="K102" s="11" t="n"/>
      <c r="R102" s="172" t="n"/>
      <c r="S102" s="172" t="n"/>
      <c r="T102" s="172" t="n"/>
      <c r="U102" s="172" t="n"/>
      <c r="V102" s="172" t="n"/>
      <c r="W102" s="172" t="n"/>
      <c r="X102" s="172" t="n"/>
      <c r="Y102" s="173" t="n"/>
      <c r="Z102" s="174" t="n"/>
      <c r="AB102" s="172" t="n"/>
      <c r="AC102" s="172" t="n"/>
      <c r="AD102" s="172" t="n"/>
      <c r="AE102" s="172" t="n"/>
      <c r="AG102" s="172" t="n"/>
      <c r="AI102" s="172" t="n"/>
      <c r="AJ102" s="172" t="n"/>
      <c r="AK102" s="172" t="n"/>
      <c r="AL102" s="172" t="n"/>
      <c r="AM102" s="172" t="n"/>
    </row>
    <row r="103">
      <c r="C103" s="18" t="n"/>
      <c r="D103" s="11" t="n"/>
      <c r="G103" s="11" t="n"/>
      <c r="I103" s="11" t="n"/>
      <c r="J103" s="11" t="n"/>
      <c r="K103" s="11" t="n"/>
      <c r="R103" s="172" t="n"/>
      <c r="S103" s="172" t="n"/>
      <c r="T103" s="172" t="n"/>
      <c r="U103" s="172" t="n"/>
      <c r="V103" s="172" t="n"/>
      <c r="W103" s="172" t="n"/>
      <c r="X103" s="172" t="n"/>
      <c r="Y103" s="173" t="n"/>
      <c r="Z103" s="174" t="n"/>
      <c r="AB103" s="172" t="n"/>
      <c r="AC103" s="172" t="n"/>
      <c r="AD103" s="172" t="n"/>
      <c r="AE103" s="172" t="n"/>
      <c r="AG103" s="172" t="n"/>
      <c r="AI103" s="172" t="n"/>
      <c r="AJ103" s="172" t="n"/>
      <c r="AK103" s="172" t="n"/>
      <c r="AL103" s="172" t="n"/>
      <c r="AM103" s="172" t="n"/>
    </row>
    <row r="104">
      <c r="C104" s="18" t="n"/>
      <c r="D104" s="11" t="n"/>
      <c r="G104" s="11" t="n"/>
      <c r="I104" s="11" t="n"/>
      <c r="J104" s="11" t="n"/>
      <c r="K104" s="11" t="n"/>
      <c r="R104" s="172" t="n"/>
      <c r="S104" s="172" t="n"/>
      <c r="T104" s="172" t="n"/>
      <c r="U104" s="172" t="n"/>
      <c r="V104" s="172" t="n"/>
      <c r="W104" s="172" t="n"/>
      <c r="X104" s="172" t="n"/>
      <c r="Y104" s="173" t="n"/>
      <c r="Z104" s="174" t="n"/>
      <c r="AB104" s="172" t="n"/>
      <c r="AC104" s="172" t="n"/>
      <c r="AD104" s="172" t="n"/>
      <c r="AE104" s="172" t="n"/>
      <c r="AG104" s="172" t="n"/>
      <c r="AI104" s="172" t="n"/>
      <c r="AJ104" s="172" t="n"/>
      <c r="AK104" s="172" t="n"/>
      <c r="AL104" s="172" t="n"/>
      <c r="AM104" s="172" t="n"/>
    </row>
    <row r="105">
      <c r="C105" s="18" t="n"/>
      <c r="D105" s="11" t="n"/>
      <c r="G105" s="11" t="n"/>
      <c r="I105" s="11" t="n"/>
      <c r="J105" s="11" t="n"/>
      <c r="K105" s="11" t="n"/>
      <c r="R105" s="172" t="n"/>
      <c r="S105" s="172" t="n"/>
      <c r="T105" s="172" t="n"/>
      <c r="U105" s="172" t="n"/>
      <c r="V105" s="172" t="n"/>
      <c r="W105" s="172" t="n"/>
      <c r="X105" s="172" t="n"/>
      <c r="Y105" s="173" t="n"/>
      <c r="Z105" s="174" t="n"/>
      <c r="AB105" s="172" t="n"/>
      <c r="AC105" s="172" t="n"/>
      <c r="AD105" s="172" t="n"/>
      <c r="AE105" s="172" t="n"/>
      <c r="AG105" s="172" t="n"/>
      <c r="AI105" s="172" t="n"/>
      <c r="AJ105" s="172" t="n"/>
      <c r="AK105" s="172" t="n"/>
      <c r="AL105" s="172" t="n"/>
      <c r="AM105" s="172" t="n"/>
    </row>
    <row r="106">
      <c r="C106" s="18" t="n"/>
      <c r="D106" s="11" t="n"/>
      <c r="G106" s="11" t="n"/>
      <c r="I106" s="11" t="n"/>
      <c r="J106" s="11" t="n"/>
      <c r="K106" s="11" t="n"/>
      <c r="R106" s="172" t="n"/>
      <c r="S106" s="172" t="n"/>
      <c r="T106" s="172" t="n"/>
      <c r="U106" s="172" t="n"/>
      <c r="V106" s="172" t="n"/>
      <c r="W106" s="172" t="n"/>
      <c r="X106" s="172" t="n"/>
      <c r="Y106" s="173" t="n"/>
      <c r="Z106" s="174" t="n"/>
      <c r="AB106" s="172" t="n"/>
      <c r="AC106" s="172" t="n"/>
      <c r="AD106" s="172" t="n"/>
      <c r="AE106" s="172" t="n"/>
      <c r="AG106" s="172" t="n"/>
      <c r="AI106" s="172" t="n"/>
      <c r="AJ106" s="172" t="n"/>
      <c r="AK106" s="172" t="n"/>
      <c r="AL106" s="172" t="n"/>
      <c r="AM106" s="172" t="n"/>
    </row>
    <row r="107">
      <c r="C107" s="18" t="n"/>
      <c r="D107" s="11" t="n"/>
      <c r="G107" s="11" t="n"/>
      <c r="I107" s="11" t="n"/>
      <c r="J107" s="11" t="n"/>
      <c r="K107" s="11" t="n"/>
      <c r="R107" s="172" t="n"/>
      <c r="S107" s="172" t="n"/>
      <c r="T107" s="172" t="n"/>
      <c r="U107" s="172" t="n"/>
      <c r="V107" s="172" t="n"/>
      <c r="W107" s="172" t="n"/>
      <c r="X107" s="172" t="n"/>
      <c r="Y107" s="173" t="n"/>
      <c r="Z107" s="174" t="n"/>
      <c r="AB107" s="172" t="n"/>
      <c r="AC107" s="172" t="n"/>
      <c r="AD107" s="172" t="n"/>
      <c r="AE107" s="172" t="n"/>
      <c r="AG107" s="172" t="n"/>
      <c r="AI107" s="172" t="n"/>
      <c r="AJ107" s="172" t="n"/>
      <c r="AK107" s="172" t="n"/>
      <c r="AL107" s="172" t="n"/>
      <c r="AM107" s="172" t="n"/>
    </row>
    <row r="108">
      <c r="C108" s="18" t="n"/>
      <c r="D108" s="11" t="n"/>
      <c r="G108" s="11" t="n"/>
      <c r="I108" s="11" t="n"/>
      <c r="J108" s="11" t="n"/>
      <c r="K108" s="11" t="n"/>
      <c r="R108" s="172" t="n"/>
      <c r="S108" s="172" t="n"/>
      <c r="T108" s="172" t="n"/>
      <c r="U108" s="172" t="n"/>
      <c r="V108" s="172" t="n"/>
      <c r="W108" s="172" t="n"/>
      <c r="X108" s="172" t="n"/>
      <c r="Y108" s="173" t="n"/>
      <c r="Z108" s="174" t="n"/>
      <c r="AB108" s="172" t="n"/>
      <c r="AC108" s="172" t="n"/>
      <c r="AD108" s="172" t="n"/>
      <c r="AE108" s="172" t="n"/>
      <c r="AG108" s="172" t="n"/>
      <c r="AI108" s="172" t="n"/>
      <c r="AJ108" s="172" t="n"/>
      <c r="AK108" s="172" t="n"/>
      <c r="AL108" s="172" t="n"/>
      <c r="AM108" s="172" t="n"/>
    </row>
    <row r="109">
      <c r="C109" s="18" t="n"/>
      <c r="D109" s="11" t="n"/>
      <c r="G109" s="11" t="n"/>
      <c r="I109" s="11" t="n"/>
      <c r="J109" s="11" t="n"/>
      <c r="K109" s="11" t="n"/>
      <c r="R109" s="172" t="n"/>
      <c r="S109" s="172" t="n"/>
      <c r="T109" s="172" t="n"/>
      <c r="U109" s="172" t="n"/>
      <c r="V109" s="172" t="n"/>
      <c r="W109" s="172" t="n"/>
      <c r="X109" s="172" t="n"/>
      <c r="Y109" s="173" t="n"/>
      <c r="Z109" s="174" t="n"/>
      <c r="AB109" s="172" t="n"/>
      <c r="AC109" s="172" t="n"/>
      <c r="AD109" s="172" t="n"/>
      <c r="AE109" s="172" t="n"/>
      <c r="AG109" s="172" t="n"/>
      <c r="AI109" s="172" t="n"/>
      <c r="AJ109" s="172" t="n"/>
      <c r="AK109" s="172" t="n"/>
      <c r="AL109" s="172" t="n"/>
      <c r="AM109" s="172" t="n"/>
    </row>
    <row r="110">
      <c r="C110" s="18" t="n"/>
      <c r="D110" s="11" t="n"/>
      <c r="G110" s="11" t="n"/>
      <c r="I110" s="11" t="n"/>
      <c r="J110" s="11" t="n"/>
      <c r="K110" s="11" t="n"/>
      <c r="R110" s="172" t="n"/>
      <c r="S110" s="172" t="n"/>
      <c r="T110" s="172" t="n"/>
      <c r="U110" s="172" t="n"/>
      <c r="V110" s="172" t="n"/>
      <c r="W110" s="172" t="n"/>
      <c r="X110" s="172" t="n"/>
      <c r="Y110" s="173" t="n"/>
      <c r="Z110" s="174" t="n"/>
      <c r="AB110" s="172" t="n"/>
      <c r="AC110" s="172" t="n"/>
      <c r="AD110" s="172" t="n"/>
      <c r="AE110" s="172" t="n"/>
      <c r="AG110" s="172" t="n"/>
      <c r="AI110" s="172" t="n"/>
      <c r="AJ110" s="172" t="n"/>
      <c r="AK110" s="172" t="n"/>
      <c r="AL110" s="172" t="n"/>
      <c r="AM110" s="172" t="n"/>
    </row>
    <row r="111">
      <c r="C111" s="18" t="n"/>
      <c r="D111" s="11" t="n"/>
      <c r="G111" s="11" t="n"/>
      <c r="I111" s="11" t="n"/>
      <c r="J111" s="11" t="n"/>
      <c r="K111" s="11" t="n"/>
      <c r="R111" s="172" t="n"/>
      <c r="S111" s="172" t="n"/>
      <c r="T111" s="172" t="n"/>
      <c r="U111" s="172" t="n"/>
      <c r="V111" s="172" t="n"/>
      <c r="W111" s="172" t="n"/>
      <c r="X111" s="172" t="n"/>
      <c r="Y111" s="173" t="n"/>
      <c r="Z111" s="174" t="n"/>
      <c r="AB111" s="172" t="n"/>
      <c r="AC111" s="172" t="n"/>
      <c r="AD111" s="172" t="n"/>
      <c r="AE111" s="172" t="n"/>
      <c r="AG111" s="172" t="n"/>
      <c r="AI111" s="172" t="n"/>
      <c r="AJ111" s="172" t="n"/>
      <c r="AK111" s="172" t="n"/>
      <c r="AL111" s="172" t="n"/>
      <c r="AM111" s="172" t="n"/>
    </row>
    <row r="112">
      <c r="C112" s="18" t="n"/>
      <c r="D112" s="11" t="n"/>
      <c r="G112" s="11" t="n"/>
      <c r="I112" s="11" t="n"/>
      <c r="J112" s="11" t="n"/>
      <c r="K112" s="11" t="n"/>
      <c r="R112" s="172" t="n"/>
      <c r="S112" s="172" t="n"/>
      <c r="T112" s="172" t="n"/>
      <c r="U112" s="172" t="n"/>
      <c r="V112" s="172" t="n"/>
      <c r="W112" s="172" t="n"/>
      <c r="X112" s="172" t="n"/>
      <c r="Y112" s="173" t="n"/>
      <c r="Z112" s="174" t="n"/>
      <c r="AB112" s="172" t="n"/>
      <c r="AC112" s="172" t="n"/>
      <c r="AD112" s="172" t="n"/>
      <c r="AE112" s="172" t="n"/>
      <c r="AG112" s="172" t="n"/>
      <c r="AI112" s="172" t="n"/>
      <c r="AJ112" s="172" t="n"/>
      <c r="AK112" s="172" t="n"/>
      <c r="AL112" s="172" t="n"/>
      <c r="AM112" s="172" t="n"/>
    </row>
    <row r="113">
      <c r="C113" s="18" t="n"/>
      <c r="D113" s="11" t="n"/>
      <c r="G113" s="11" t="n"/>
      <c r="I113" s="11" t="n"/>
      <c r="J113" s="11" t="n"/>
      <c r="K113" s="11" t="n"/>
      <c r="R113" s="172" t="n"/>
      <c r="S113" s="172" t="n"/>
      <c r="T113" s="172" t="n"/>
      <c r="U113" s="172" t="n"/>
      <c r="V113" s="172" t="n"/>
      <c r="W113" s="172" t="n"/>
      <c r="X113" s="172" t="n"/>
      <c r="Y113" s="173" t="n"/>
      <c r="Z113" s="174" t="n"/>
      <c r="AB113" s="172" t="n"/>
      <c r="AC113" s="172" t="n"/>
      <c r="AD113" s="172" t="n"/>
      <c r="AE113" s="172" t="n"/>
      <c r="AG113" s="172" t="n"/>
      <c r="AI113" s="172" t="n"/>
      <c r="AJ113" s="172" t="n"/>
      <c r="AK113" s="172" t="n"/>
      <c r="AL113" s="172" t="n"/>
      <c r="AM113" s="172" t="n"/>
    </row>
    <row r="114">
      <c r="C114" s="18" t="n"/>
      <c r="D114" s="11" t="n"/>
      <c r="G114" s="11" t="n"/>
      <c r="I114" s="11" t="n"/>
      <c r="J114" s="11" t="n"/>
      <c r="K114" s="11" t="n"/>
      <c r="R114" s="172" t="n"/>
      <c r="S114" s="172" t="n"/>
      <c r="T114" s="172" t="n"/>
      <c r="U114" s="172" t="n"/>
      <c r="V114" s="172" t="n"/>
      <c r="W114" s="172" t="n"/>
      <c r="X114" s="172" t="n"/>
      <c r="Y114" s="173" t="n"/>
      <c r="Z114" s="174" t="n"/>
      <c r="AB114" s="172" t="n"/>
      <c r="AC114" s="172" t="n"/>
      <c r="AD114" s="172" t="n"/>
      <c r="AE114" s="172" t="n"/>
      <c r="AG114" s="172" t="n"/>
      <c r="AI114" s="172" t="n"/>
      <c r="AJ114" s="172" t="n"/>
      <c r="AK114" s="172" t="n"/>
      <c r="AL114" s="172" t="n"/>
      <c r="AM114" s="172" t="n"/>
    </row>
    <row r="115">
      <c r="C115" s="18" t="n"/>
      <c r="D115" s="11" t="n"/>
      <c r="G115" s="11" t="n"/>
      <c r="I115" s="11" t="n"/>
      <c r="J115" s="11" t="n"/>
      <c r="K115" s="11" t="n"/>
      <c r="R115" s="172" t="n"/>
      <c r="S115" s="172" t="n"/>
      <c r="T115" s="172" t="n"/>
      <c r="U115" s="172" t="n"/>
      <c r="V115" s="172" t="n"/>
      <c r="W115" s="172" t="n"/>
      <c r="X115" s="172" t="n"/>
      <c r="Y115" s="173" t="n"/>
      <c r="Z115" s="174" t="n"/>
      <c r="AB115" s="172" t="n"/>
      <c r="AC115" s="172" t="n"/>
      <c r="AD115" s="172" t="n"/>
      <c r="AE115" s="172" t="n"/>
      <c r="AG115" s="172" t="n"/>
      <c r="AI115" s="172" t="n"/>
      <c r="AJ115" s="172" t="n"/>
      <c r="AK115" s="172" t="n"/>
      <c r="AL115" s="172" t="n"/>
      <c r="AM115" s="172" t="n"/>
    </row>
    <row r="116">
      <c r="C116" s="18" t="n"/>
      <c r="D116" s="11" t="n"/>
      <c r="G116" s="11" t="n"/>
      <c r="I116" s="11" t="n"/>
      <c r="J116" s="11" t="n"/>
      <c r="K116" s="11" t="n"/>
      <c r="R116" s="172" t="n"/>
      <c r="S116" s="172" t="n"/>
      <c r="T116" s="172" t="n"/>
      <c r="U116" s="172" t="n"/>
      <c r="V116" s="172" t="n"/>
      <c r="W116" s="172" t="n"/>
      <c r="X116" s="172" t="n"/>
      <c r="Y116" s="173" t="n"/>
      <c r="Z116" s="174" t="n"/>
      <c r="AB116" s="172" t="n"/>
      <c r="AC116" s="172" t="n"/>
      <c r="AD116" s="172" t="n"/>
      <c r="AE116" s="172" t="n"/>
      <c r="AG116" s="172" t="n"/>
      <c r="AI116" s="172" t="n"/>
      <c r="AJ116" s="172" t="n"/>
      <c r="AK116" s="172" t="n"/>
      <c r="AL116" s="172" t="n"/>
      <c r="AM116" s="172" t="n"/>
    </row>
    <row r="117">
      <c r="C117" s="18" t="n"/>
      <c r="D117" s="11" t="n"/>
      <c r="G117" s="11" t="n"/>
      <c r="I117" s="11" t="n"/>
      <c r="J117" s="11" t="n"/>
      <c r="K117" s="11" t="n"/>
      <c r="R117" s="172" t="n"/>
      <c r="S117" s="172" t="n"/>
      <c r="T117" s="172" t="n"/>
      <c r="U117" s="172" t="n"/>
      <c r="V117" s="172" t="n"/>
      <c r="W117" s="172" t="n"/>
      <c r="X117" s="172" t="n"/>
      <c r="Y117" s="173" t="n"/>
      <c r="Z117" s="174" t="n"/>
      <c r="AB117" s="172" t="n"/>
      <c r="AC117" s="172" t="n"/>
      <c r="AD117" s="172" t="n"/>
      <c r="AE117" s="172" t="n"/>
      <c r="AG117" s="172" t="n"/>
      <c r="AI117" s="172" t="n"/>
      <c r="AJ117" s="172" t="n"/>
      <c r="AK117" s="172" t="n"/>
      <c r="AL117" s="172" t="n"/>
      <c r="AM117" s="172" t="n"/>
    </row>
    <row r="118">
      <c r="C118" s="18" t="n"/>
      <c r="D118" s="11" t="n"/>
      <c r="G118" s="11" t="n"/>
      <c r="I118" s="11" t="n"/>
      <c r="J118" s="11" t="n"/>
      <c r="K118" s="11" t="n"/>
      <c r="R118" s="172" t="n"/>
      <c r="S118" s="172" t="n"/>
      <c r="T118" s="172" t="n"/>
      <c r="U118" s="172" t="n"/>
      <c r="V118" s="172" t="n"/>
      <c r="W118" s="172" t="n"/>
      <c r="X118" s="172" t="n"/>
      <c r="Y118" s="173" t="n"/>
      <c r="Z118" s="174" t="n"/>
      <c r="AB118" s="172" t="n"/>
      <c r="AC118" s="172" t="n"/>
      <c r="AD118" s="172" t="n"/>
      <c r="AE118" s="172" t="n"/>
      <c r="AG118" s="172" t="n"/>
      <c r="AI118" s="172" t="n"/>
      <c r="AJ118" s="172" t="n"/>
      <c r="AK118" s="172" t="n"/>
      <c r="AL118" s="172" t="n"/>
      <c r="AM118" s="172" t="n"/>
    </row>
    <row r="119">
      <c r="C119" s="18" t="n"/>
      <c r="D119" s="11" t="n"/>
      <c r="G119" s="11" t="n"/>
      <c r="I119" s="11" t="n"/>
      <c r="J119" s="11" t="n"/>
      <c r="K119" s="11" t="n"/>
      <c r="R119" s="172" t="n"/>
      <c r="S119" s="172" t="n"/>
      <c r="T119" s="172" t="n"/>
      <c r="U119" s="172" t="n"/>
      <c r="V119" s="172" t="n"/>
      <c r="W119" s="172" t="n"/>
      <c r="X119" s="172" t="n"/>
      <c r="Y119" s="173" t="n"/>
      <c r="Z119" s="174" t="n"/>
      <c r="AB119" s="172" t="n"/>
      <c r="AC119" s="172" t="n"/>
      <c r="AD119" s="172" t="n"/>
      <c r="AE119" s="172" t="n"/>
      <c r="AG119" s="172" t="n"/>
      <c r="AI119" s="172" t="n"/>
      <c r="AJ119" s="172" t="n"/>
      <c r="AK119" s="172" t="n"/>
      <c r="AL119" s="172" t="n"/>
      <c r="AM119" s="172" t="n"/>
    </row>
    <row r="120">
      <c r="C120" s="18" t="n"/>
      <c r="D120" s="11" t="n"/>
      <c r="G120" s="11" t="n"/>
      <c r="I120" s="11" t="n"/>
      <c r="J120" s="11" t="n"/>
      <c r="K120" s="11" t="n"/>
      <c r="R120" s="172" t="n"/>
      <c r="S120" s="172" t="n"/>
      <c r="T120" s="172" t="n"/>
      <c r="U120" s="172" t="n"/>
      <c r="V120" s="172" t="n"/>
      <c r="W120" s="172" t="n"/>
      <c r="X120" s="172" t="n"/>
      <c r="Y120" s="173" t="n"/>
      <c r="Z120" s="174" t="n"/>
      <c r="AB120" s="172" t="n"/>
      <c r="AC120" s="172" t="n"/>
      <c r="AD120" s="172" t="n"/>
      <c r="AE120" s="172" t="n"/>
      <c r="AG120" s="172" t="n"/>
      <c r="AI120" s="172" t="n"/>
      <c r="AJ120" s="172" t="n"/>
      <c r="AK120" s="172" t="n"/>
      <c r="AL120" s="172" t="n"/>
      <c r="AM120" s="172" t="n"/>
    </row>
    <row r="121">
      <c r="C121" s="18" t="n"/>
      <c r="D121" s="11" t="n"/>
      <c r="G121" s="11" t="n"/>
      <c r="I121" s="11" t="n"/>
      <c r="J121" s="11" t="n"/>
      <c r="K121" s="11" t="n"/>
      <c r="R121" s="172" t="n"/>
      <c r="S121" s="172" t="n"/>
      <c r="T121" s="172" t="n"/>
      <c r="U121" s="172" t="n"/>
      <c r="V121" s="172" t="n"/>
      <c r="W121" s="172" t="n"/>
      <c r="X121" s="172" t="n"/>
      <c r="Y121" s="173" t="n"/>
      <c r="Z121" s="174" t="n"/>
      <c r="AB121" s="172" t="n"/>
      <c r="AC121" s="172" t="n"/>
      <c r="AD121" s="172" t="n"/>
      <c r="AE121" s="172" t="n"/>
      <c r="AG121" s="172" t="n"/>
      <c r="AI121" s="172" t="n"/>
      <c r="AJ121" s="172" t="n"/>
      <c r="AK121" s="172" t="n"/>
      <c r="AL121" s="172" t="n"/>
      <c r="AM121" s="172" t="n"/>
    </row>
    <row r="122">
      <c r="C122" s="18" t="n"/>
      <c r="D122" s="11" t="n"/>
      <c r="G122" s="11" t="n"/>
      <c r="I122" s="11" t="n"/>
      <c r="J122" s="11" t="n"/>
      <c r="K122" s="11" t="n"/>
      <c r="R122" s="172" t="n"/>
      <c r="S122" s="172" t="n"/>
      <c r="T122" s="172" t="n"/>
      <c r="U122" s="172" t="n"/>
      <c r="V122" s="172" t="n"/>
      <c r="W122" s="172" t="n"/>
      <c r="X122" s="172" t="n"/>
      <c r="Y122" s="173" t="n"/>
      <c r="Z122" s="174" t="n"/>
      <c r="AB122" s="172" t="n"/>
      <c r="AC122" s="172" t="n"/>
      <c r="AD122" s="172" t="n"/>
      <c r="AE122" s="172" t="n"/>
      <c r="AG122" s="172" t="n"/>
      <c r="AI122" s="172" t="n"/>
      <c r="AJ122" s="172" t="n"/>
      <c r="AK122" s="172" t="n"/>
      <c r="AL122" s="172" t="n"/>
      <c r="AM122" s="172" t="n"/>
    </row>
    <row r="123">
      <c r="C123" s="18" t="n"/>
      <c r="D123" s="11" t="n"/>
      <c r="G123" s="11" t="n"/>
      <c r="I123" s="11" t="n"/>
      <c r="J123" s="11" t="n"/>
      <c r="K123" s="11" t="n"/>
      <c r="R123" s="172" t="n"/>
      <c r="S123" s="172" t="n"/>
      <c r="T123" s="172" t="n"/>
      <c r="U123" s="172" t="n"/>
      <c r="V123" s="172" t="n"/>
      <c r="W123" s="172" t="n"/>
      <c r="X123" s="172" t="n"/>
      <c r="Y123" s="173" t="n"/>
      <c r="Z123" s="174" t="n"/>
      <c r="AB123" s="172" t="n"/>
      <c r="AC123" s="172" t="n"/>
      <c r="AD123" s="172" t="n"/>
      <c r="AE123" s="172" t="n"/>
      <c r="AG123" s="172" t="n"/>
      <c r="AI123" s="172" t="n"/>
      <c r="AJ123" s="172" t="n"/>
      <c r="AK123" s="172" t="n"/>
      <c r="AL123" s="172" t="n"/>
      <c r="AM123" s="172" t="n"/>
    </row>
    <row r="124">
      <c r="C124" s="18" t="n"/>
      <c r="D124" s="11" t="n"/>
      <c r="G124" s="11" t="n"/>
      <c r="I124" s="11" t="n"/>
      <c r="J124" s="11" t="n"/>
      <c r="K124" s="11" t="n"/>
      <c r="R124" s="172" t="n"/>
      <c r="S124" s="172" t="n"/>
      <c r="T124" s="172" t="n"/>
      <c r="U124" s="172" t="n"/>
      <c r="V124" s="172" t="n"/>
      <c r="W124" s="172" t="n"/>
      <c r="X124" s="172" t="n"/>
      <c r="Y124" s="173" t="n"/>
      <c r="Z124" s="174" t="n"/>
      <c r="AB124" s="172" t="n"/>
      <c r="AC124" s="172" t="n"/>
      <c r="AD124" s="172" t="n"/>
      <c r="AE124" s="172" t="n"/>
      <c r="AG124" s="172" t="n"/>
      <c r="AI124" s="172" t="n"/>
      <c r="AJ124" s="172" t="n"/>
      <c r="AK124" s="172" t="n"/>
      <c r="AL124" s="172" t="n"/>
      <c r="AM124" s="172" t="n"/>
    </row>
    <row r="125">
      <c r="C125" s="18" t="n"/>
      <c r="D125" s="11" t="n"/>
      <c r="G125" s="11" t="n"/>
      <c r="I125" s="11" t="n"/>
      <c r="J125" s="11" t="n"/>
      <c r="K125" s="11" t="n"/>
      <c r="R125" s="172" t="n"/>
      <c r="S125" s="172" t="n"/>
      <c r="T125" s="172" t="n"/>
      <c r="U125" s="172" t="n"/>
      <c r="V125" s="172" t="n"/>
      <c r="W125" s="172" t="n"/>
      <c r="X125" s="172" t="n"/>
      <c r="Y125" s="173" t="n"/>
      <c r="Z125" s="174" t="n"/>
      <c r="AB125" s="172" t="n"/>
      <c r="AC125" s="172" t="n"/>
      <c r="AD125" s="172" t="n"/>
      <c r="AE125" s="172" t="n"/>
      <c r="AG125" s="172" t="n"/>
      <c r="AI125" s="172" t="n"/>
      <c r="AJ125" s="172" t="n"/>
      <c r="AK125" s="172" t="n"/>
      <c r="AL125" s="172" t="n"/>
      <c r="AM125" s="172" t="n"/>
    </row>
    <row r="126">
      <c r="C126" s="18" t="n"/>
      <c r="D126" s="11" t="n"/>
      <c r="G126" s="11" t="n"/>
      <c r="I126" s="11" t="n"/>
      <c r="J126" s="11" t="n"/>
      <c r="K126" s="11" t="n"/>
      <c r="R126" s="172" t="n"/>
      <c r="S126" s="172" t="n"/>
      <c r="T126" s="172" t="n"/>
      <c r="U126" s="172" t="n"/>
      <c r="V126" s="172" t="n"/>
      <c r="W126" s="172" t="n"/>
      <c r="X126" s="172" t="n"/>
      <c r="Y126" s="173" t="n"/>
      <c r="Z126" s="174" t="n"/>
      <c r="AB126" s="172" t="n"/>
      <c r="AC126" s="172" t="n"/>
      <c r="AD126" s="172" t="n"/>
      <c r="AE126" s="172" t="n"/>
      <c r="AG126" s="172" t="n"/>
      <c r="AI126" s="172" t="n"/>
      <c r="AJ126" s="172" t="n"/>
      <c r="AK126" s="172" t="n"/>
      <c r="AL126" s="172" t="n"/>
      <c r="AM126" s="172" t="n"/>
    </row>
    <row r="127">
      <c r="C127" s="18" t="n"/>
      <c r="D127" s="11" t="n"/>
      <c r="G127" s="11" t="n"/>
      <c r="I127" s="11" t="n"/>
      <c r="J127" s="11" t="n"/>
      <c r="K127" s="11" t="n"/>
      <c r="R127" s="172" t="n"/>
      <c r="S127" s="172" t="n"/>
      <c r="T127" s="172" t="n"/>
      <c r="U127" s="172" t="n"/>
      <c r="V127" s="172" t="n"/>
      <c r="W127" s="172" t="n"/>
      <c r="X127" s="172" t="n"/>
      <c r="Y127" s="173" t="n"/>
      <c r="Z127" s="174" t="n"/>
      <c r="AB127" s="172" t="n"/>
      <c r="AC127" s="172" t="n"/>
      <c r="AD127" s="172" t="n"/>
      <c r="AE127" s="172" t="n"/>
      <c r="AG127" s="172" t="n"/>
      <c r="AI127" s="172" t="n"/>
      <c r="AJ127" s="172" t="n"/>
      <c r="AK127" s="172" t="n"/>
      <c r="AL127" s="172" t="n"/>
      <c r="AM127" s="172" t="n"/>
    </row>
    <row r="128">
      <c r="C128" s="18" t="n"/>
      <c r="D128" s="11" t="n"/>
      <c r="G128" s="11" t="n"/>
      <c r="I128" s="11" t="n"/>
      <c r="J128" s="11" t="n"/>
      <c r="K128" s="11" t="n"/>
      <c r="R128" s="172" t="n"/>
      <c r="S128" s="172" t="n"/>
      <c r="T128" s="172" t="n"/>
      <c r="U128" s="172" t="n"/>
      <c r="V128" s="172" t="n"/>
      <c r="W128" s="172" t="n"/>
      <c r="X128" s="172" t="n"/>
      <c r="Y128" s="173" t="n"/>
      <c r="Z128" s="174" t="n"/>
      <c r="AB128" s="172" t="n"/>
      <c r="AC128" s="172" t="n"/>
      <c r="AD128" s="172" t="n"/>
      <c r="AE128" s="172" t="n"/>
      <c r="AG128" s="172" t="n"/>
      <c r="AI128" s="172" t="n"/>
      <c r="AJ128" s="172" t="n"/>
      <c r="AK128" s="172" t="n"/>
      <c r="AL128" s="172" t="n"/>
      <c r="AM128" s="172" t="n"/>
    </row>
    <row r="129">
      <c r="C129" s="18" t="n"/>
      <c r="D129" s="11" t="n"/>
      <c r="G129" s="11" t="n"/>
      <c r="I129" s="11" t="n"/>
      <c r="J129" s="11" t="n"/>
      <c r="K129" s="11" t="n"/>
      <c r="R129" s="172" t="n"/>
      <c r="S129" s="172" t="n"/>
      <c r="T129" s="172" t="n"/>
      <c r="U129" s="172" t="n"/>
      <c r="V129" s="172" t="n"/>
      <c r="W129" s="172" t="n"/>
      <c r="X129" s="172" t="n"/>
      <c r="Y129" s="173" t="n"/>
      <c r="Z129" s="174" t="n"/>
      <c r="AB129" s="172" t="n"/>
      <c r="AC129" s="172" t="n"/>
      <c r="AD129" s="172" t="n"/>
      <c r="AE129" s="172" t="n"/>
      <c r="AG129" s="172" t="n"/>
      <c r="AI129" s="172" t="n"/>
      <c r="AJ129" s="172" t="n"/>
      <c r="AK129" s="172" t="n"/>
      <c r="AL129" s="172" t="n"/>
      <c r="AM129" s="172" t="n"/>
    </row>
    <row r="130">
      <c r="C130" s="18" t="n"/>
      <c r="D130" s="11" t="n"/>
      <c r="G130" s="11" t="n"/>
      <c r="I130" s="11" t="n"/>
      <c r="J130" s="11" t="n"/>
      <c r="K130" s="11" t="n"/>
      <c r="R130" s="172" t="n"/>
      <c r="S130" s="172" t="n"/>
      <c r="T130" s="172" t="n"/>
      <c r="U130" s="172" t="n"/>
      <c r="V130" s="172" t="n"/>
      <c r="W130" s="172" t="n"/>
      <c r="X130" s="172" t="n"/>
      <c r="Y130" s="173" t="n"/>
      <c r="Z130" s="174" t="n"/>
      <c r="AB130" s="172" t="n"/>
      <c r="AC130" s="172" t="n"/>
      <c r="AD130" s="172" t="n"/>
      <c r="AE130" s="172" t="n"/>
      <c r="AG130" s="172" t="n"/>
      <c r="AI130" s="172" t="n"/>
      <c r="AJ130" s="172" t="n"/>
      <c r="AK130" s="172" t="n"/>
      <c r="AL130" s="172" t="n"/>
      <c r="AM130" s="172" t="n"/>
    </row>
    <row r="131">
      <c r="C131" s="18" t="n"/>
      <c r="D131" s="11" t="n"/>
      <c r="G131" s="11" t="n"/>
      <c r="I131" s="11" t="n"/>
      <c r="J131" s="11" t="n"/>
      <c r="K131" s="11" t="n"/>
      <c r="R131" s="172" t="n"/>
      <c r="S131" s="172" t="n"/>
      <c r="T131" s="172" t="n"/>
      <c r="U131" s="172" t="n"/>
      <c r="V131" s="172" t="n"/>
      <c r="W131" s="172" t="n"/>
      <c r="X131" s="172" t="n"/>
      <c r="Y131" s="173" t="n"/>
      <c r="Z131" s="174" t="n"/>
      <c r="AB131" s="172" t="n"/>
      <c r="AC131" s="172" t="n"/>
      <c r="AD131" s="172" t="n"/>
      <c r="AE131" s="172" t="n"/>
      <c r="AG131" s="172" t="n"/>
      <c r="AI131" s="172" t="n"/>
      <c r="AJ131" s="172" t="n"/>
      <c r="AK131" s="172" t="n"/>
      <c r="AL131" s="172" t="n"/>
      <c r="AM131" s="172" t="n"/>
    </row>
    <row r="132">
      <c r="C132" s="18" t="n"/>
      <c r="D132" s="11" t="n"/>
      <c r="G132" s="11" t="n"/>
      <c r="I132" s="11" t="n"/>
      <c r="J132" s="11" t="n"/>
      <c r="K132" s="11" t="n"/>
      <c r="R132" s="172" t="n"/>
      <c r="S132" s="172" t="n"/>
      <c r="T132" s="172" t="n"/>
      <c r="U132" s="172" t="n"/>
      <c r="V132" s="172" t="n"/>
      <c r="W132" s="172" t="n"/>
      <c r="X132" s="172" t="n"/>
      <c r="Y132" s="173" t="n"/>
      <c r="Z132" s="174" t="n"/>
      <c r="AB132" s="172" t="n"/>
      <c r="AC132" s="172" t="n"/>
      <c r="AD132" s="172" t="n"/>
      <c r="AE132" s="172" t="n"/>
      <c r="AG132" s="172" t="n"/>
      <c r="AI132" s="172" t="n"/>
      <c r="AJ132" s="172" t="n"/>
      <c r="AK132" s="172" t="n"/>
      <c r="AL132" s="172" t="n"/>
      <c r="AM132" s="172" t="n"/>
    </row>
    <row r="133">
      <c r="C133" s="18" t="n"/>
      <c r="D133" s="11" t="n"/>
      <c r="G133" s="11" t="n"/>
      <c r="I133" s="11" t="n"/>
      <c r="J133" s="11" t="n"/>
      <c r="K133" s="11" t="n"/>
      <c r="R133" s="172" t="n"/>
      <c r="S133" s="172" t="n"/>
      <c r="T133" s="172" t="n"/>
      <c r="U133" s="172" t="n"/>
      <c r="V133" s="172" t="n"/>
      <c r="W133" s="172" t="n"/>
      <c r="X133" s="172" t="n"/>
      <c r="Y133" s="173" t="n"/>
      <c r="Z133" s="174" t="n"/>
      <c r="AB133" s="172" t="n"/>
      <c r="AC133" s="172" t="n"/>
      <c r="AD133" s="172" t="n"/>
      <c r="AE133" s="172" t="n"/>
      <c r="AG133" s="172" t="n"/>
      <c r="AI133" s="172" t="n"/>
      <c r="AJ133" s="172" t="n"/>
      <c r="AK133" s="172" t="n"/>
      <c r="AL133" s="172" t="n"/>
      <c r="AM133" s="172" t="n"/>
    </row>
    <row r="134">
      <c r="C134" s="18" t="n"/>
      <c r="D134" s="11" t="n"/>
      <c r="G134" s="11" t="n"/>
      <c r="I134" s="11" t="n"/>
      <c r="J134" s="11" t="n"/>
      <c r="K134" s="11" t="n"/>
      <c r="R134" s="172" t="n"/>
      <c r="S134" s="172" t="n"/>
      <c r="T134" s="172" t="n"/>
      <c r="U134" s="172" t="n"/>
      <c r="V134" s="172" t="n"/>
      <c r="W134" s="172" t="n"/>
      <c r="X134" s="172" t="n"/>
      <c r="Y134" s="173" t="n"/>
      <c r="Z134" s="174" t="n"/>
      <c r="AB134" s="172" t="n"/>
      <c r="AC134" s="172" t="n"/>
      <c r="AD134" s="172" t="n"/>
      <c r="AE134" s="172" t="n"/>
      <c r="AG134" s="172" t="n"/>
      <c r="AI134" s="172" t="n"/>
      <c r="AJ134" s="172" t="n"/>
      <c r="AK134" s="172" t="n"/>
      <c r="AL134" s="172" t="n"/>
      <c r="AM134" s="172" t="n"/>
    </row>
    <row r="135">
      <c r="C135" s="18" t="n"/>
      <c r="D135" s="11" t="n"/>
      <c r="G135" s="11" t="n"/>
      <c r="I135" s="11" t="n"/>
      <c r="J135" s="11" t="n"/>
      <c r="K135" s="11" t="n"/>
      <c r="R135" s="172" t="n"/>
      <c r="S135" s="172" t="n"/>
      <c r="T135" s="172" t="n"/>
      <c r="U135" s="172" t="n"/>
      <c r="V135" s="172" t="n"/>
      <c r="W135" s="172" t="n"/>
      <c r="X135" s="172" t="n"/>
      <c r="Y135" s="173" t="n"/>
      <c r="Z135" s="174" t="n"/>
      <c r="AB135" s="172" t="n"/>
      <c r="AC135" s="172" t="n"/>
      <c r="AD135" s="172" t="n"/>
      <c r="AE135" s="172" t="n"/>
      <c r="AG135" s="172" t="n"/>
      <c r="AI135" s="172" t="n"/>
      <c r="AJ135" s="172" t="n"/>
      <c r="AK135" s="172" t="n"/>
      <c r="AL135" s="172" t="n"/>
      <c r="AM135" s="172" t="n"/>
    </row>
    <row r="136">
      <c r="C136" s="18" t="n"/>
      <c r="D136" s="11" t="n"/>
      <c r="G136" s="11" t="n"/>
      <c r="I136" s="11" t="n"/>
      <c r="J136" s="11" t="n"/>
      <c r="K136" s="11" t="n"/>
      <c r="R136" s="172" t="n"/>
      <c r="S136" s="172" t="n"/>
      <c r="T136" s="172" t="n"/>
      <c r="U136" s="172" t="n"/>
      <c r="V136" s="172" t="n"/>
      <c r="W136" s="172" t="n"/>
      <c r="X136" s="172" t="n"/>
      <c r="Y136" s="173" t="n"/>
      <c r="Z136" s="174" t="n"/>
      <c r="AB136" s="172" t="n"/>
      <c r="AC136" s="172" t="n"/>
      <c r="AD136" s="172" t="n"/>
      <c r="AE136" s="172" t="n"/>
      <c r="AG136" s="172" t="n"/>
      <c r="AI136" s="172" t="n"/>
      <c r="AJ136" s="172" t="n"/>
      <c r="AK136" s="172" t="n"/>
      <c r="AL136" s="172" t="n"/>
      <c r="AM136" s="172" t="n"/>
    </row>
    <row r="137">
      <c r="C137" s="18" t="n"/>
      <c r="D137" s="11" t="n"/>
      <c r="G137" s="11" t="n"/>
      <c r="I137" s="11" t="n"/>
      <c r="J137" s="11" t="n"/>
      <c r="K137" s="11" t="n"/>
      <c r="R137" s="172" t="n"/>
      <c r="S137" s="172" t="n"/>
      <c r="T137" s="172" t="n"/>
      <c r="U137" s="172" t="n"/>
      <c r="V137" s="172" t="n"/>
      <c r="W137" s="172" t="n"/>
      <c r="X137" s="172" t="n"/>
      <c r="Y137" s="173" t="n"/>
      <c r="Z137" s="174" t="n"/>
      <c r="AB137" s="172" t="n"/>
      <c r="AC137" s="172" t="n"/>
      <c r="AD137" s="172" t="n"/>
      <c r="AE137" s="172" t="n"/>
      <c r="AG137" s="172" t="n"/>
      <c r="AI137" s="172" t="n"/>
      <c r="AJ137" s="172" t="n"/>
      <c r="AK137" s="172" t="n"/>
      <c r="AL137" s="172" t="n"/>
      <c r="AM137" s="172" t="n"/>
    </row>
    <row r="138">
      <c r="C138" s="18" t="n"/>
      <c r="D138" s="11" t="n"/>
      <c r="G138" s="11" t="n"/>
      <c r="I138" s="11" t="n"/>
      <c r="J138" s="11" t="n"/>
      <c r="K138" s="11" t="n"/>
      <c r="R138" s="172" t="n"/>
      <c r="S138" s="172" t="n"/>
      <c r="T138" s="172" t="n"/>
      <c r="U138" s="172" t="n"/>
      <c r="V138" s="172" t="n"/>
      <c r="W138" s="172" t="n"/>
      <c r="X138" s="172" t="n"/>
      <c r="Y138" s="173" t="n"/>
      <c r="Z138" s="174" t="n"/>
      <c r="AB138" s="172" t="n"/>
      <c r="AC138" s="172" t="n"/>
      <c r="AD138" s="172" t="n"/>
      <c r="AE138" s="172" t="n"/>
      <c r="AG138" s="172" t="n"/>
      <c r="AI138" s="172" t="n"/>
      <c r="AJ138" s="172" t="n"/>
      <c r="AK138" s="172" t="n"/>
      <c r="AL138" s="172" t="n"/>
      <c r="AM138" s="172" t="n"/>
    </row>
    <row r="139">
      <c r="C139" s="18" t="n"/>
      <c r="D139" s="11" t="n"/>
      <c r="G139" s="11" t="n"/>
      <c r="I139" s="11" t="n"/>
      <c r="J139" s="11" t="n"/>
      <c r="K139" s="11" t="n"/>
      <c r="R139" s="172" t="n"/>
      <c r="S139" s="172" t="n"/>
      <c r="T139" s="172" t="n"/>
      <c r="U139" s="172" t="n"/>
      <c r="V139" s="172" t="n"/>
      <c r="W139" s="172" t="n"/>
      <c r="X139" s="172" t="n"/>
      <c r="Y139" s="173" t="n"/>
      <c r="Z139" s="174" t="n"/>
      <c r="AB139" s="172" t="n"/>
      <c r="AC139" s="172" t="n"/>
      <c r="AD139" s="172" t="n"/>
      <c r="AE139" s="172" t="n"/>
      <c r="AG139" s="172" t="n"/>
      <c r="AI139" s="172" t="n"/>
      <c r="AJ139" s="172" t="n"/>
      <c r="AK139" s="172" t="n"/>
      <c r="AL139" s="172" t="n"/>
      <c r="AM139" s="172" t="n"/>
    </row>
    <row r="140">
      <c r="C140" s="18" t="n"/>
      <c r="D140" s="11" t="n"/>
      <c r="G140" s="11" t="n"/>
      <c r="I140" s="11" t="n"/>
      <c r="J140" s="11" t="n"/>
      <c r="K140" s="11" t="n"/>
      <c r="R140" s="172" t="n"/>
      <c r="S140" s="172" t="n"/>
      <c r="T140" s="172" t="n"/>
      <c r="U140" s="172" t="n"/>
      <c r="V140" s="172" t="n"/>
      <c r="W140" s="172" t="n"/>
      <c r="X140" s="172" t="n"/>
      <c r="Y140" s="173" t="n"/>
      <c r="Z140" s="174" t="n"/>
      <c r="AB140" s="172" t="n"/>
      <c r="AC140" s="172" t="n"/>
      <c r="AD140" s="172" t="n"/>
      <c r="AE140" s="172" t="n"/>
      <c r="AG140" s="172" t="n"/>
      <c r="AI140" s="172" t="n"/>
      <c r="AJ140" s="172" t="n"/>
      <c r="AK140" s="172" t="n"/>
      <c r="AL140" s="172" t="n"/>
      <c r="AM140" s="172" t="n"/>
    </row>
    <row r="141">
      <c r="C141" s="18" t="n"/>
      <c r="D141" s="11" t="n"/>
      <c r="G141" s="11" t="n"/>
      <c r="I141" s="11" t="n"/>
      <c r="J141" s="11" t="n"/>
      <c r="K141" s="11" t="n"/>
      <c r="R141" s="172" t="n"/>
      <c r="S141" s="172" t="n"/>
      <c r="T141" s="172" t="n"/>
      <c r="U141" s="172" t="n"/>
      <c r="V141" s="172" t="n"/>
      <c r="W141" s="172" t="n"/>
      <c r="X141" s="172" t="n"/>
      <c r="Y141" s="173" t="n"/>
      <c r="Z141" s="174" t="n"/>
      <c r="AB141" s="172" t="n"/>
      <c r="AC141" s="172" t="n"/>
      <c r="AD141" s="172" t="n"/>
      <c r="AE141" s="172" t="n"/>
      <c r="AG141" s="172" t="n"/>
      <c r="AI141" s="172" t="n"/>
      <c r="AJ141" s="172" t="n"/>
      <c r="AK141" s="172" t="n"/>
      <c r="AL141" s="172" t="n"/>
      <c r="AM141" s="172" t="n"/>
    </row>
    <row r="142">
      <c r="C142" s="18" t="n"/>
      <c r="D142" s="11" t="n"/>
      <c r="G142" s="11" t="n"/>
      <c r="I142" s="11" t="n"/>
      <c r="J142" s="11" t="n"/>
      <c r="K142" s="11" t="n"/>
      <c r="R142" s="172" t="n"/>
      <c r="S142" s="172" t="n"/>
      <c r="T142" s="172" t="n"/>
      <c r="U142" s="172" t="n"/>
      <c r="V142" s="172" t="n"/>
      <c r="W142" s="172" t="n"/>
      <c r="X142" s="172" t="n"/>
      <c r="Y142" s="173" t="n"/>
      <c r="Z142" s="174" t="n"/>
      <c r="AB142" s="172" t="n"/>
      <c r="AC142" s="172" t="n"/>
      <c r="AD142" s="172" t="n"/>
      <c r="AE142" s="172" t="n"/>
      <c r="AG142" s="172" t="n"/>
      <c r="AI142" s="172" t="n"/>
      <c r="AJ142" s="172" t="n"/>
      <c r="AK142" s="172" t="n"/>
      <c r="AL142" s="172" t="n"/>
      <c r="AM142" s="172" t="n"/>
    </row>
    <row r="143">
      <c r="C143" s="18" t="n"/>
      <c r="D143" s="11" t="n"/>
      <c r="G143" s="11" t="n"/>
      <c r="I143" s="11" t="n"/>
      <c r="J143" s="11" t="n"/>
      <c r="K143" s="11" t="n"/>
      <c r="R143" s="172" t="n"/>
      <c r="S143" s="172" t="n"/>
      <c r="T143" s="172" t="n"/>
      <c r="U143" s="172" t="n"/>
      <c r="V143" s="172" t="n"/>
      <c r="W143" s="172" t="n"/>
      <c r="X143" s="172" t="n"/>
      <c r="Y143" s="173" t="n"/>
      <c r="Z143" s="174" t="n"/>
      <c r="AB143" s="172" t="n"/>
      <c r="AC143" s="172" t="n"/>
      <c r="AD143" s="172" t="n"/>
      <c r="AE143" s="172" t="n"/>
      <c r="AG143" s="172" t="n"/>
      <c r="AI143" s="172" t="n"/>
      <c r="AJ143" s="172" t="n"/>
      <c r="AK143" s="172" t="n"/>
      <c r="AL143" s="172" t="n"/>
      <c r="AM143" s="172" t="n"/>
    </row>
    <row r="144">
      <c r="C144" s="18" t="n"/>
      <c r="D144" s="11" t="n"/>
      <c r="G144" s="11" t="n"/>
      <c r="I144" s="11" t="n"/>
      <c r="J144" s="11" t="n"/>
      <c r="K144" s="11" t="n"/>
      <c r="R144" s="172" t="n"/>
      <c r="S144" s="172" t="n"/>
      <c r="T144" s="172" t="n"/>
      <c r="U144" s="172" t="n"/>
      <c r="V144" s="172" t="n"/>
      <c r="W144" s="172" t="n"/>
      <c r="X144" s="172" t="n"/>
      <c r="Y144" s="173" t="n"/>
      <c r="Z144" s="174" t="n"/>
      <c r="AB144" s="172" t="n"/>
      <c r="AC144" s="172" t="n"/>
      <c r="AD144" s="172" t="n"/>
      <c r="AE144" s="172" t="n"/>
      <c r="AG144" s="172" t="n"/>
      <c r="AI144" s="172" t="n"/>
      <c r="AJ144" s="172" t="n"/>
      <c r="AK144" s="172" t="n"/>
      <c r="AL144" s="172" t="n"/>
      <c r="AM144" s="172" t="n"/>
    </row>
    <row r="145">
      <c r="C145" s="18" t="n"/>
      <c r="D145" s="11" t="n"/>
      <c r="G145" s="11" t="n"/>
      <c r="I145" s="11" t="n"/>
      <c r="J145" s="11" t="n"/>
      <c r="K145" s="11" t="n"/>
      <c r="R145" s="172" t="n"/>
      <c r="S145" s="172" t="n"/>
      <c r="T145" s="172" t="n"/>
      <c r="U145" s="172" t="n"/>
      <c r="V145" s="172" t="n"/>
      <c r="W145" s="172" t="n"/>
      <c r="X145" s="172" t="n"/>
      <c r="Y145" s="173" t="n"/>
      <c r="Z145" s="174" t="n"/>
      <c r="AB145" s="172" t="n"/>
      <c r="AC145" s="172" t="n"/>
      <c r="AD145" s="172" t="n"/>
      <c r="AE145" s="172" t="n"/>
      <c r="AG145" s="172" t="n"/>
      <c r="AI145" s="172" t="n"/>
      <c r="AJ145" s="172" t="n"/>
      <c r="AK145" s="172" t="n"/>
      <c r="AL145" s="172" t="n"/>
      <c r="AM145" s="172" t="n"/>
    </row>
    <row r="146">
      <c r="C146" s="18" t="n"/>
      <c r="D146" s="11" t="n"/>
      <c r="G146" s="11" t="n"/>
      <c r="I146" s="11" t="n"/>
      <c r="J146" s="11" t="n"/>
      <c r="K146" s="11" t="n"/>
      <c r="R146" s="172" t="n"/>
      <c r="S146" s="172" t="n"/>
      <c r="T146" s="172" t="n"/>
      <c r="U146" s="172" t="n"/>
      <c r="V146" s="172" t="n"/>
      <c r="W146" s="172" t="n"/>
      <c r="X146" s="172" t="n"/>
      <c r="Y146" s="173" t="n"/>
      <c r="Z146" s="174" t="n"/>
      <c r="AB146" s="172" t="n"/>
      <c r="AC146" s="172" t="n"/>
      <c r="AD146" s="172" t="n"/>
      <c r="AE146" s="172" t="n"/>
      <c r="AG146" s="172" t="n"/>
      <c r="AI146" s="172" t="n"/>
      <c r="AJ146" s="172" t="n"/>
      <c r="AK146" s="172" t="n"/>
      <c r="AL146" s="172" t="n"/>
      <c r="AM146" s="172" t="n"/>
    </row>
    <row r="147">
      <c r="C147" s="18" t="n"/>
      <c r="D147" s="11" t="n"/>
      <c r="G147" s="11" t="n"/>
      <c r="I147" s="11" t="n"/>
      <c r="J147" s="11" t="n"/>
      <c r="K147" s="11" t="n"/>
      <c r="R147" s="172" t="n"/>
      <c r="S147" s="172" t="n"/>
      <c r="T147" s="172" t="n"/>
      <c r="U147" s="172" t="n"/>
      <c r="V147" s="172" t="n"/>
      <c r="W147" s="172" t="n"/>
      <c r="X147" s="172" t="n"/>
      <c r="Y147" s="173" t="n"/>
      <c r="Z147" s="174" t="n"/>
      <c r="AB147" s="172" t="n"/>
      <c r="AC147" s="172" t="n"/>
      <c r="AD147" s="172" t="n"/>
      <c r="AE147" s="172" t="n"/>
      <c r="AG147" s="172" t="n"/>
      <c r="AI147" s="172" t="n"/>
      <c r="AJ147" s="172" t="n"/>
      <c r="AK147" s="172" t="n"/>
      <c r="AL147" s="172" t="n"/>
      <c r="AM147" s="172" t="n"/>
    </row>
    <row r="148">
      <c r="C148" s="18" t="n"/>
      <c r="D148" s="11" t="n"/>
      <c r="G148" s="11" t="n"/>
      <c r="I148" s="11" t="n"/>
      <c r="J148" s="11" t="n"/>
      <c r="K148" s="11" t="n"/>
      <c r="R148" s="172" t="n"/>
      <c r="S148" s="172" t="n"/>
      <c r="T148" s="172" t="n"/>
      <c r="U148" s="172" t="n"/>
      <c r="V148" s="172" t="n"/>
      <c r="W148" s="172" t="n"/>
      <c r="X148" s="172" t="n"/>
      <c r="Y148" s="173" t="n"/>
      <c r="Z148" s="174" t="n"/>
      <c r="AB148" s="172" t="n"/>
      <c r="AC148" s="172" t="n"/>
      <c r="AD148" s="172" t="n"/>
      <c r="AE148" s="172" t="n"/>
      <c r="AG148" s="172" t="n"/>
      <c r="AI148" s="172" t="n"/>
      <c r="AJ148" s="172" t="n"/>
      <c r="AK148" s="172" t="n"/>
      <c r="AL148" s="172" t="n"/>
      <c r="AM148" s="172" t="n"/>
    </row>
    <row r="149">
      <c r="C149" s="18" t="n"/>
      <c r="D149" s="11" t="n"/>
      <c r="G149" s="11" t="n"/>
      <c r="I149" s="11" t="n"/>
      <c r="J149" s="11" t="n"/>
      <c r="K149" s="11" t="n"/>
      <c r="R149" s="172" t="n"/>
      <c r="S149" s="172" t="n"/>
      <c r="T149" s="172" t="n"/>
      <c r="U149" s="172" t="n"/>
      <c r="V149" s="172" t="n"/>
      <c r="W149" s="172" t="n"/>
      <c r="X149" s="172" t="n"/>
      <c r="Y149" s="173" t="n"/>
      <c r="Z149" s="174" t="n"/>
      <c r="AB149" s="172" t="n"/>
      <c r="AC149" s="172" t="n"/>
      <c r="AD149" s="172" t="n"/>
      <c r="AE149" s="172" t="n"/>
      <c r="AG149" s="172" t="n"/>
      <c r="AI149" s="172" t="n"/>
      <c r="AJ149" s="172" t="n"/>
      <c r="AK149" s="172" t="n"/>
      <c r="AL149" s="172" t="n"/>
      <c r="AM149" s="172" t="n"/>
    </row>
    <row r="150">
      <c r="C150" s="18" t="n"/>
      <c r="D150" s="11" t="n"/>
      <c r="G150" s="11" t="n"/>
      <c r="I150" s="11" t="n"/>
      <c r="J150" s="11" t="n"/>
      <c r="K150" s="11" t="n"/>
      <c r="R150" s="172" t="n"/>
      <c r="S150" s="172" t="n"/>
      <c r="T150" s="172" t="n"/>
      <c r="U150" s="172" t="n"/>
      <c r="V150" s="172" t="n"/>
      <c r="W150" s="172" t="n"/>
      <c r="X150" s="172" t="n"/>
      <c r="Y150" s="173" t="n"/>
      <c r="Z150" s="174" t="n"/>
      <c r="AB150" s="172" t="n"/>
      <c r="AC150" s="172" t="n"/>
      <c r="AD150" s="172" t="n"/>
      <c r="AE150" s="172" t="n"/>
      <c r="AG150" s="172" t="n"/>
      <c r="AI150" s="172" t="n"/>
      <c r="AJ150" s="172" t="n"/>
      <c r="AK150" s="172" t="n"/>
      <c r="AL150" s="172" t="n"/>
      <c r="AM150" s="172" t="n"/>
    </row>
    <row r="151">
      <c r="C151" s="18" t="n"/>
      <c r="D151" s="11" t="n"/>
      <c r="G151" s="11" t="n"/>
      <c r="I151" s="11" t="n"/>
      <c r="J151" s="11" t="n"/>
      <c r="K151" s="11" t="n"/>
      <c r="R151" s="172" t="n"/>
      <c r="S151" s="172" t="n"/>
      <c r="T151" s="172" t="n"/>
      <c r="U151" s="172" t="n"/>
      <c r="V151" s="172" t="n"/>
      <c r="W151" s="172" t="n"/>
      <c r="X151" s="172" t="n"/>
      <c r="Y151" s="173" t="n"/>
      <c r="Z151" s="174" t="n"/>
      <c r="AB151" s="172" t="n"/>
      <c r="AC151" s="172" t="n"/>
      <c r="AD151" s="172" t="n"/>
      <c r="AE151" s="172" t="n"/>
      <c r="AG151" s="172" t="n"/>
      <c r="AI151" s="172" t="n"/>
      <c r="AJ151" s="172" t="n"/>
      <c r="AK151" s="172" t="n"/>
      <c r="AL151" s="172" t="n"/>
      <c r="AM151" s="172" t="n"/>
    </row>
    <row r="152">
      <c r="C152" s="18" t="n"/>
      <c r="D152" s="11" t="n"/>
      <c r="G152" s="11" t="n"/>
      <c r="I152" s="11" t="n"/>
      <c r="J152" s="11" t="n"/>
      <c r="K152" s="11" t="n"/>
      <c r="R152" s="172" t="n"/>
      <c r="S152" s="172" t="n"/>
      <c r="T152" s="172" t="n"/>
      <c r="U152" s="172" t="n"/>
      <c r="V152" s="172" t="n"/>
      <c r="W152" s="172" t="n"/>
      <c r="X152" s="172" t="n"/>
      <c r="Y152" s="173" t="n"/>
      <c r="Z152" s="174" t="n"/>
      <c r="AB152" s="172" t="n"/>
      <c r="AC152" s="172" t="n"/>
      <c r="AD152" s="172" t="n"/>
      <c r="AE152" s="172" t="n"/>
      <c r="AG152" s="172" t="n"/>
      <c r="AI152" s="172" t="n"/>
      <c r="AJ152" s="172" t="n"/>
      <c r="AK152" s="172" t="n"/>
      <c r="AL152" s="172" t="n"/>
      <c r="AM152" s="172" t="n"/>
    </row>
    <row r="153">
      <c r="C153" s="18" t="n"/>
      <c r="D153" s="11" t="n"/>
      <c r="G153" s="11" t="n"/>
      <c r="I153" s="11" t="n"/>
      <c r="J153" s="11" t="n"/>
      <c r="K153" s="11" t="n"/>
      <c r="R153" s="172" t="n"/>
      <c r="S153" s="172" t="n"/>
      <c r="T153" s="172" t="n"/>
      <c r="U153" s="172" t="n"/>
      <c r="V153" s="172" t="n"/>
      <c r="W153" s="172" t="n"/>
      <c r="X153" s="172" t="n"/>
      <c r="Y153" s="173" t="n"/>
      <c r="Z153" s="174" t="n"/>
      <c r="AB153" s="172" t="n"/>
      <c r="AC153" s="172" t="n"/>
      <c r="AD153" s="172" t="n"/>
      <c r="AE153" s="172" t="n"/>
      <c r="AG153" s="172" t="n"/>
      <c r="AI153" s="172" t="n"/>
      <c r="AJ153" s="172" t="n"/>
      <c r="AK153" s="172" t="n"/>
      <c r="AL153" s="172" t="n"/>
      <c r="AM153" s="172" t="n"/>
    </row>
    <row r="154">
      <c r="C154" s="18" t="n"/>
      <c r="D154" s="11" t="n"/>
      <c r="G154" s="11" t="n"/>
      <c r="I154" s="11" t="n"/>
      <c r="J154" s="11" t="n"/>
      <c r="K154" s="11" t="n"/>
      <c r="R154" s="172" t="n"/>
      <c r="S154" s="172" t="n"/>
      <c r="T154" s="172" t="n"/>
      <c r="U154" s="172" t="n"/>
      <c r="V154" s="172" t="n"/>
      <c r="W154" s="172" t="n"/>
      <c r="X154" s="172" t="n"/>
      <c r="Y154" s="173" t="n"/>
      <c r="Z154" s="174" t="n"/>
      <c r="AB154" s="172" t="n"/>
      <c r="AC154" s="172" t="n"/>
      <c r="AD154" s="172" t="n"/>
      <c r="AE154" s="172" t="n"/>
      <c r="AG154" s="172" t="n"/>
      <c r="AI154" s="172" t="n"/>
      <c r="AJ154" s="172" t="n"/>
      <c r="AK154" s="172" t="n"/>
      <c r="AL154" s="172" t="n"/>
      <c r="AM154" s="172" t="n"/>
    </row>
    <row r="155">
      <c r="C155" s="18" t="n"/>
      <c r="D155" s="11" t="n"/>
      <c r="G155" s="11" t="n"/>
      <c r="I155" s="11" t="n"/>
      <c r="J155" s="11" t="n"/>
      <c r="K155" s="11" t="n"/>
      <c r="R155" s="172" t="n"/>
      <c r="S155" s="172" t="n"/>
      <c r="T155" s="172" t="n"/>
      <c r="U155" s="172" t="n"/>
      <c r="V155" s="172" t="n"/>
      <c r="W155" s="172" t="n"/>
      <c r="X155" s="172" t="n"/>
      <c r="Y155" s="173" t="n"/>
      <c r="Z155" s="174" t="n"/>
      <c r="AB155" s="172" t="n"/>
      <c r="AC155" s="172" t="n"/>
      <c r="AD155" s="172" t="n"/>
      <c r="AE155" s="172" t="n"/>
      <c r="AG155" s="172" t="n"/>
      <c r="AI155" s="172" t="n"/>
      <c r="AJ155" s="172" t="n"/>
      <c r="AK155" s="172" t="n"/>
      <c r="AL155" s="172" t="n"/>
      <c r="AM155" s="172" t="n"/>
    </row>
    <row r="156">
      <c r="C156" s="18" t="n"/>
      <c r="D156" s="11" t="n"/>
      <c r="G156" s="11" t="n"/>
      <c r="I156" s="11" t="n"/>
      <c r="J156" s="11" t="n"/>
      <c r="K156" s="11" t="n"/>
      <c r="R156" s="172" t="n"/>
      <c r="S156" s="172" t="n"/>
      <c r="T156" s="172" t="n"/>
      <c r="U156" s="172" t="n"/>
      <c r="V156" s="172" t="n"/>
      <c r="W156" s="172" t="n"/>
      <c r="X156" s="172" t="n"/>
      <c r="Y156" s="173" t="n"/>
      <c r="Z156" s="174" t="n"/>
      <c r="AB156" s="172" t="n"/>
      <c r="AC156" s="172" t="n"/>
      <c r="AD156" s="172" t="n"/>
      <c r="AE156" s="172" t="n"/>
      <c r="AG156" s="172" t="n"/>
      <c r="AI156" s="172" t="n"/>
      <c r="AJ156" s="172" t="n"/>
      <c r="AK156" s="172" t="n"/>
      <c r="AL156" s="172" t="n"/>
      <c r="AM156" s="172" t="n"/>
    </row>
    <row r="157">
      <c r="C157" s="18" t="n"/>
      <c r="D157" s="11" t="n"/>
      <c r="G157" s="11" t="n"/>
      <c r="I157" s="11" t="n"/>
      <c r="J157" s="11" t="n"/>
      <c r="K157" s="11" t="n"/>
      <c r="R157" s="172" t="n"/>
      <c r="S157" s="172" t="n"/>
      <c r="T157" s="172" t="n"/>
      <c r="U157" s="172" t="n"/>
      <c r="V157" s="172" t="n"/>
      <c r="W157" s="172" t="n"/>
      <c r="X157" s="172" t="n"/>
      <c r="Y157" s="173" t="n"/>
      <c r="Z157" s="174" t="n"/>
      <c r="AB157" s="172" t="n"/>
      <c r="AC157" s="172" t="n"/>
      <c r="AD157" s="172" t="n"/>
      <c r="AE157" s="172" t="n"/>
      <c r="AG157" s="172" t="n"/>
      <c r="AI157" s="172" t="n"/>
      <c r="AJ157" s="172" t="n"/>
      <c r="AK157" s="172" t="n"/>
      <c r="AL157" s="172" t="n"/>
      <c r="AM157" s="172" t="n"/>
    </row>
    <row r="158">
      <c r="C158" s="18" t="n"/>
      <c r="D158" s="11" t="n"/>
      <c r="G158" s="11" t="n"/>
      <c r="I158" s="11" t="n"/>
      <c r="J158" s="11" t="n"/>
      <c r="K158" s="11" t="n"/>
      <c r="R158" s="172" t="n"/>
      <c r="S158" s="172" t="n"/>
      <c r="T158" s="172" t="n"/>
      <c r="U158" s="172" t="n"/>
      <c r="V158" s="172" t="n"/>
      <c r="W158" s="172" t="n"/>
      <c r="X158" s="172" t="n"/>
      <c r="Y158" s="173" t="n"/>
      <c r="Z158" s="174" t="n"/>
      <c r="AB158" s="172" t="n"/>
      <c r="AC158" s="172" t="n"/>
      <c r="AD158" s="172" t="n"/>
      <c r="AE158" s="172" t="n"/>
      <c r="AG158" s="172" t="n"/>
      <c r="AI158" s="172" t="n"/>
      <c r="AJ158" s="172" t="n"/>
      <c r="AK158" s="172" t="n"/>
      <c r="AL158" s="172" t="n"/>
      <c r="AM158" s="172" t="n"/>
    </row>
    <row r="159">
      <c r="C159" s="18" t="n"/>
      <c r="D159" s="11" t="n"/>
      <c r="G159" s="11" t="n"/>
      <c r="I159" s="11" t="n"/>
      <c r="J159" s="11" t="n"/>
      <c r="K159" s="11" t="n"/>
      <c r="R159" s="172" t="n"/>
      <c r="S159" s="172" t="n"/>
      <c r="T159" s="172" t="n"/>
      <c r="U159" s="172" t="n"/>
      <c r="V159" s="172" t="n"/>
      <c r="W159" s="172" t="n"/>
      <c r="X159" s="172" t="n"/>
      <c r="Y159" s="173" t="n"/>
      <c r="Z159" s="174" t="n"/>
      <c r="AB159" s="172" t="n"/>
      <c r="AC159" s="172" t="n"/>
      <c r="AD159" s="172" t="n"/>
      <c r="AE159" s="172" t="n"/>
      <c r="AG159" s="172" t="n"/>
      <c r="AI159" s="172" t="n"/>
      <c r="AJ159" s="172" t="n"/>
      <c r="AK159" s="172" t="n"/>
      <c r="AL159" s="172" t="n"/>
      <c r="AM159" s="172" t="n"/>
      <c r="AO159" s="175" t="n"/>
    </row>
    <row r="160">
      <c r="C160" s="18" t="n"/>
      <c r="D160" s="11" t="n"/>
      <c r="G160" s="11" t="n"/>
      <c r="I160" s="11" t="n"/>
      <c r="J160" s="11" t="n"/>
      <c r="K160" s="11" t="n"/>
      <c r="R160" s="172" t="n"/>
      <c r="S160" s="172" t="n"/>
      <c r="T160" s="172" t="n"/>
      <c r="U160" s="172" t="n"/>
      <c r="V160" s="172" t="n"/>
      <c r="W160" s="172" t="n"/>
      <c r="X160" s="172" t="n"/>
      <c r="Y160" s="173" t="n"/>
      <c r="Z160" s="174" t="n"/>
      <c r="AB160" s="172" t="n"/>
      <c r="AC160" s="172" t="n"/>
      <c r="AD160" s="172" t="n"/>
      <c r="AE160" s="172" t="n"/>
      <c r="AG160" s="172" t="n"/>
      <c r="AI160" s="172" t="n"/>
      <c r="AJ160" s="172" t="n"/>
      <c r="AK160" s="172" t="n"/>
      <c r="AL160" s="172" t="n"/>
      <c r="AM160" s="172" t="n"/>
      <c r="AO160" s="175" t="n"/>
    </row>
    <row r="161">
      <c r="C161" s="18" t="n"/>
      <c r="D161" s="11" t="n"/>
      <c r="G161" s="11" t="n"/>
      <c r="I161" s="11" t="n"/>
      <c r="J161" s="11" t="n"/>
      <c r="K161" s="11" t="n"/>
      <c r="R161" s="172" t="n"/>
      <c r="S161" s="172" t="n"/>
      <c r="T161" s="172" t="n"/>
      <c r="U161" s="172" t="n"/>
      <c r="V161" s="172" t="n"/>
      <c r="W161" s="172" t="n"/>
      <c r="X161" s="172" t="n"/>
      <c r="Y161" s="173" t="n"/>
      <c r="Z161" s="174" t="n"/>
      <c r="AB161" s="172" t="n"/>
      <c r="AC161" s="172" t="n"/>
      <c r="AD161" s="172" t="n"/>
      <c r="AE161" s="172" t="n"/>
      <c r="AG161" s="172" t="n"/>
      <c r="AI161" s="172" t="n"/>
      <c r="AJ161" s="172" t="n"/>
      <c r="AK161" s="172" t="n"/>
      <c r="AL161" s="172" t="n"/>
      <c r="AM161" s="172" t="n"/>
      <c r="AO161" s="175" t="n"/>
    </row>
    <row r="162">
      <c r="C162" s="18" t="n"/>
      <c r="D162" s="11" t="n"/>
      <c r="G162" s="11" t="n"/>
      <c r="I162" s="11" t="n"/>
      <c r="J162" s="11" t="n"/>
      <c r="K162" s="11" t="n"/>
      <c r="R162" s="172" t="n"/>
      <c r="S162" s="172" t="n"/>
      <c r="T162" s="172" t="n"/>
      <c r="U162" s="172" t="n"/>
      <c r="V162" s="172" t="n"/>
      <c r="W162" s="172" t="n"/>
      <c r="X162" s="172" t="n"/>
      <c r="Y162" s="173" t="n"/>
      <c r="Z162" s="174" t="n"/>
      <c r="AB162" s="172" t="n"/>
      <c r="AC162" s="172" t="n"/>
      <c r="AD162" s="172" t="n"/>
      <c r="AE162" s="172" t="n"/>
      <c r="AG162" s="172" t="n"/>
      <c r="AI162" s="172" t="n"/>
      <c r="AJ162" s="172" t="n"/>
      <c r="AK162" s="172" t="n"/>
      <c r="AL162" s="172" t="n"/>
      <c r="AM162" s="172" t="n"/>
    </row>
    <row r="163">
      <c r="C163" s="18" t="n"/>
      <c r="D163" s="11" t="n"/>
      <c r="G163" s="11" t="n"/>
      <c r="I163" s="11" t="n"/>
      <c r="J163" s="11" t="n"/>
      <c r="K163" s="11" t="n"/>
      <c r="R163" s="172" t="n"/>
      <c r="S163" s="172" t="n"/>
      <c r="T163" s="172" t="n"/>
      <c r="U163" s="172" t="n"/>
      <c r="V163" s="172" t="n"/>
      <c r="W163" s="172" t="n"/>
      <c r="X163" s="172" t="n"/>
      <c r="Y163" s="173" t="n"/>
      <c r="Z163" s="174" t="n"/>
      <c r="AB163" s="172" t="n"/>
      <c r="AC163" s="172" t="n"/>
      <c r="AD163" s="172" t="n"/>
      <c r="AE163" s="172" t="n"/>
      <c r="AG163" s="172" t="n"/>
      <c r="AI163" s="172" t="n"/>
      <c r="AJ163" s="172" t="n"/>
      <c r="AK163" s="172" t="n"/>
      <c r="AL163" s="172" t="n"/>
      <c r="AM163" s="172" t="n"/>
    </row>
    <row r="164">
      <c r="C164" s="18" t="n"/>
      <c r="D164" s="11" t="n"/>
      <c r="G164" s="11" t="n"/>
      <c r="I164" s="11" t="n"/>
      <c r="J164" s="11" t="n"/>
      <c r="K164" s="11" t="n"/>
      <c r="R164" s="172" t="n"/>
      <c r="S164" s="172" t="n"/>
      <c r="T164" s="172" t="n"/>
      <c r="U164" s="172" t="n"/>
      <c r="V164" s="172" t="n"/>
      <c r="W164" s="172" t="n"/>
      <c r="X164" s="172" t="n"/>
      <c r="Y164" s="173" t="n"/>
      <c r="Z164" s="174" t="n"/>
      <c r="AB164" s="172" t="n"/>
      <c r="AC164" s="172" t="n"/>
      <c r="AD164" s="172" t="n"/>
      <c r="AE164" s="172" t="n"/>
      <c r="AG164" s="172" t="n"/>
      <c r="AI164" s="172" t="n"/>
      <c r="AJ164" s="172" t="n"/>
      <c r="AK164" s="172" t="n"/>
      <c r="AL164" s="172" t="n"/>
      <c r="AM164" s="172" t="n"/>
    </row>
    <row r="165">
      <c r="C165" s="18" t="n"/>
      <c r="D165" s="11" t="n"/>
      <c r="G165" s="11" t="n"/>
      <c r="I165" s="11" t="n"/>
      <c r="J165" s="11" t="n"/>
      <c r="K165" s="11" t="n"/>
      <c r="R165" s="172" t="n"/>
      <c r="S165" s="172" t="n"/>
      <c r="T165" s="172" t="n"/>
      <c r="U165" s="172" t="n"/>
      <c r="V165" s="172" t="n"/>
      <c r="W165" s="172" t="n"/>
      <c r="X165" s="172" t="n"/>
      <c r="Y165" s="173" t="n"/>
      <c r="Z165" s="174" t="n"/>
      <c r="AB165" s="172" t="n"/>
      <c r="AC165" s="172" t="n"/>
      <c r="AD165" s="172" t="n"/>
      <c r="AE165" s="172" t="n"/>
      <c r="AG165" s="172" t="n"/>
      <c r="AI165" s="172" t="n"/>
      <c r="AJ165" s="172" t="n"/>
      <c r="AK165" s="172" t="n"/>
      <c r="AL165" s="172" t="n"/>
      <c r="AM165" s="172" t="n"/>
    </row>
    <row r="166">
      <c r="C166" s="18" t="n"/>
      <c r="D166" s="11" t="n"/>
      <c r="G166" s="11" t="n"/>
      <c r="I166" s="11" t="n"/>
      <c r="J166" s="11" t="n"/>
      <c r="K166" s="11" t="n"/>
      <c r="R166" s="172" t="n"/>
      <c r="S166" s="172" t="n"/>
      <c r="T166" s="172" t="n"/>
      <c r="U166" s="172" t="n"/>
      <c r="V166" s="172" t="n"/>
      <c r="W166" s="172" t="n"/>
      <c r="X166" s="172" t="n"/>
      <c r="Y166" s="173" t="n"/>
      <c r="Z166" s="174" t="n"/>
      <c r="AB166" s="172" t="n"/>
      <c r="AC166" s="172" t="n"/>
      <c r="AD166" s="172" t="n"/>
      <c r="AE166" s="172" t="n"/>
      <c r="AG166" s="172" t="n"/>
      <c r="AI166" s="172" t="n"/>
      <c r="AJ166" s="172" t="n"/>
      <c r="AK166" s="172" t="n"/>
      <c r="AL166" s="172" t="n"/>
      <c r="AM166" s="172" t="n"/>
    </row>
    <row r="167">
      <c r="C167" s="18" t="n"/>
      <c r="D167" s="11" t="n"/>
      <c r="G167" s="11" t="n"/>
      <c r="I167" s="11" t="n"/>
      <c r="J167" s="11" t="n"/>
      <c r="K167" s="11" t="n"/>
      <c r="R167" s="172" t="n"/>
      <c r="S167" s="172" t="n"/>
      <c r="T167" s="172" t="n"/>
      <c r="U167" s="172" t="n"/>
      <c r="V167" s="172" t="n"/>
      <c r="W167" s="172" t="n"/>
      <c r="X167" s="172" t="n"/>
      <c r="Y167" s="173" t="n"/>
      <c r="Z167" s="174" t="n"/>
      <c r="AB167" s="172" t="n"/>
      <c r="AC167" s="172" t="n"/>
      <c r="AD167" s="172" t="n"/>
      <c r="AE167" s="172" t="n"/>
      <c r="AG167" s="172" t="n"/>
      <c r="AI167" s="172" t="n"/>
      <c r="AJ167" s="172" t="n"/>
      <c r="AK167" s="172" t="n"/>
      <c r="AL167" s="172" t="n"/>
      <c r="AM167" s="172" t="n"/>
    </row>
    <row r="168">
      <c r="C168" s="18" t="n"/>
      <c r="D168" s="11" t="n"/>
      <c r="G168" s="11" t="n"/>
      <c r="I168" s="11" t="n"/>
      <c r="J168" s="11" t="n"/>
      <c r="K168" s="11" t="n"/>
      <c r="R168" s="172" t="n"/>
      <c r="S168" s="172" t="n"/>
      <c r="T168" s="172" t="n"/>
      <c r="U168" s="172" t="n"/>
      <c r="V168" s="172" t="n"/>
      <c r="W168" s="172" t="n"/>
      <c r="X168" s="172" t="n"/>
      <c r="Y168" s="173" t="n"/>
      <c r="Z168" s="174" t="n"/>
      <c r="AB168" s="172" t="n"/>
      <c r="AC168" s="172" t="n"/>
      <c r="AD168" s="172" t="n"/>
      <c r="AE168" s="172" t="n"/>
      <c r="AG168" s="172" t="n"/>
      <c r="AI168" s="172" t="n"/>
      <c r="AJ168" s="172" t="n"/>
      <c r="AK168" s="172" t="n"/>
      <c r="AL168" s="172" t="n"/>
      <c r="AM168" s="172" t="n"/>
    </row>
    <row r="169">
      <c r="C169" s="18" t="n"/>
      <c r="D169" s="11" t="n"/>
      <c r="G169" s="11" t="n"/>
      <c r="I169" s="11" t="n"/>
      <c r="J169" s="11" t="n"/>
      <c r="K169" s="11" t="n"/>
      <c r="R169" s="172" t="n"/>
      <c r="S169" s="172" t="n"/>
      <c r="T169" s="172" t="n"/>
      <c r="U169" s="172" t="n"/>
      <c r="V169" s="172" t="n"/>
      <c r="W169" s="172" t="n"/>
      <c r="X169" s="172" t="n"/>
      <c r="Y169" s="173" t="n"/>
      <c r="Z169" s="174" t="n"/>
      <c r="AB169" s="172" t="n"/>
      <c r="AC169" s="172" t="n"/>
      <c r="AD169" s="172" t="n"/>
      <c r="AE169" s="172" t="n"/>
      <c r="AG169" s="172" t="n"/>
      <c r="AI169" s="172" t="n"/>
      <c r="AJ169" s="172" t="n"/>
      <c r="AK169" s="172" t="n"/>
      <c r="AL169" s="172" t="n"/>
      <c r="AM169" s="172" t="n"/>
    </row>
    <row r="170">
      <c r="C170" s="18" t="n"/>
      <c r="D170" s="11" t="n"/>
      <c r="G170" s="11" t="n"/>
      <c r="I170" s="11" t="n"/>
      <c r="J170" s="11" t="n"/>
      <c r="K170" s="11" t="n"/>
      <c r="R170" s="172" t="n"/>
      <c r="S170" s="172" t="n"/>
      <c r="T170" s="172" t="n"/>
      <c r="U170" s="172" t="n"/>
      <c r="V170" s="172" t="n"/>
      <c r="W170" s="172" t="n"/>
      <c r="X170" s="172" t="n"/>
      <c r="Y170" s="173" t="n"/>
      <c r="Z170" s="174" t="n"/>
      <c r="AB170" s="172" t="n"/>
      <c r="AC170" s="172" t="n"/>
      <c r="AD170" s="172" t="n"/>
      <c r="AE170" s="172" t="n"/>
      <c r="AG170" s="172" t="n"/>
      <c r="AI170" s="172" t="n"/>
      <c r="AJ170" s="172" t="n"/>
      <c r="AK170" s="172" t="n"/>
      <c r="AL170" s="172" t="n"/>
      <c r="AM170" s="172" t="n"/>
    </row>
    <row r="171">
      <c r="C171" s="18" t="n"/>
      <c r="D171" s="11" t="n"/>
      <c r="G171" s="11" t="n"/>
      <c r="I171" s="11" t="n"/>
      <c r="J171" s="11" t="n"/>
      <c r="K171" s="11" t="n"/>
      <c r="R171" s="172" t="n"/>
      <c r="S171" s="172" t="n"/>
      <c r="T171" s="172" t="n"/>
      <c r="U171" s="172" t="n"/>
      <c r="V171" s="172" t="n"/>
      <c r="W171" s="172" t="n"/>
      <c r="X171" s="172" t="n"/>
      <c r="Y171" s="173" t="n"/>
      <c r="Z171" s="174" t="n"/>
      <c r="AB171" s="172" t="n"/>
      <c r="AC171" s="172" t="n"/>
      <c r="AD171" s="172" t="n"/>
      <c r="AE171" s="172" t="n"/>
      <c r="AG171" s="172" t="n"/>
      <c r="AI171" s="172" t="n"/>
      <c r="AJ171" s="172" t="n"/>
      <c r="AK171" s="172" t="n"/>
      <c r="AL171" s="172" t="n"/>
      <c r="AM171" s="172" t="n"/>
    </row>
    <row r="172">
      <c r="C172" s="18" t="n"/>
      <c r="D172" s="11" t="n"/>
      <c r="G172" s="11" t="n"/>
      <c r="I172" s="11" t="n"/>
      <c r="J172" s="11" t="n"/>
      <c r="K172" s="11" t="n"/>
      <c r="R172" s="172" t="n"/>
      <c r="S172" s="172" t="n"/>
      <c r="T172" s="172" t="n"/>
      <c r="U172" s="172" t="n"/>
      <c r="V172" s="172" t="n"/>
      <c r="W172" s="172" t="n"/>
      <c r="X172" s="172" t="n"/>
      <c r="Y172" s="173" t="n"/>
      <c r="Z172" s="174" t="n"/>
      <c r="AB172" s="172" t="n"/>
      <c r="AC172" s="172" t="n"/>
      <c r="AD172" s="172" t="n"/>
      <c r="AE172" s="172" t="n"/>
      <c r="AG172" s="172" t="n"/>
      <c r="AI172" s="172" t="n"/>
      <c r="AJ172" s="172" t="n"/>
      <c r="AK172" s="172" t="n"/>
      <c r="AL172" s="172" t="n"/>
      <c r="AM172" s="172" t="n"/>
    </row>
    <row r="173">
      <c r="C173" s="18" t="n"/>
      <c r="D173" s="11" t="n"/>
      <c r="G173" s="11" t="n"/>
      <c r="I173" s="11" t="n"/>
      <c r="J173" s="11" t="n"/>
      <c r="K173" s="11" t="n"/>
      <c r="R173" s="172" t="n"/>
      <c r="S173" s="172" t="n"/>
      <c r="T173" s="172" t="n"/>
      <c r="U173" s="172" t="n"/>
      <c r="V173" s="172" t="n"/>
      <c r="W173" s="172" t="n"/>
      <c r="X173" s="172" t="n"/>
      <c r="Y173" s="173" t="n"/>
      <c r="Z173" s="174" t="n"/>
      <c r="AB173" s="172" t="n"/>
      <c r="AC173" s="172" t="n"/>
      <c r="AD173" s="172" t="n"/>
      <c r="AE173" s="172" t="n"/>
      <c r="AG173" s="172" t="n"/>
      <c r="AI173" s="172" t="n"/>
      <c r="AJ173" s="172" t="n"/>
      <c r="AK173" s="172" t="n"/>
      <c r="AL173" s="172" t="n"/>
      <c r="AM173" s="172" t="n"/>
    </row>
    <row r="174">
      <c r="C174" s="18" t="n"/>
      <c r="D174" s="11" t="n"/>
      <c r="G174" s="11" t="n"/>
      <c r="I174" s="11" t="n"/>
      <c r="J174" s="11" t="n"/>
      <c r="K174" s="11" t="n"/>
      <c r="R174" s="172" t="n"/>
      <c r="S174" s="172" t="n"/>
      <c r="T174" s="172" t="n"/>
      <c r="U174" s="172" t="n"/>
      <c r="V174" s="172" t="n"/>
      <c r="W174" s="172" t="n"/>
      <c r="X174" s="172" t="n"/>
      <c r="Y174" s="173" t="n"/>
      <c r="Z174" s="174" t="n"/>
      <c r="AB174" s="172" t="n"/>
      <c r="AC174" s="172" t="n"/>
      <c r="AD174" s="172" t="n"/>
      <c r="AE174" s="172" t="n"/>
      <c r="AG174" s="172" t="n"/>
      <c r="AI174" s="172" t="n"/>
      <c r="AJ174" s="172" t="n"/>
      <c r="AK174" s="172" t="n"/>
      <c r="AL174" s="172" t="n"/>
      <c r="AM174" s="172" t="n"/>
    </row>
    <row r="175">
      <c r="C175" s="18" t="n"/>
      <c r="D175" s="11" t="n"/>
      <c r="G175" s="11" t="n"/>
      <c r="I175" s="11" t="n"/>
      <c r="J175" s="11" t="n"/>
      <c r="K175" s="11" t="n"/>
      <c r="R175" s="172" t="n"/>
      <c r="S175" s="172" t="n"/>
      <c r="T175" s="172" t="n"/>
      <c r="U175" s="172" t="n"/>
      <c r="V175" s="172" t="n"/>
      <c r="W175" s="172" t="n"/>
      <c r="X175" s="172" t="n"/>
      <c r="Y175" s="173" t="n"/>
      <c r="Z175" s="174" t="n"/>
      <c r="AB175" s="172" t="n"/>
      <c r="AC175" s="172" t="n"/>
      <c r="AD175" s="172" t="n"/>
      <c r="AE175" s="172" t="n"/>
      <c r="AG175" s="172" t="n"/>
      <c r="AI175" s="172" t="n"/>
      <c r="AJ175" s="172" t="n"/>
      <c r="AK175" s="172" t="n"/>
      <c r="AL175" s="172" t="n"/>
      <c r="AM175" s="172" t="n"/>
    </row>
    <row r="176">
      <c r="C176" s="18" t="n"/>
      <c r="D176" s="11" t="n"/>
      <c r="G176" s="11" t="n"/>
      <c r="I176" s="11" t="n"/>
      <c r="J176" s="11" t="n"/>
      <c r="K176" s="11" t="n"/>
      <c r="R176" s="172" t="n"/>
      <c r="S176" s="172" t="n"/>
      <c r="T176" s="172" t="n"/>
      <c r="U176" s="172" t="n"/>
      <c r="V176" s="172" t="n"/>
      <c r="W176" s="172" t="n"/>
      <c r="X176" s="172" t="n"/>
      <c r="Y176" s="173" t="n"/>
      <c r="Z176" s="174" t="n"/>
      <c r="AB176" s="172" t="n"/>
      <c r="AC176" s="172" t="n"/>
      <c r="AD176" s="172" t="n"/>
      <c r="AE176" s="172" t="n"/>
      <c r="AG176" s="172" t="n"/>
      <c r="AI176" s="172" t="n"/>
      <c r="AJ176" s="172" t="n"/>
      <c r="AK176" s="172" t="n"/>
      <c r="AL176" s="172" t="n"/>
      <c r="AM176" s="172" t="n"/>
    </row>
    <row r="177">
      <c r="C177" s="18" t="n"/>
      <c r="D177" s="11" t="n"/>
      <c r="G177" s="11" t="n"/>
      <c r="I177" s="11" t="n"/>
      <c r="J177" s="11" t="n"/>
      <c r="K177" s="11" t="n"/>
      <c r="R177" s="172" t="n"/>
      <c r="S177" s="172" t="n"/>
      <c r="T177" s="172" t="n"/>
      <c r="U177" s="172" t="n"/>
      <c r="V177" s="172" t="n"/>
      <c r="W177" s="172" t="n"/>
      <c r="X177" s="172" t="n"/>
      <c r="Y177" s="173" t="n"/>
      <c r="Z177" s="174" t="n"/>
      <c r="AB177" s="172" t="n"/>
      <c r="AC177" s="172" t="n"/>
      <c r="AD177" s="172" t="n"/>
      <c r="AE177" s="172" t="n"/>
      <c r="AG177" s="172" t="n"/>
      <c r="AI177" s="172" t="n"/>
      <c r="AJ177" s="172" t="n"/>
      <c r="AK177" s="172" t="n"/>
      <c r="AL177" s="172" t="n"/>
      <c r="AM177" s="172" t="n"/>
    </row>
    <row r="178">
      <c r="C178" s="18" t="n"/>
      <c r="D178" s="11" t="n"/>
      <c r="G178" s="11" t="n"/>
      <c r="I178" s="11" t="n"/>
      <c r="J178" s="11" t="n"/>
      <c r="K178" s="11" t="n"/>
      <c r="R178" s="172" t="n"/>
      <c r="S178" s="172" t="n"/>
      <c r="T178" s="172" t="n"/>
      <c r="U178" s="172" t="n"/>
      <c r="V178" s="172" t="n"/>
      <c r="W178" s="172" t="n"/>
      <c r="X178" s="172" t="n"/>
      <c r="Y178" s="173" t="n"/>
      <c r="Z178" s="174" t="n"/>
      <c r="AB178" s="172" t="n"/>
      <c r="AC178" s="172" t="n"/>
      <c r="AD178" s="172" t="n"/>
      <c r="AE178" s="172" t="n"/>
      <c r="AG178" s="172" t="n"/>
      <c r="AI178" s="172" t="n"/>
      <c r="AJ178" s="172" t="n"/>
      <c r="AK178" s="172" t="n"/>
      <c r="AL178" s="172" t="n"/>
      <c r="AM178" s="172" t="n"/>
    </row>
    <row r="179">
      <c r="C179" s="18" t="n"/>
      <c r="D179" s="11" t="n"/>
      <c r="G179" s="11" t="n"/>
      <c r="I179" s="11" t="n"/>
      <c r="J179" s="11" t="n"/>
      <c r="K179" s="11" t="n"/>
      <c r="R179" s="172" t="n"/>
      <c r="S179" s="172" t="n"/>
      <c r="T179" s="172" t="n"/>
      <c r="U179" s="172" t="n"/>
      <c r="V179" s="172" t="n"/>
      <c r="W179" s="172" t="n"/>
      <c r="X179" s="172" t="n"/>
      <c r="Y179" s="173" t="n"/>
      <c r="Z179" s="174" t="n"/>
      <c r="AB179" s="172" t="n"/>
      <c r="AC179" s="172" t="n"/>
      <c r="AD179" s="172" t="n"/>
      <c r="AE179" s="172" t="n"/>
      <c r="AG179" s="172" t="n"/>
      <c r="AI179" s="172" t="n"/>
      <c r="AJ179" s="172" t="n"/>
      <c r="AK179" s="172" t="n"/>
      <c r="AL179" s="172" t="n"/>
      <c r="AM179" s="172" t="n"/>
    </row>
    <row r="180">
      <c r="C180" s="18" t="n"/>
      <c r="D180" s="11" t="n"/>
      <c r="G180" s="11" t="n"/>
      <c r="I180" s="11" t="n"/>
      <c r="J180" s="11" t="n"/>
      <c r="K180" s="11" t="n"/>
      <c r="R180" s="172" t="n"/>
      <c r="S180" s="172" t="n"/>
      <c r="T180" s="172" t="n"/>
      <c r="U180" s="172" t="n"/>
      <c r="V180" s="172" t="n"/>
      <c r="W180" s="172" t="n"/>
      <c r="X180" s="172" t="n"/>
      <c r="Y180" s="173" t="n"/>
      <c r="Z180" s="174" t="n"/>
      <c r="AB180" s="172" t="n"/>
      <c r="AC180" s="172" t="n"/>
      <c r="AD180" s="172" t="n"/>
      <c r="AE180" s="172" t="n"/>
      <c r="AG180" s="172" t="n"/>
      <c r="AI180" s="172" t="n"/>
      <c r="AJ180" s="172" t="n"/>
      <c r="AK180" s="172" t="n"/>
      <c r="AL180" s="172" t="n"/>
      <c r="AM180" s="172" t="n"/>
    </row>
    <row r="181">
      <c r="C181" s="18" t="n"/>
      <c r="D181" s="11" t="n"/>
      <c r="G181" s="11" t="n"/>
      <c r="I181" s="11" t="n"/>
      <c r="J181" s="11" t="n"/>
      <c r="K181" s="11" t="n"/>
      <c r="R181" s="172" t="n"/>
      <c r="S181" s="172" t="n"/>
      <c r="T181" s="172" t="n"/>
      <c r="U181" s="172" t="n"/>
      <c r="V181" s="172" t="n"/>
      <c r="W181" s="172" t="n"/>
      <c r="X181" s="172" t="n"/>
      <c r="Y181" s="173" t="n"/>
      <c r="Z181" s="174" t="n"/>
      <c r="AB181" s="172" t="n"/>
      <c r="AC181" s="172" t="n"/>
      <c r="AD181" s="172" t="n"/>
      <c r="AE181" s="172" t="n"/>
      <c r="AG181" s="172" t="n"/>
      <c r="AI181" s="172" t="n"/>
      <c r="AJ181" s="172" t="n"/>
      <c r="AK181" s="172" t="n"/>
      <c r="AL181" s="172" t="n"/>
      <c r="AM181" s="172" t="n"/>
    </row>
    <row r="182">
      <c r="C182" s="18" t="n"/>
      <c r="D182" s="11" t="n"/>
      <c r="G182" s="11" t="n"/>
      <c r="I182" s="11" t="n"/>
      <c r="J182" s="11" t="n"/>
      <c r="K182" s="11" t="n"/>
      <c r="R182" s="172" t="n"/>
      <c r="S182" s="172" t="n"/>
      <c r="T182" s="172" t="n"/>
      <c r="U182" s="172" t="n"/>
      <c r="V182" s="172" t="n"/>
      <c r="W182" s="172" t="n"/>
      <c r="X182" s="172" t="n"/>
      <c r="Y182" s="173" t="n"/>
      <c r="Z182" s="174" t="n"/>
      <c r="AB182" s="172" t="n"/>
      <c r="AC182" s="172" t="n"/>
      <c r="AD182" s="172" t="n"/>
      <c r="AE182" s="172" t="n"/>
      <c r="AG182" s="172" t="n"/>
      <c r="AI182" s="172" t="n"/>
      <c r="AJ182" s="172" t="n"/>
      <c r="AK182" s="172" t="n"/>
      <c r="AL182" s="172" t="n"/>
      <c r="AM182" s="172" t="n"/>
    </row>
    <row r="183">
      <c r="C183" s="18" t="n"/>
      <c r="D183" s="11" t="n"/>
      <c r="G183" s="11" t="n"/>
      <c r="I183" s="11" t="n"/>
      <c r="J183" s="11" t="n"/>
      <c r="K183" s="11" t="n"/>
      <c r="R183" s="172" t="n"/>
      <c r="S183" s="172" t="n"/>
      <c r="T183" s="172" t="n"/>
      <c r="U183" s="172" t="n"/>
      <c r="V183" s="172" t="n"/>
      <c r="W183" s="172" t="n"/>
      <c r="X183" s="172" t="n"/>
      <c r="Y183" s="173" t="n"/>
      <c r="Z183" s="174" t="n"/>
      <c r="AB183" s="172" t="n"/>
      <c r="AC183" s="172" t="n"/>
      <c r="AD183" s="172" t="n"/>
      <c r="AE183" s="172" t="n"/>
      <c r="AG183" s="172" t="n"/>
      <c r="AI183" s="172" t="n"/>
      <c r="AJ183" s="172" t="n"/>
      <c r="AK183" s="172" t="n"/>
      <c r="AL183" s="172" t="n"/>
      <c r="AM183" s="172" t="n"/>
    </row>
    <row r="184">
      <c r="C184" s="18" t="n"/>
      <c r="D184" s="11" t="n"/>
      <c r="G184" s="11" t="n"/>
      <c r="I184" s="11" t="n"/>
      <c r="J184" s="11" t="n"/>
      <c r="K184" s="11" t="n"/>
      <c r="R184" s="172" t="n"/>
      <c r="S184" s="172" t="n"/>
      <c r="T184" s="172" t="n"/>
      <c r="U184" s="172" t="n"/>
      <c r="V184" s="172" t="n"/>
      <c r="W184" s="172" t="n"/>
      <c r="X184" s="172" t="n"/>
      <c r="Y184" s="173" t="n"/>
      <c r="Z184" s="174" t="n"/>
      <c r="AB184" s="172" t="n"/>
      <c r="AC184" s="172" t="n"/>
      <c r="AD184" s="172" t="n"/>
      <c r="AE184" s="172" t="n"/>
      <c r="AG184" s="172" t="n"/>
      <c r="AI184" s="172" t="n"/>
      <c r="AJ184" s="172" t="n"/>
      <c r="AK184" s="172" t="n"/>
      <c r="AL184" s="172" t="n"/>
      <c r="AM184" s="172" t="n"/>
    </row>
    <row r="185">
      <c r="C185" s="18" t="n"/>
      <c r="D185" s="11" t="n"/>
      <c r="G185" s="11" t="n"/>
      <c r="I185" s="11" t="n"/>
      <c r="J185" s="11" t="n"/>
      <c r="K185" s="11" t="n"/>
      <c r="R185" s="172" t="n"/>
      <c r="S185" s="172" t="n"/>
      <c r="T185" s="172" t="n"/>
      <c r="U185" s="172" t="n"/>
      <c r="V185" s="172" t="n"/>
      <c r="W185" s="172" t="n"/>
      <c r="X185" s="172" t="n"/>
      <c r="Y185" s="173" t="n"/>
      <c r="Z185" s="174" t="n"/>
      <c r="AB185" s="172" t="n"/>
      <c r="AC185" s="172" t="n"/>
      <c r="AD185" s="172" t="n"/>
      <c r="AE185" s="172" t="n"/>
      <c r="AG185" s="172" t="n"/>
      <c r="AI185" s="172" t="n"/>
      <c r="AJ185" s="172" t="n"/>
      <c r="AK185" s="172" t="n"/>
      <c r="AL185" s="172" t="n"/>
      <c r="AM185" s="172" t="n"/>
    </row>
    <row r="186">
      <c r="C186" s="18" t="n"/>
      <c r="D186" s="11" t="n"/>
      <c r="G186" s="11" t="n"/>
      <c r="I186" s="11" t="n"/>
      <c r="J186" s="11" t="n"/>
      <c r="K186" s="11" t="n"/>
      <c r="R186" s="172" t="n"/>
      <c r="S186" s="172" t="n"/>
      <c r="T186" s="172" t="n"/>
      <c r="U186" s="172" t="n"/>
      <c r="V186" s="172" t="n"/>
      <c r="W186" s="172" t="n"/>
      <c r="X186" s="172" t="n"/>
      <c r="Y186" s="173" t="n"/>
      <c r="Z186" s="174" t="n"/>
      <c r="AB186" s="172" t="n"/>
      <c r="AC186" s="172" t="n"/>
      <c r="AD186" s="172" t="n"/>
      <c r="AE186" s="172" t="n"/>
      <c r="AG186" s="172" t="n"/>
      <c r="AI186" s="172" t="n"/>
      <c r="AJ186" s="172" t="n"/>
      <c r="AK186" s="172" t="n"/>
      <c r="AL186" s="172" t="n"/>
      <c r="AM186" s="172" t="n"/>
    </row>
    <row r="187">
      <c r="C187" s="18" t="n"/>
      <c r="D187" s="11" t="n"/>
      <c r="G187" s="11" t="n"/>
      <c r="I187" s="11" t="n"/>
      <c r="J187" s="11" t="n"/>
      <c r="K187" s="11" t="n"/>
      <c r="R187" s="172" t="n"/>
      <c r="S187" s="172" t="n"/>
      <c r="T187" s="172" t="n"/>
      <c r="U187" s="172" t="n"/>
      <c r="V187" s="172" t="n"/>
      <c r="W187" s="172" t="n"/>
      <c r="X187" s="172" t="n"/>
      <c r="Y187" s="173" t="n"/>
      <c r="Z187" s="174" t="n"/>
      <c r="AB187" s="172" t="n"/>
      <c r="AC187" s="172" t="n"/>
      <c r="AD187" s="172" t="n"/>
      <c r="AE187" s="172" t="n"/>
      <c r="AG187" s="172" t="n"/>
      <c r="AI187" s="172" t="n"/>
      <c r="AJ187" s="172" t="n"/>
      <c r="AK187" s="172" t="n"/>
      <c r="AL187" s="172" t="n"/>
      <c r="AM187" s="172" t="n"/>
    </row>
    <row r="188">
      <c r="C188" s="18" t="n"/>
      <c r="D188" s="11" t="n"/>
      <c r="G188" s="11" t="n"/>
      <c r="I188" s="11" t="n"/>
      <c r="J188" s="11" t="n"/>
      <c r="K188" s="11" t="n"/>
      <c r="R188" s="172" t="n"/>
      <c r="S188" s="172" t="n"/>
      <c r="T188" s="172" t="n"/>
      <c r="U188" s="172" t="n"/>
      <c r="V188" s="172" t="n"/>
      <c r="W188" s="172" t="n"/>
      <c r="X188" s="172" t="n"/>
      <c r="Y188" s="173" t="n"/>
      <c r="Z188" s="174" t="n"/>
      <c r="AB188" s="172" t="n"/>
      <c r="AC188" s="172" t="n"/>
      <c r="AD188" s="172" t="n"/>
      <c r="AE188" s="172" t="n"/>
      <c r="AG188" s="172" t="n"/>
      <c r="AI188" s="172" t="n"/>
      <c r="AJ188" s="172" t="n"/>
      <c r="AK188" s="172" t="n"/>
      <c r="AL188" s="172" t="n"/>
      <c r="AM188" s="172" t="n"/>
    </row>
    <row r="189">
      <c r="C189" s="18" t="n"/>
      <c r="D189" s="11" t="n"/>
      <c r="G189" s="11" t="n"/>
      <c r="I189" s="11" t="n"/>
      <c r="J189" s="11" t="n"/>
      <c r="K189" s="11" t="n"/>
      <c r="R189" s="172" t="n"/>
      <c r="S189" s="172" t="n"/>
      <c r="T189" s="172" t="n"/>
      <c r="U189" s="172" t="n"/>
      <c r="V189" s="172" t="n"/>
      <c r="W189" s="172" t="n"/>
      <c r="X189" s="172" t="n"/>
      <c r="Y189" s="173" t="n"/>
      <c r="Z189" s="174" t="n"/>
      <c r="AB189" s="172" t="n"/>
      <c r="AC189" s="172" t="n"/>
      <c r="AD189" s="172" t="n"/>
      <c r="AE189" s="172" t="n"/>
      <c r="AG189" s="172" t="n"/>
      <c r="AI189" s="172" t="n"/>
      <c r="AJ189" s="172" t="n"/>
      <c r="AK189" s="172" t="n"/>
      <c r="AL189" s="172" t="n"/>
      <c r="AM189" s="172" t="n"/>
    </row>
    <row r="190">
      <c r="C190" s="18" t="n"/>
      <c r="D190" s="11" t="n"/>
      <c r="G190" s="11" t="n"/>
      <c r="I190" s="11" t="n"/>
      <c r="J190" s="11" t="n"/>
      <c r="K190" s="11" t="n"/>
      <c r="R190" s="172" t="n"/>
      <c r="S190" s="172" t="n"/>
      <c r="T190" s="172" t="n"/>
      <c r="U190" s="172" t="n"/>
      <c r="V190" s="172" t="n"/>
      <c r="W190" s="172" t="n"/>
      <c r="X190" s="172" t="n"/>
      <c r="Y190" s="173" t="n"/>
      <c r="Z190" s="174" t="n"/>
      <c r="AB190" s="172" t="n"/>
      <c r="AC190" s="172" t="n"/>
      <c r="AD190" s="172" t="n"/>
      <c r="AE190" s="172" t="n"/>
      <c r="AG190" s="172" t="n"/>
      <c r="AI190" s="172" t="n"/>
      <c r="AJ190" s="172" t="n"/>
      <c r="AK190" s="172" t="n"/>
      <c r="AL190" s="172" t="n"/>
      <c r="AM190" s="172" t="n"/>
    </row>
    <row r="191">
      <c r="C191" s="18" t="n"/>
      <c r="D191" s="11" t="n"/>
      <c r="G191" s="11" t="n"/>
      <c r="I191" s="11" t="n"/>
      <c r="J191" s="11" t="n"/>
      <c r="K191" s="11" t="n"/>
      <c r="R191" s="172" t="n"/>
      <c r="S191" s="172" t="n"/>
      <c r="T191" s="172" t="n"/>
      <c r="U191" s="172" t="n"/>
      <c r="V191" s="172" t="n"/>
      <c r="W191" s="172" t="n"/>
      <c r="X191" s="172" t="n"/>
      <c r="Y191" s="173" t="n"/>
      <c r="Z191" s="174" t="n"/>
      <c r="AB191" s="172" t="n"/>
      <c r="AC191" s="172" t="n"/>
      <c r="AD191" s="172" t="n"/>
      <c r="AE191" s="172" t="n"/>
      <c r="AG191" s="172" t="n"/>
      <c r="AI191" s="172" t="n"/>
      <c r="AJ191" s="172" t="n"/>
      <c r="AK191" s="172" t="n"/>
      <c r="AL191" s="172" t="n"/>
      <c r="AM191" s="172" t="n"/>
    </row>
    <row r="192">
      <c r="C192" s="18" t="n"/>
      <c r="D192" s="11" t="n"/>
      <c r="G192" s="11" t="n"/>
      <c r="I192" s="11" t="n"/>
      <c r="J192" s="11" t="n"/>
      <c r="K192" s="11" t="n"/>
      <c r="R192" s="172" t="n"/>
      <c r="S192" s="172" t="n"/>
      <c r="T192" s="172" t="n"/>
      <c r="U192" s="172" t="n"/>
      <c r="V192" s="172" t="n"/>
      <c r="W192" s="172" t="n"/>
      <c r="X192" s="172" t="n"/>
      <c r="Y192" s="173" t="n"/>
      <c r="Z192" s="174" t="n"/>
      <c r="AB192" s="172" t="n"/>
      <c r="AC192" s="172" t="n"/>
      <c r="AD192" s="172" t="n"/>
      <c r="AE192" s="172" t="n"/>
      <c r="AG192" s="172" t="n"/>
      <c r="AI192" s="172" t="n"/>
      <c r="AJ192" s="172" t="n"/>
      <c r="AK192" s="172" t="n"/>
      <c r="AL192" s="172" t="n"/>
      <c r="AM192" s="172" t="n"/>
    </row>
    <row r="193">
      <c r="C193" s="18" t="n"/>
      <c r="D193" s="11" t="n"/>
      <c r="G193" s="11" t="n"/>
      <c r="I193" s="11" t="n"/>
      <c r="J193" s="11" t="n"/>
      <c r="K193" s="11" t="n"/>
      <c r="R193" s="172" t="n"/>
      <c r="S193" s="172" t="n"/>
      <c r="T193" s="172" t="n"/>
      <c r="U193" s="172" t="n"/>
      <c r="V193" s="172" t="n"/>
      <c r="W193" s="172" t="n"/>
      <c r="X193" s="172" t="n"/>
      <c r="Y193" s="173" t="n"/>
      <c r="Z193" s="174" t="n"/>
      <c r="AB193" s="172" t="n"/>
      <c r="AC193" s="172" t="n"/>
      <c r="AD193" s="172" t="n"/>
      <c r="AE193" s="172" t="n"/>
      <c r="AG193" s="172" t="n"/>
      <c r="AI193" s="172" t="n"/>
      <c r="AJ193" s="172" t="n"/>
      <c r="AK193" s="172" t="n"/>
      <c r="AL193" s="172" t="n"/>
      <c r="AM193" s="172" t="n"/>
    </row>
    <row r="194">
      <c r="C194" s="18" t="n"/>
      <c r="D194" s="11" t="n"/>
      <c r="G194" s="11" t="n"/>
      <c r="I194" s="11" t="n"/>
      <c r="J194" s="11" t="n"/>
      <c r="K194" s="11" t="n"/>
      <c r="R194" s="172" t="n"/>
      <c r="S194" s="172" t="n"/>
      <c r="T194" s="172" t="n"/>
      <c r="U194" s="172" t="n"/>
      <c r="V194" s="172" t="n"/>
      <c r="W194" s="172" t="n"/>
      <c r="X194" s="172" t="n"/>
      <c r="Y194" s="173" t="n"/>
      <c r="Z194" s="174" t="n"/>
      <c r="AB194" s="172" t="n"/>
      <c r="AC194" s="172" t="n"/>
      <c r="AD194" s="172" t="n"/>
      <c r="AE194" s="172" t="n"/>
      <c r="AG194" s="172" t="n"/>
      <c r="AI194" s="172" t="n"/>
      <c r="AJ194" s="172" t="n"/>
      <c r="AK194" s="172" t="n"/>
      <c r="AL194" s="172" t="n"/>
      <c r="AM194" s="172" t="n"/>
    </row>
    <row r="195">
      <c r="C195" s="18" t="n"/>
      <c r="D195" s="11" t="n"/>
      <c r="G195" s="11" t="n"/>
      <c r="I195" s="11" t="n"/>
      <c r="J195" s="11" t="n"/>
      <c r="K195" s="11" t="n"/>
      <c r="R195" s="172" t="n"/>
      <c r="S195" s="172" t="n"/>
      <c r="T195" s="172" t="n"/>
      <c r="U195" s="172" t="n"/>
      <c r="V195" s="172" t="n"/>
      <c r="W195" s="172" t="n"/>
      <c r="X195" s="172" t="n"/>
      <c r="Y195" s="173" t="n"/>
      <c r="Z195" s="174" t="n"/>
      <c r="AB195" s="172" t="n"/>
      <c r="AC195" s="172" t="n"/>
      <c r="AD195" s="172" t="n"/>
      <c r="AE195" s="172" t="n"/>
      <c r="AG195" s="172" t="n"/>
      <c r="AI195" s="172" t="n"/>
      <c r="AJ195" s="172" t="n"/>
      <c r="AK195" s="172" t="n"/>
      <c r="AL195" s="172" t="n"/>
      <c r="AM195" s="172" t="n"/>
    </row>
    <row r="196">
      <c r="C196" s="18" t="n"/>
      <c r="D196" s="11" t="n"/>
      <c r="G196" s="11" t="n"/>
      <c r="I196" s="11" t="n"/>
      <c r="J196" s="11" t="n"/>
      <c r="K196" s="11" t="n"/>
      <c r="R196" s="172" t="n"/>
      <c r="S196" s="172" t="n"/>
      <c r="T196" s="172" t="n"/>
      <c r="U196" s="172" t="n"/>
      <c r="V196" s="172" t="n"/>
      <c r="W196" s="172" t="n"/>
      <c r="X196" s="172" t="n"/>
      <c r="Y196" s="173" t="n"/>
      <c r="Z196" s="174" t="n"/>
      <c r="AB196" s="172" t="n"/>
      <c r="AC196" s="172" t="n"/>
      <c r="AD196" s="172" t="n"/>
      <c r="AE196" s="172" t="n"/>
      <c r="AG196" s="172" t="n"/>
      <c r="AI196" s="172" t="n"/>
      <c r="AJ196" s="172" t="n"/>
      <c r="AK196" s="172" t="n"/>
      <c r="AL196" s="172" t="n"/>
      <c r="AM196" s="172" t="n"/>
    </row>
    <row r="197">
      <c r="C197" s="18" t="n"/>
      <c r="D197" s="11" t="n"/>
      <c r="G197" s="11" t="n"/>
      <c r="I197" s="11" t="n"/>
      <c r="J197" s="11" t="n"/>
      <c r="K197" s="11" t="n"/>
      <c r="R197" s="172" t="n"/>
      <c r="S197" s="172" t="n"/>
      <c r="T197" s="172" t="n"/>
      <c r="U197" s="172" t="n"/>
      <c r="V197" s="172" t="n"/>
      <c r="W197" s="172" t="n"/>
      <c r="X197" s="172" t="n"/>
      <c r="Y197" s="173" t="n"/>
      <c r="Z197" s="174" t="n"/>
      <c r="AB197" s="172" t="n"/>
      <c r="AC197" s="172" t="n"/>
      <c r="AD197" s="172" t="n"/>
      <c r="AE197" s="172" t="n"/>
      <c r="AG197" s="172" t="n"/>
      <c r="AI197" s="172" t="n"/>
      <c r="AJ197" s="172" t="n"/>
      <c r="AK197" s="172" t="n"/>
      <c r="AL197" s="172" t="n"/>
      <c r="AM197" s="172" t="n"/>
    </row>
    <row r="198">
      <c r="C198" s="18" t="n"/>
      <c r="D198" s="11" t="n"/>
      <c r="G198" s="11" t="n"/>
      <c r="I198" s="11" t="n"/>
      <c r="J198" s="11" t="n"/>
      <c r="K198" s="11" t="n"/>
      <c r="R198" s="172" t="n"/>
      <c r="S198" s="172" t="n"/>
      <c r="T198" s="172" t="n"/>
      <c r="U198" s="172" t="n"/>
      <c r="V198" s="172" t="n"/>
      <c r="W198" s="172" t="n"/>
      <c r="X198" s="172" t="n"/>
      <c r="Y198" s="173" t="n"/>
      <c r="Z198" s="174" t="n"/>
      <c r="AB198" s="172" t="n"/>
      <c r="AC198" s="172" t="n"/>
      <c r="AD198" s="172" t="n"/>
      <c r="AE198" s="172" t="n"/>
      <c r="AG198" s="172" t="n"/>
      <c r="AI198" s="172" t="n"/>
      <c r="AJ198" s="172" t="n"/>
      <c r="AK198" s="172" t="n"/>
      <c r="AL198" s="172" t="n"/>
      <c r="AM198" s="172" t="n"/>
    </row>
    <row r="199">
      <c r="C199" s="18" t="n"/>
      <c r="D199" s="11" t="n"/>
      <c r="G199" s="11" t="n"/>
      <c r="I199" s="11" t="n"/>
      <c r="J199" s="11" t="n"/>
      <c r="K199" s="11" t="n"/>
      <c r="R199" s="172" t="n"/>
      <c r="S199" s="172" t="n"/>
      <c r="T199" s="172" t="n"/>
      <c r="U199" s="172" t="n"/>
      <c r="V199" s="172" t="n"/>
      <c r="W199" s="172" t="n"/>
      <c r="X199" s="172" t="n"/>
      <c r="Y199" s="173" t="n"/>
      <c r="Z199" s="174" t="n"/>
      <c r="AB199" s="172" t="n"/>
      <c r="AC199" s="172" t="n"/>
      <c r="AD199" s="172" t="n"/>
      <c r="AE199" s="172" t="n"/>
      <c r="AG199" s="172" t="n"/>
      <c r="AI199" s="172" t="n"/>
      <c r="AJ199" s="172" t="n"/>
      <c r="AK199" s="172" t="n"/>
      <c r="AL199" s="172" t="n"/>
      <c r="AM199" s="172" t="n"/>
    </row>
    <row r="200">
      <c r="C200" s="18" t="n"/>
      <c r="D200" s="11" t="n"/>
      <c r="G200" s="11" t="n"/>
      <c r="I200" s="11" t="n"/>
      <c r="J200" s="11" t="n"/>
      <c r="K200" s="11" t="n"/>
      <c r="R200" s="172" t="n"/>
      <c r="S200" s="172" t="n"/>
      <c r="T200" s="172" t="n"/>
      <c r="U200" s="172" t="n"/>
      <c r="V200" s="172" t="n"/>
      <c r="W200" s="172" t="n"/>
      <c r="X200" s="172" t="n"/>
      <c r="Y200" s="173" t="n"/>
      <c r="Z200" s="174" t="n"/>
      <c r="AB200" s="172" t="n"/>
      <c r="AC200" s="172" t="n"/>
      <c r="AD200" s="172" t="n"/>
      <c r="AE200" s="172" t="n"/>
      <c r="AG200" s="172" t="n"/>
      <c r="AI200" s="172" t="n"/>
      <c r="AJ200" s="172" t="n"/>
      <c r="AK200" s="172" t="n"/>
      <c r="AL200" s="172" t="n"/>
      <c r="AM200" s="172" t="n"/>
    </row>
    <row r="201">
      <c r="C201" s="18" t="n"/>
      <c r="D201" s="11" t="n"/>
      <c r="G201" s="11" t="n"/>
      <c r="I201" s="11" t="n"/>
      <c r="J201" s="11" t="n"/>
      <c r="K201" s="11" t="n"/>
      <c r="R201" s="172" t="n"/>
      <c r="S201" s="172" t="n"/>
      <c r="T201" s="172" t="n"/>
      <c r="U201" s="172" t="n"/>
      <c r="V201" s="172" t="n"/>
      <c r="W201" s="172" t="n"/>
      <c r="X201" s="172" t="n"/>
      <c r="Y201" s="173" t="n"/>
      <c r="Z201" s="174" t="n"/>
      <c r="AB201" s="172" t="n"/>
      <c r="AC201" s="172" t="n"/>
      <c r="AD201" s="172" t="n"/>
      <c r="AE201" s="172" t="n"/>
      <c r="AG201" s="172" t="n"/>
      <c r="AI201" s="172" t="n"/>
      <c r="AJ201" s="172" t="n"/>
      <c r="AK201" s="172" t="n"/>
      <c r="AL201" s="172" t="n"/>
      <c r="AM201" s="172" t="n"/>
    </row>
    <row r="202">
      <c r="C202" s="18" t="n"/>
      <c r="D202" s="11" t="n"/>
      <c r="G202" s="11" t="n"/>
      <c r="I202" s="11" t="n"/>
      <c r="J202" s="11" t="n"/>
      <c r="K202" s="11" t="n"/>
      <c r="R202" s="172" t="n"/>
      <c r="S202" s="172" t="n"/>
      <c r="T202" s="172" t="n"/>
      <c r="U202" s="172" t="n"/>
      <c r="V202" s="172" t="n"/>
      <c r="W202" s="172" t="n"/>
      <c r="X202" s="172" t="n"/>
      <c r="Y202" s="173" t="n"/>
      <c r="Z202" s="174" t="n"/>
      <c r="AB202" s="172" t="n"/>
      <c r="AC202" s="172" t="n"/>
      <c r="AD202" s="172" t="n"/>
      <c r="AE202" s="172" t="n"/>
      <c r="AG202" s="172" t="n"/>
      <c r="AI202" s="172" t="n"/>
      <c r="AJ202" s="172" t="n"/>
      <c r="AK202" s="172" t="n"/>
      <c r="AL202" s="172" t="n"/>
      <c r="AM202" s="172" t="n"/>
    </row>
    <row r="203">
      <c r="C203" s="18" t="n"/>
      <c r="D203" s="11" t="n"/>
      <c r="G203" s="11" t="n"/>
      <c r="I203" s="11" t="n"/>
      <c r="J203" s="11" t="n"/>
      <c r="K203" s="11" t="n"/>
      <c r="R203" s="172" t="n"/>
      <c r="S203" s="172" t="n"/>
      <c r="T203" s="172" t="n"/>
      <c r="U203" s="172" t="n"/>
      <c r="V203" s="172" t="n"/>
      <c r="W203" s="172" t="n"/>
      <c r="X203" s="172" t="n"/>
      <c r="Y203" s="173" t="n"/>
      <c r="Z203" s="174" t="n"/>
      <c r="AB203" s="172" t="n"/>
      <c r="AC203" s="172" t="n"/>
      <c r="AD203" s="172" t="n"/>
      <c r="AE203" s="172" t="n"/>
      <c r="AG203" s="172" t="n"/>
      <c r="AI203" s="172" t="n"/>
      <c r="AJ203" s="172" t="n"/>
      <c r="AK203" s="172" t="n"/>
      <c r="AL203" s="172" t="n"/>
      <c r="AM203" s="172" t="n"/>
    </row>
    <row r="204">
      <c r="C204" s="18" t="n"/>
      <c r="D204" s="11" t="n"/>
      <c r="G204" s="11" t="n"/>
      <c r="I204" s="11" t="n"/>
      <c r="J204" s="11" t="n"/>
      <c r="K204" s="11" t="n"/>
      <c r="R204" s="172" t="n"/>
      <c r="S204" s="172" t="n"/>
      <c r="T204" s="172" t="n"/>
      <c r="U204" s="172" t="n"/>
      <c r="V204" s="172" t="n"/>
      <c r="W204" s="172" t="n"/>
      <c r="X204" s="172" t="n"/>
      <c r="Y204" s="173" t="n"/>
      <c r="Z204" s="174" t="n"/>
      <c r="AB204" s="172" t="n"/>
      <c r="AC204" s="172" t="n"/>
      <c r="AD204" s="172" t="n"/>
      <c r="AE204" s="172" t="n"/>
      <c r="AG204" s="172" t="n"/>
      <c r="AI204" s="172" t="n"/>
      <c r="AJ204" s="172" t="n"/>
      <c r="AK204" s="172" t="n"/>
      <c r="AL204" s="172" t="n"/>
      <c r="AM204" s="172" t="n"/>
    </row>
    <row r="205">
      <c r="C205" s="18" t="n"/>
      <c r="D205" s="11" t="n"/>
      <c r="G205" s="11" t="n"/>
      <c r="I205" s="11" t="n"/>
      <c r="J205" s="11" t="n"/>
      <c r="K205" s="11" t="n"/>
      <c r="R205" s="172" t="n"/>
      <c r="S205" s="172" t="n"/>
      <c r="T205" s="172" t="n"/>
      <c r="U205" s="172" t="n"/>
      <c r="V205" s="172" t="n"/>
      <c r="W205" s="172" t="n"/>
      <c r="X205" s="172" t="n"/>
      <c r="Y205" s="173" t="n"/>
      <c r="Z205" s="174" t="n"/>
      <c r="AB205" s="172" t="n"/>
      <c r="AC205" s="172" t="n"/>
      <c r="AD205" s="172" t="n"/>
      <c r="AE205" s="172" t="n"/>
      <c r="AG205" s="172" t="n"/>
      <c r="AI205" s="172" t="n"/>
      <c r="AJ205" s="172" t="n"/>
      <c r="AK205" s="172" t="n"/>
      <c r="AL205" s="172" t="n"/>
      <c r="AM205" s="172" t="n"/>
    </row>
    <row r="206">
      <c r="C206" s="18" t="n"/>
      <c r="D206" s="11" t="n"/>
      <c r="G206" s="11" t="n"/>
      <c r="I206" s="11" t="n"/>
      <c r="J206" s="11" t="n"/>
      <c r="K206" s="11" t="n"/>
      <c r="R206" s="172" t="n"/>
      <c r="S206" s="172" t="n"/>
      <c r="T206" s="172" t="n"/>
      <c r="U206" s="172" t="n"/>
      <c r="V206" s="172" t="n"/>
      <c r="W206" s="172" t="n"/>
      <c r="X206" s="172" t="n"/>
      <c r="Y206" s="173" t="n"/>
      <c r="Z206" s="174" t="n"/>
      <c r="AB206" s="172" t="n"/>
      <c r="AC206" s="172" t="n"/>
      <c r="AD206" s="172" t="n"/>
      <c r="AE206" s="172" t="n"/>
      <c r="AG206" s="172" t="n"/>
      <c r="AI206" s="172" t="n"/>
      <c r="AJ206" s="172" t="n"/>
      <c r="AK206" s="172" t="n"/>
      <c r="AL206" s="172" t="n"/>
      <c r="AM206" s="172" t="n"/>
    </row>
    <row r="207">
      <c r="C207" s="18" t="n"/>
      <c r="D207" s="11" t="n"/>
      <c r="G207" s="11" t="n"/>
      <c r="I207" s="11" t="n"/>
      <c r="J207" s="11" t="n"/>
      <c r="K207" s="11" t="n"/>
      <c r="R207" s="172" t="n"/>
      <c r="S207" s="172" t="n"/>
      <c r="T207" s="172" t="n"/>
      <c r="U207" s="172" t="n"/>
      <c r="V207" s="172" t="n"/>
      <c r="W207" s="172" t="n"/>
      <c r="X207" s="172" t="n"/>
      <c r="Y207" s="173" t="n"/>
      <c r="Z207" s="174" t="n"/>
      <c r="AB207" s="172" t="n"/>
      <c r="AC207" s="172" t="n"/>
      <c r="AD207" s="172" t="n"/>
      <c r="AE207" s="172" t="n"/>
      <c r="AG207" s="172" t="n"/>
      <c r="AI207" s="172" t="n"/>
      <c r="AJ207" s="172" t="n"/>
      <c r="AK207" s="172" t="n"/>
      <c r="AL207" s="172" t="n"/>
      <c r="AM207" s="172" t="n"/>
    </row>
    <row r="208">
      <c r="C208" s="18" t="n"/>
      <c r="D208" s="11" t="n"/>
      <c r="G208" s="11" t="n"/>
      <c r="I208" s="11" t="n"/>
      <c r="J208" s="11" t="n"/>
      <c r="K208" s="11" t="n"/>
      <c r="R208" s="172" t="n"/>
      <c r="S208" s="172" t="n"/>
      <c r="T208" s="172" t="n"/>
      <c r="U208" s="172" t="n"/>
      <c r="V208" s="172" t="n"/>
      <c r="W208" s="172" t="n"/>
      <c r="X208" s="172" t="n"/>
      <c r="Y208" s="173" t="n"/>
      <c r="Z208" s="174" t="n"/>
      <c r="AB208" s="172" t="n"/>
      <c r="AC208" s="172" t="n"/>
      <c r="AD208" s="172" t="n"/>
      <c r="AE208" s="172" t="n"/>
      <c r="AG208" s="172" t="n"/>
      <c r="AI208" s="172" t="n"/>
      <c r="AJ208" s="172" t="n"/>
      <c r="AK208" s="172" t="n"/>
      <c r="AL208" s="172" t="n"/>
      <c r="AM208" s="172" t="n"/>
    </row>
    <row r="209">
      <c r="C209" s="18" t="n"/>
      <c r="D209" s="11" t="n"/>
      <c r="G209" s="11" t="n"/>
      <c r="I209" s="11" t="n"/>
      <c r="J209" s="11" t="n"/>
      <c r="K209" s="11" t="n"/>
      <c r="R209" s="172" t="n"/>
      <c r="S209" s="172" t="n"/>
      <c r="T209" s="172" t="n"/>
      <c r="U209" s="172" t="n"/>
      <c r="V209" s="172" t="n"/>
      <c r="W209" s="172" t="n"/>
      <c r="X209" s="172" t="n"/>
      <c r="Y209" s="173" t="n"/>
      <c r="Z209" s="174" t="n"/>
      <c r="AB209" s="172" t="n"/>
      <c r="AC209" s="172" t="n"/>
      <c r="AD209" s="172" t="n"/>
      <c r="AE209" s="172" t="n"/>
      <c r="AG209" s="172" t="n"/>
      <c r="AI209" s="172" t="n"/>
      <c r="AJ209" s="172" t="n"/>
      <c r="AK209" s="172" t="n"/>
      <c r="AL209" s="172" t="n"/>
      <c r="AM209" s="172" t="n"/>
    </row>
    <row r="210">
      <c r="C210" s="18" t="n"/>
      <c r="D210" s="11" t="n"/>
      <c r="G210" s="11" t="n"/>
      <c r="I210" s="11" t="n"/>
      <c r="J210" s="11" t="n"/>
      <c r="K210" s="11" t="n"/>
      <c r="R210" s="172" t="n"/>
      <c r="S210" s="172" t="n"/>
      <c r="T210" s="172" t="n"/>
      <c r="U210" s="172" t="n"/>
      <c r="V210" s="172" t="n"/>
      <c r="W210" s="172" t="n"/>
      <c r="X210" s="172" t="n"/>
      <c r="Y210" s="173" t="n"/>
      <c r="Z210" s="174" t="n"/>
      <c r="AB210" s="172" t="n"/>
      <c r="AC210" s="172" t="n"/>
      <c r="AD210" s="172" t="n"/>
      <c r="AE210" s="172" t="n"/>
      <c r="AG210" s="172" t="n"/>
      <c r="AI210" s="172" t="n"/>
      <c r="AJ210" s="172" t="n"/>
      <c r="AK210" s="172" t="n"/>
      <c r="AL210" s="172" t="n"/>
      <c r="AM210" s="172" t="n"/>
    </row>
    <row r="211">
      <c r="C211" s="18" t="n"/>
      <c r="D211" s="11" t="n"/>
      <c r="G211" s="11" t="n"/>
      <c r="I211" s="11" t="n"/>
      <c r="J211" s="11" t="n"/>
      <c r="K211" s="11" t="n"/>
      <c r="R211" s="172" t="n"/>
      <c r="S211" s="172" t="n"/>
      <c r="T211" s="172" t="n"/>
      <c r="U211" s="172" t="n"/>
      <c r="V211" s="172" t="n"/>
      <c r="W211" s="172" t="n"/>
      <c r="X211" s="172" t="n"/>
      <c r="Y211" s="173" t="n"/>
      <c r="Z211" s="174" t="n"/>
      <c r="AB211" s="172" t="n"/>
      <c r="AC211" s="172" t="n"/>
      <c r="AD211" s="172" t="n"/>
      <c r="AE211" s="172" t="n"/>
      <c r="AG211" s="172" t="n"/>
      <c r="AI211" s="172" t="n"/>
      <c r="AJ211" s="172" t="n"/>
      <c r="AK211" s="172" t="n"/>
      <c r="AL211" s="172" t="n"/>
      <c r="AM211" s="172" t="n"/>
    </row>
    <row r="212">
      <c r="C212" s="18" t="n"/>
      <c r="D212" s="11" t="n"/>
      <c r="G212" s="11" t="n"/>
      <c r="I212" s="11" t="n"/>
      <c r="J212" s="11" t="n"/>
      <c r="K212" s="11" t="n"/>
      <c r="R212" s="172" t="n"/>
      <c r="S212" s="172" t="n"/>
      <c r="T212" s="172" t="n"/>
      <c r="U212" s="172" t="n"/>
      <c r="V212" s="172" t="n"/>
      <c r="W212" s="172" t="n"/>
      <c r="X212" s="172" t="n"/>
      <c r="Y212" s="173" t="n"/>
      <c r="Z212" s="174" t="n"/>
      <c r="AB212" s="172" t="n"/>
      <c r="AC212" s="172" t="n"/>
      <c r="AD212" s="172" t="n"/>
      <c r="AE212" s="172" t="n"/>
      <c r="AG212" s="172" t="n"/>
      <c r="AI212" s="172" t="n"/>
      <c r="AJ212" s="172" t="n"/>
      <c r="AK212" s="172" t="n"/>
      <c r="AL212" s="172" t="n"/>
      <c r="AM212" s="172" t="n"/>
    </row>
    <row r="213">
      <c r="C213" s="18" t="n"/>
      <c r="D213" s="11" t="n"/>
      <c r="G213" s="11" t="n"/>
      <c r="I213" s="11" t="n"/>
      <c r="J213" s="11" t="n"/>
      <c r="K213" s="11" t="n"/>
      <c r="R213" s="172" t="n"/>
      <c r="S213" s="172" t="n"/>
      <c r="T213" s="172" t="n"/>
      <c r="U213" s="172" t="n"/>
      <c r="V213" s="172" t="n"/>
      <c r="W213" s="172" t="n"/>
      <c r="X213" s="172" t="n"/>
      <c r="Y213" s="173" t="n"/>
      <c r="Z213" s="174" t="n"/>
      <c r="AB213" s="172" t="n"/>
      <c r="AC213" s="172" t="n"/>
      <c r="AD213" s="172" t="n"/>
      <c r="AE213" s="172" t="n"/>
      <c r="AG213" s="172" t="n"/>
      <c r="AI213" s="172" t="n"/>
      <c r="AJ213" s="172" t="n"/>
      <c r="AK213" s="172" t="n"/>
      <c r="AL213" s="172" t="n"/>
      <c r="AM213" s="172" t="n"/>
    </row>
    <row r="214">
      <c r="C214" s="18" t="n"/>
      <c r="D214" s="11" t="n"/>
      <c r="G214" s="11" t="n"/>
      <c r="I214" s="11" t="n"/>
      <c r="J214" s="11" t="n"/>
      <c r="K214" s="11" t="n"/>
      <c r="R214" s="172" t="n"/>
      <c r="S214" s="172" t="n"/>
      <c r="T214" s="172" t="n"/>
      <c r="U214" s="172" t="n"/>
      <c r="V214" s="172" t="n"/>
      <c r="W214" s="172" t="n"/>
      <c r="X214" s="172" t="n"/>
      <c r="Y214" s="173" t="n"/>
      <c r="Z214" s="174" t="n"/>
      <c r="AB214" s="172" t="n"/>
      <c r="AC214" s="172" t="n"/>
      <c r="AD214" s="172" t="n"/>
      <c r="AE214" s="172" t="n"/>
      <c r="AG214" s="172" t="n"/>
      <c r="AI214" s="172" t="n"/>
      <c r="AJ214" s="172" t="n"/>
      <c r="AK214" s="172" t="n"/>
      <c r="AL214" s="172" t="n"/>
      <c r="AM214" s="172" t="n"/>
    </row>
    <row r="215">
      <c r="C215" s="18" t="n"/>
      <c r="D215" s="11" t="n"/>
      <c r="G215" s="11" t="n"/>
      <c r="I215" s="11" t="n"/>
      <c r="J215" s="11" t="n"/>
      <c r="K215" s="11" t="n"/>
      <c r="R215" s="172" t="n"/>
      <c r="S215" s="172" t="n"/>
      <c r="T215" s="172" t="n"/>
      <c r="U215" s="172" t="n"/>
      <c r="V215" s="172" t="n"/>
      <c r="W215" s="172" t="n"/>
      <c r="X215" s="172" t="n"/>
      <c r="Y215" s="173" t="n"/>
      <c r="Z215" s="174" t="n"/>
      <c r="AB215" s="172" t="n"/>
      <c r="AC215" s="172" t="n"/>
      <c r="AD215" s="172" t="n"/>
      <c r="AE215" s="172" t="n"/>
      <c r="AG215" s="172" t="n"/>
      <c r="AI215" s="172" t="n"/>
      <c r="AJ215" s="172" t="n"/>
      <c r="AK215" s="172" t="n"/>
      <c r="AL215" s="172" t="n"/>
      <c r="AM215" s="172" t="n"/>
    </row>
    <row r="216">
      <c r="C216" s="18" t="n"/>
      <c r="D216" s="11" t="n"/>
      <c r="G216" s="11" t="n"/>
      <c r="I216" s="11" t="n"/>
      <c r="J216" s="11" t="n"/>
      <c r="K216" s="11" t="n"/>
      <c r="R216" s="172" t="n"/>
      <c r="S216" s="172" t="n"/>
      <c r="T216" s="172" t="n"/>
      <c r="U216" s="172" t="n"/>
      <c r="V216" s="172" t="n"/>
      <c r="W216" s="172" t="n"/>
      <c r="X216" s="172" t="n"/>
      <c r="Y216" s="173" t="n"/>
      <c r="Z216" s="174" t="n"/>
      <c r="AB216" s="172" t="n"/>
      <c r="AC216" s="172" t="n"/>
      <c r="AD216" s="172" t="n"/>
      <c r="AE216" s="172" t="n"/>
      <c r="AG216" s="172" t="n"/>
      <c r="AI216" s="172" t="n"/>
      <c r="AJ216" s="172" t="n"/>
      <c r="AK216" s="172" t="n"/>
      <c r="AL216" s="172" t="n"/>
      <c r="AM216" s="172" t="n"/>
    </row>
    <row r="217">
      <c r="C217" s="18" t="n"/>
      <c r="D217" s="11" t="n"/>
      <c r="G217" s="11" t="n"/>
      <c r="I217" s="11" t="n"/>
      <c r="J217" s="11" t="n"/>
      <c r="K217" s="11" t="n"/>
      <c r="R217" s="172" t="n"/>
      <c r="S217" s="172" t="n"/>
      <c r="T217" s="172" t="n"/>
      <c r="U217" s="172" t="n"/>
      <c r="V217" s="172" t="n"/>
      <c r="W217" s="172" t="n"/>
      <c r="X217" s="172" t="n"/>
      <c r="Y217" s="173" t="n"/>
      <c r="Z217" s="174" t="n"/>
      <c r="AB217" s="172" t="n"/>
      <c r="AC217" s="172" t="n"/>
      <c r="AD217" s="172" t="n"/>
      <c r="AE217" s="172" t="n"/>
      <c r="AG217" s="172" t="n"/>
      <c r="AI217" s="172" t="n"/>
      <c r="AJ217" s="172" t="n"/>
      <c r="AK217" s="172" t="n"/>
      <c r="AL217" s="172" t="n"/>
      <c r="AM217" s="172" t="n"/>
    </row>
    <row r="218">
      <c r="C218" s="18" t="n"/>
      <c r="D218" s="11" t="n"/>
      <c r="G218" s="11" t="n"/>
      <c r="I218" s="11" t="n"/>
      <c r="J218" s="11" t="n"/>
      <c r="K218" s="11" t="n"/>
      <c r="R218" s="172" t="n"/>
      <c r="S218" s="172" t="n"/>
      <c r="T218" s="172" t="n"/>
      <c r="U218" s="172" t="n"/>
      <c r="V218" s="172" t="n"/>
      <c r="W218" s="172" t="n"/>
      <c r="X218" s="172" t="n"/>
      <c r="Y218" s="173" t="n"/>
      <c r="Z218" s="174" t="n"/>
      <c r="AB218" s="172" t="n"/>
      <c r="AC218" s="172" t="n"/>
      <c r="AD218" s="172" t="n"/>
      <c r="AE218" s="172" t="n"/>
      <c r="AG218" s="172" t="n"/>
      <c r="AI218" s="172" t="n"/>
      <c r="AJ218" s="172" t="n"/>
      <c r="AK218" s="172" t="n"/>
      <c r="AL218" s="172" t="n"/>
      <c r="AM218" s="172" t="n"/>
    </row>
    <row r="219">
      <c r="C219" s="18" t="n"/>
      <c r="D219" s="11" t="n"/>
      <c r="G219" s="11" t="n"/>
      <c r="I219" s="11" t="n"/>
      <c r="J219" s="11" t="n"/>
      <c r="K219" s="11" t="n"/>
      <c r="R219" s="172" t="n"/>
      <c r="S219" s="172" t="n"/>
      <c r="T219" s="172" t="n"/>
      <c r="U219" s="172" t="n"/>
      <c r="V219" s="172" t="n"/>
      <c r="W219" s="172" t="n"/>
      <c r="X219" s="172" t="n"/>
      <c r="Y219" s="173" t="n"/>
      <c r="Z219" s="174" t="n"/>
      <c r="AB219" s="172" t="n"/>
      <c r="AC219" s="172" t="n"/>
      <c r="AD219" s="172" t="n"/>
      <c r="AE219" s="172" t="n"/>
      <c r="AG219" s="172" t="n"/>
      <c r="AI219" s="172" t="n"/>
      <c r="AJ219" s="172" t="n"/>
      <c r="AK219" s="172" t="n"/>
      <c r="AL219" s="172" t="n"/>
      <c r="AM219" s="172" t="n"/>
    </row>
    <row r="220">
      <c r="C220" s="18" t="n"/>
      <c r="D220" s="11" t="n"/>
      <c r="G220" s="11" t="n"/>
      <c r="I220" s="11" t="n"/>
      <c r="J220" s="11" t="n"/>
      <c r="K220" s="11" t="n"/>
      <c r="R220" s="172" t="n"/>
      <c r="S220" s="172" t="n"/>
      <c r="T220" s="172" t="n"/>
      <c r="U220" s="172" t="n"/>
      <c r="V220" s="172" t="n"/>
      <c r="W220" s="172" t="n"/>
      <c r="X220" s="172" t="n"/>
      <c r="Y220" s="173" t="n"/>
      <c r="Z220" s="174" t="n"/>
      <c r="AB220" s="172" t="n"/>
      <c r="AC220" s="172" t="n"/>
      <c r="AD220" s="172" t="n"/>
      <c r="AE220" s="172" t="n"/>
      <c r="AG220" s="172" t="n"/>
      <c r="AI220" s="172" t="n"/>
      <c r="AJ220" s="172" t="n"/>
      <c r="AK220" s="172" t="n"/>
      <c r="AL220" s="172" t="n"/>
      <c r="AM220" s="172" t="n"/>
    </row>
    <row r="221">
      <c r="C221" s="18" t="n"/>
      <c r="D221" s="11" t="n"/>
      <c r="G221" s="11" t="n"/>
      <c r="I221" s="11" t="n"/>
      <c r="J221" s="11" t="n"/>
      <c r="K221" s="11" t="n"/>
      <c r="R221" s="172" t="n"/>
      <c r="S221" s="172" t="n"/>
      <c r="T221" s="172" t="n"/>
      <c r="U221" s="172" t="n"/>
      <c r="V221" s="172" t="n"/>
      <c r="W221" s="172" t="n"/>
      <c r="X221" s="172" t="n"/>
      <c r="Y221" s="173" t="n"/>
      <c r="Z221" s="174" t="n"/>
      <c r="AB221" s="172" t="n"/>
      <c r="AC221" s="172" t="n"/>
      <c r="AD221" s="172" t="n"/>
      <c r="AE221" s="172" t="n"/>
      <c r="AG221" s="172" t="n"/>
      <c r="AI221" s="172" t="n"/>
      <c r="AJ221" s="172" t="n"/>
      <c r="AK221" s="172" t="n"/>
      <c r="AL221" s="172" t="n"/>
      <c r="AM221" s="172" t="n"/>
    </row>
    <row r="222">
      <c r="C222" s="18" t="n"/>
      <c r="D222" s="11" t="n"/>
      <c r="G222" s="11" t="n"/>
      <c r="I222" s="11" t="n"/>
      <c r="J222" s="11" t="n"/>
      <c r="K222" s="11" t="n"/>
      <c r="R222" s="172" t="n"/>
      <c r="S222" s="172" t="n"/>
      <c r="T222" s="172" t="n"/>
      <c r="U222" s="172" t="n"/>
      <c r="V222" s="172" t="n"/>
      <c r="W222" s="172" t="n"/>
      <c r="X222" s="172" t="n"/>
      <c r="Y222" s="173" t="n"/>
      <c r="Z222" s="174" t="n"/>
      <c r="AB222" s="172" t="n"/>
      <c r="AC222" s="172" t="n"/>
      <c r="AD222" s="172" t="n"/>
      <c r="AE222" s="172" t="n"/>
      <c r="AG222" s="172" t="n"/>
      <c r="AI222" s="172" t="n"/>
      <c r="AJ222" s="172" t="n"/>
      <c r="AK222" s="172" t="n"/>
      <c r="AL222" s="172" t="n"/>
      <c r="AM222" s="172" t="n"/>
    </row>
    <row r="223">
      <c r="C223" s="18" t="n"/>
      <c r="D223" s="11" t="n"/>
      <c r="G223" s="11" t="n"/>
      <c r="I223" s="11" t="n"/>
      <c r="J223" s="11" t="n"/>
      <c r="K223" s="11" t="n"/>
      <c r="R223" s="172" t="n"/>
      <c r="S223" s="172" t="n"/>
      <c r="T223" s="172" t="n"/>
      <c r="U223" s="172" t="n"/>
      <c r="V223" s="172" t="n"/>
      <c r="W223" s="172" t="n"/>
      <c r="X223" s="172" t="n"/>
      <c r="Y223" s="173" t="n"/>
      <c r="Z223" s="174" t="n"/>
      <c r="AB223" s="172" t="n"/>
      <c r="AC223" s="172" t="n"/>
      <c r="AD223" s="172" t="n"/>
      <c r="AE223" s="172" t="n"/>
      <c r="AG223" s="172" t="n"/>
      <c r="AI223" s="172" t="n"/>
      <c r="AJ223" s="172" t="n"/>
      <c r="AK223" s="172" t="n"/>
      <c r="AL223" s="172" t="n"/>
      <c r="AM223" s="172" t="n"/>
    </row>
    <row r="224">
      <c r="C224" s="18" t="n"/>
      <c r="D224" s="11" t="n"/>
      <c r="G224" s="11" t="n"/>
      <c r="I224" s="11" t="n"/>
      <c r="J224" s="11" t="n"/>
      <c r="K224" s="11" t="n"/>
      <c r="R224" s="172" t="n"/>
      <c r="S224" s="172" t="n"/>
      <c r="T224" s="172" t="n"/>
      <c r="U224" s="172" t="n"/>
      <c r="V224" s="172" t="n"/>
      <c r="W224" s="172" t="n"/>
      <c r="X224" s="172" t="n"/>
      <c r="Y224" s="173" t="n"/>
      <c r="Z224" s="174" t="n"/>
      <c r="AB224" s="172" t="n"/>
      <c r="AC224" s="172" t="n"/>
      <c r="AD224" s="172" t="n"/>
      <c r="AE224" s="172" t="n"/>
      <c r="AG224" s="172" t="n"/>
      <c r="AI224" s="172" t="n"/>
      <c r="AJ224" s="172" t="n"/>
      <c r="AK224" s="172" t="n"/>
      <c r="AL224" s="172" t="n"/>
      <c r="AM224" s="172" t="n"/>
    </row>
    <row r="225">
      <c r="C225" s="18" t="n"/>
      <c r="D225" s="11" t="n"/>
      <c r="G225" s="11" t="n"/>
      <c r="I225" s="11" t="n"/>
      <c r="J225" s="11" t="n"/>
      <c r="K225" s="11" t="n"/>
      <c r="R225" s="172" t="n"/>
      <c r="S225" s="172" t="n"/>
      <c r="T225" s="172" t="n"/>
      <c r="U225" s="172" t="n"/>
      <c r="V225" s="172" t="n"/>
      <c r="W225" s="172" t="n"/>
      <c r="X225" s="172" t="n"/>
      <c r="Y225" s="173" t="n"/>
      <c r="Z225" s="174" t="n"/>
      <c r="AB225" s="172" t="n"/>
      <c r="AC225" s="172" t="n"/>
      <c r="AD225" s="172" t="n"/>
      <c r="AE225" s="172" t="n"/>
      <c r="AG225" s="172" t="n"/>
      <c r="AI225" s="172" t="n"/>
      <c r="AJ225" s="172" t="n"/>
      <c r="AK225" s="172" t="n"/>
      <c r="AL225" s="172" t="n"/>
      <c r="AM225" s="172" t="n"/>
      <c r="AO225" s="175" t="n"/>
    </row>
    <row r="226">
      <c r="C226" s="18" t="n"/>
      <c r="D226" s="11" t="n"/>
      <c r="G226" s="11" t="n"/>
      <c r="I226" s="11" t="n"/>
      <c r="J226" s="11" t="n"/>
      <c r="K226" s="11" t="n"/>
      <c r="R226" s="172" t="n"/>
      <c r="S226" s="172" t="n"/>
      <c r="T226" s="172" t="n"/>
      <c r="U226" s="172" t="n"/>
      <c r="V226" s="172" t="n"/>
      <c r="W226" s="172" t="n"/>
      <c r="X226" s="172" t="n"/>
      <c r="Y226" s="173" t="n"/>
      <c r="Z226" s="174" t="n"/>
      <c r="AB226" s="172" t="n"/>
      <c r="AC226" s="172" t="n"/>
      <c r="AD226" s="172" t="n"/>
      <c r="AE226" s="172" t="n"/>
      <c r="AG226" s="172" t="n"/>
      <c r="AI226" s="172" t="n"/>
      <c r="AJ226" s="172" t="n"/>
      <c r="AK226" s="172" t="n"/>
      <c r="AL226" s="172" t="n"/>
      <c r="AM226" s="172" t="n"/>
    </row>
    <row r="227">
      <c r="C227" s="18" t="n"/>
      <c r="D227" s="11" t="n"/>
      <c r="G227" s="11" t="n"/>
      <c r="I227" s="11" t="n"/>
      <c r="J227" s="11" t="n"/>
      <c r="K227" s="11" t="n"/>
      <c r="R227" s="172" t="n"/>
      <c r="S227" s="172" t="n"/>
      <c r="T227" s="172" t="n"/>
      <c r="U227" s="172" t="n"/>
      <c r="V227" s="172" t="n"/>
      <c r="W227" s="172" t="n"/>
      <c r="X227" s="172" t="n"/>
      <c r="Y227" s="173" t="n"/>
      <c r="Z227" s="174" t="n"/>
      <c r="AB227" s="172" t="n"/>
      <c r="AC227" s="172" t="n"/>
      <c r="AD227" s="172" t="n"/>
      <c r="AE227" s="172" t="n"/>
      <c r="AG227" s="172" t="n"/>
      <c r="AI227" s="172" t="n"/>
      <c r="AJ227" s="172" t="n"/>
      <c r="AK227" s="172" t="n"/>
      <c r="AL227" s="172" t="n"/>
      <c r="AM227" s="172" t="n"/>
    </row>
    <row r="228">
      <c r="C228" s="18" t="n"/>
      <c r="D228" s="11" t="n"/>
      <c r="G228" s="11" t="n"/>
      <c r="I228" s="11" t="n"/>
      <c r="J228" s="11" t="n"/>
      <c r="K228" s="11" t="n"/>
      <c r="R228" s="172" t="n"/>
      <c r="S228" s="172" t="n"/>
      <c r="T228" s="172" t="n"/>
      <c r="U228" s="172" t="n"/>
      <c r="V228" s="172" t="n"/>
      <c r="W228" s="172" t="n"/>
      <c r="X228" s="172" t="n"/>
      <c r="Y228" s="173" t="n"/>
      <c r="Z228" s="174" t="n"/>
      <c r="AB228" s="172" t="n"/>
      <c r="AC228" s="172" t="n"/>
      <c r="AD228" s="172" t="n"/>
      <c r="AE228" s="172" t="n"/>
      <c r="AG228" s="172" t="n"/>
      <c r="AI228" s="172" t="n"/>
      <c r="AJ228" s="172" t="n"/>
      <c r="AK228" s="172" t="n"/>
      <c r="AL228" s="172" t="n"/>
      <c r="AM228" s="172" t="n"/>
    </row>
    <row r="229">
      <c r="C229" s="18" t="n"/>
      <c r="D229" s="11" t="n"/>
      <c r="G229" s="11" t="n"/>
      <c r="I229" s="11" t="n"/>
      <c r="J229" s="11" t="n"/>
      <c r="K229" s="11" t="n"/>
      <c r="R229" s="172" t="n"/>
      <c r="S229" s="172" t="n"/>
      <c r="T229" s="172" t="n"/>
      <c r="U229" s="172" t="n"/>
      <c r="V229" s="172" t="n"/>
      <c r="W229" s="172" t="n"/>
      <c r="X229" s="172" t="n"/>
      <c r="Y229" s="173" t="n"/>
      <c r="Z229" s="174" t="n"/>
      <c r="AB229" s="172" t="n"/>
      <c r="AC229" s="172" t="n"/>
      <c r="AD229" s="172" t="n"/>
      <c r="AE229" s="172" t="n"/>
      <c r="AG229" s="172" t="n"/>
      <c r="AI229" s="172" t="n"/>
      <c r="AJ229" s="172" t="n"/>
      <c r="AK229" s="172" t="n"/>
      <c r="AL229" s="172" t="n"/>
      <c r="AM229" s="172" t="n"/>
    </row>
    <row r="230">
      <c r="C230" s="18" t="n"/>
      <c r="D230" s="11" t="n"/>
      <c r="G230" s="11" t="n"/>
      <c r="I230" s="11" t="n"/>
      <c r="J230" s="11" t="n"/>
      <c r="K230" s="11" t="n"/>
      <c r="R230" s="172" t="n"/>
      <c r="S230" s="172" t="n"/>
      <c r="T230" s="172" t="n"/>
      <c r="U230" s="172" t="n"/>
      <c r="V230" s="172" t="n"/>
      <c r="W230" s="172" t="n"/>
      <c r="X230" s="172" t="n"/>
      <c r="Y230" s="173" t="n"/>
      <c r="Z230" s="174" t="n"/>
      <c r="AB230" s="172" t="n"/>
      <c r="AC230" s="172" t="n"/>
      <c r="AD230" s="172" t="n"/>
      <c r="AE230" s="172" t="n"/>
      <c r="AG230" s="172" t="n"/>
      <c r="AI230" s="172" t="n"/>
      <c r="AJ230" s="172" t="n"/>
      <c r="AK230" s="172" t="n"/>
      <c r="AL230" s="172" t="n"/>
      <c r="AM230" s="172" t="n"/>
    </row>
    <row r="231">
      <c r="C231" s="18" t="n"/>
      <c r="D231" s="11" t="n"/>
      <c r="G231" s="11" t="n"/>
      <c r="I231" s="11" t="n"/>
      <c r="J231" s="11" t="n"/>
      <c r="K231" s="11" t="n"/>
      <c r="R231" s="172" t="n"/>
      <c r="S231" s="172" t="n"/>
      <c r="T231" s="172" t="n"/>
      <c r="U231" s="172" t="n"/>
      <c r="V231" s="172" t="n"/>
      <c r="W231" s="172" t="n"/>
      <c r="X231" s="172" t="n"/>
      <c r="Y231" s="173" t="n"/>
      <c r="Z231" s="174" t="n"/>
      <c r="AB231" s="172" t="n"/>
      <c r="AC231" s="172" t="n"/>
      <c r="AD231" s="172" t="n"/>
      <c r="AE231" s="172" t="n"/>
      <c r="AG231" s="172" t="n"/>
      <c r="AI231" s="172" t="n"/>
      <c r="AJ231" s="172" t="n"/>
      <c r="AK231" s="172" t="n"/>
      <c r="AL231" s="172" t="n"/>
      <c r="AM231" s="172" t="n"/>
    </row>
    <row r="232">
      <c r="C232" s="18" t="n"/>
      <c r="D232" s="11" t="n"/>
      <c r="G232" s="11" t="n"/>
      <c r="I232" s="11" t="n"/>
      <c r="J232" s="11" t="n"/>
      <c r="K232" s="11" t="n"/>
      <c r="R232" s="172" t="n"/>
      <c r="S232" s="172" t="n"/>
      <c r="T232" s="172" t="n"/>
      <c r="U232" s="172" t="n"/>
      <c r="V232" s="172" t="n"/>
      <c r="W232" s="172" t="n"/>
      <c r="X232" s="172" t="n"/>
      <c r="Y232" s="173" t="n"/>
      <c r="Z232" s="174" t="n"/>
      <c r="AB232" s="172" t="n"/>
      <c r="AC232" s="172" t="n"/>
      <c r="AD232" s="172" t="n"/>
      <c r="AE232" s="172" t="n"/>
      <c r="AG232" s="172" t="n"/>
      <c r="AI232" s="172" t="n"/>
      <c r="AJ232" s="172" t="n"/>
      <c r="AK232" s="172" t="n"/>
      <c r="AL232" s="172" t="n"/>
      <c r="AM232" s="172" t="n"/>
    </row>
    <row r="233">
      <c r="C233" s="18" t="n"/>
      <c r="D233" s="11" t="n"/>
      <c r="G233" s="11" t="n"/>
      <c r="I233" s="11" t="n"/>
      <c r="J233" s="11" t="n"/>
      <c r="K233" s="11" t="n"/>
      <c r="R233" s="172" t="n"/>
      <c r="S233" s="172" t="n"/>
      <c r="T233" s="172" t="n"/>
      <c r="U233" s="172" t="n"/>
      <c r="V233" s="172" t="n"/>
      <c r="W233" s="172" t="n"/>
      <c r="X233" s="172" t="n"/>
      <c r="Y233" s="173" t="n"/>
      <c r="Z233" s="174" t="n"/>
      <c r="AB233" s="172" t="n"/>
      <c r="AC233" s="172" t="n"/>
      <c r="AD233" s="172" t="n"/>
      <c r="AE233" s="172" t="n"/>
      <c r="AG233" s="172" t="n"/>
      <c r="AI233" s="172" t="n"/>
      <c r="AJ233" s="172" t="n"/>
      <c r="AK233" s="172" t="n"/>
      <c r="AL233" s="172" t="n"/>
      <c r="AM233" s="172" t="n"/>
    </row>
    <row r="234">
      <c r="C234" s="18" t="n"/>
      <c r="D234" s="11" t="n"/>
      <c r="G234" s="11" t="n"/>
      <c r="I234" s="11" t="n"/>
      <c r="J234" s="11" t="n"/>
      <c r="K234" s="11" t="n"/>
      <c r="R234" s="172" t="n"/>
      <c r="S234" s="172" t="n"/>
      <c r="T234" s="172" t="n"/>
      <c r="U234" s="172" t="n"/>
      <c r="V234" s="172" t="n"/>
      <c r="W234" s="172" t="n"/>
      <c r="X234" s="172" t="n"/>
      <c r="Y234" s="173" t="n"/>
      <c r="Z234" s="174" t="n"/>
      <c r="AB234" s="172" t="n"/>
      <c r="AC234" s="172" t="n"/>
      <c r="AD234" s="172" t="n"/>
      <c r="AE234" s="172" t="n"/>
      <c r="AG234" s="172" t="n"/>
      <c r="AI234" s="172" t="n"/>
      <c r="AJ234" s="172" t="n"/>
      <c r="AK234" s="172" t="n"/>
      <c r="AL234" s="172" t="n"/>
      <c r="AM234" s="172" t="n"/>
    </row>
    <row r="235">
      <c r="C235" s="18" t="n"/>
      <c r="D235" s="11" t="n"/>
      <c r="G235" s="11" t="n"/>
      <c r="I235" s="11" t="n"/>
      <c r="J235" s="11" t="n"/>
      <c r="K235" s="11" t="n"/>
      <c r="R235" s="172" t="n"/>
      <c r="S235" s="172" t="n"/>
      <c r="T235" s="172" t="n"/>
      <c r="U235" s="172" t="n"/>
      <c r="V235" s="172" t="n"/>
      <c r="W235" s="172" t="n"/>
      <c r="X235" s="172" t="n"/>
      <c r="Y235" s="173" t="n"/>
      <c r="Z235" s="174" t="n"/>
      <c r="AB235" s="172" t="n"/>
      <c r="AC235" s="172" t="n"/>
      <c r="AD235" s="172" t="n"/>
      <c r="AE235" s="172" t="n"/>
      <c r="AG235" s="172" t="n"/>
      <c r="AI235" s="172" t="n"/>
      <c r="AJ235" s="172" t="n"/>
      <c r="AK235" s="172" t="n"/>
      <c r="AL235" s="172" t="n"/>
      <c r="AM235" s="172" t="n"/>
    </row>
    <row r="236">
      <c r="C236" s="18" t="n"/>
      <c r="D236" s="11" t="n"/>
      <c r="G236" s="11" t="n"/>
      <c r="I236" s="11" t="n"/>
      <c r="J236" s="11" t="n"/>
      <c r="K236" s="11" t="n"/>
      <c r="R236" s="172" t="n"/>
      <c r="S236" s="172" t="n"/>
      <c r="T236" s="172" t="n"/>
      <c r="U236" s="172" t="n"/>
      <c r="V236" s="172" t="n"/>
      <c r="W236" s="172" t="n"/>
      <c r="X236" s="172" t="n"/>
      <c r="Y236" s="173" t="n"/>
      <c r="Z236" s="174" t="n"/>
      <c r="AB236" s="172" t="n"/>
      <c r="AC236" s="172" t="n"/>
      <c r="AD236" s="172" t="n"/>
      <c r="AE236" s="172" t="n"/>
      <c r="AG236" s="172" t="n"/>
      <c r="AI236" s="172" t="n"/>
      <c r="AJ236" s="172" t="n"/>
      <c r="AK236" s="172" t="n"/>
      <c r="AL236" s="172" t="n"/>
      <c r="AM236" s="172" t="n"/>
    </row>
    <row r="237">
      <c r="C237" s="18" t="n"/>
      <c r="D237" s="11" t="n"/>
      <c r="G237" s="11" t="n"/>
      <c r="I237" s="11" t="n"/>
      <c r="J237" s="11" t="n"/>
      <c r="K237" s="11" t="n"/>
      <c r="R237" s="172" t="n"/>
      <c r="S237" s="172" t="n"/>
      <c r="T237" s="172" t="n"/>
      <c r="U237" s="172" t="n"/>
      <c r="V237" s="172" t="n"/>
      <c r="W237" s="172" t="n"/>
      <c r="X237" s="172" t="n"/>
      <c r="Y237" s="173" t="n"/>
      <c r="Z237" s="174" t="n"/>
      <c r="AB237" s="172" t="n"/>
      <c r="AC237" s="172" t="n"/>
      <c r="AD237" s="172" t="n"/>
      <c r="AE237" s="172" t="n"/>
      <c r="AG237" s="172" t="n"/>
      <c r="AI237" s="172" t="n"/>
      <c r="AJ237" s="172" t="n"/>
      <c r="AK237" s="172" t="n"/>
      <c r="AL237" s="172" t="n"/>
      <c r="AM237" s="172" t="n"/>
    </row>
    <row r="238">
      <c r="C238" s="18" t="n"/>
      <c r="D238" s="11" t="n"/>
      <c r="G238" s="11" t="n"/>
      <c r="I238" s="11" t="n"/>
      <c r="J238" s="11" t="n"/>
      <c r="K238" s="11" t="n"/>
      <c r="R238" s="172" t="n"/>
      <c r="S238" s="172" t="n"/>
      <c r="T238" s="172" t="n"/>
      <c r="U238" s="172" t="n"/>
      <c r="V238" s="172" t="n"/>
      <c r="W238" s="172" t="n"/>
      <c r="X238" s="172" t="n"/>
      <c r="Y238" s="173" t="n"/>
      <c r="Z238" s="174" t="n"/>
      <c r="AB238" s="172" t="n"/>
      <c r="AC238" s="172" t="n"/>
      <c r="AD238" s="172" t="n"/>
      <c r="AE238" s="172" t="n"/>
      <c r="AG238" s="172" t="n"/>
      <c r="AI238" s="172" t="n"/>
      <c r="AJ238" s="172" t="n"/>
      <c r="AK238" s="172" t="n"/>
      <c r="AL238" s="172" t="n"/>
      <c r="AM238" s="172" t="n"/>
    </row>
    <row r="239">
      <c r="C239" s="18" t="n"/>
      <c r="D239" s="11" t="n"/>
      <c r="G239" s="11" t="n"/>
      <c r="I239" s="11" t="n"/>
      <c r="J239" s="11" t="n"/>
      <c r="K239" s="11" t="n"/>
      <c r="R239" s="172" t="n"/>
      <c r="S239" s="172" t="n"/>
      <c r="T239" s="172" t="n"/>
      <c r="U239" s="172" t="n"/>
      <c r="V239" s="172" t="n"/>
      <c r="W239" s="172" t="n"/>
      <c r="X239" s="172" t="n"/>
      <c r="Y239" s="173" t="n"/>
      <c r="Z239" s="174" t="n"/>
      <c r="AB239" s="172" t="n"/>
      <c r="AC239" s="172" t="n"/>
      <c r="AD239" s="172" t="n"/>
      <c r="AE239" s="172" t="n"/>
      <c r="AG239" s="172" t="n"/>
      <c r="AI239" s="172" t="n"/>
      <c r="AJ239" s="172" t="n"/>
      <c r="AK239" s="172" t="n"/>
      <c r="AL239" s="172" t="n"/>
      <c r="AM239" s="172" t="n"/>
    </row>
    <row r="240">
      <c r="C240" s="18" t="n"/>
      <c r="D240" s="11" t="n"/>
      <c r="G240" s="11" t="n"/>
      <c r="I240" s="11" t="n"/>
      <c r="J240" s="11" t="n"/>
      <c r="K240" s="11" t="n"/>
      <c r="R240" s="172" t="n"/>
      <c r="S240" s="172" t="n"/>
      <c r="T240" s="172" t="n"/>
      <c r="U240" s="172" t="n"/>
      <c r="V240" s="172" t="n"/>
      <c r="W240" s="172" t="n"/>
      <c r="X240" s="172" t="n"/>
      <c r="Y240" s="173" t="n"/>
      <c r="Z240" s="174" t="n"/>
      <c r="AB240" s="172" t="n"/>
      <c r="AC240" s="172" t="n"/>
      <c r="AD240" s="172" t="n"/>
      <c r="AE240" s="172" t="n"/>
      <c r="AG240" s="172" t="n"/>
      <c r="AI240" s="172" t="n"/>
      <c r="AJ240" s="172" t="n"/>
      <c r="AK240" s="172" t="n"/>
      <c r="AL240" s="172" t="n"/>
      <c r="AM240" s="172" t="n"/>
    </row>
    <row r="241">
      <c r="C241" s="18" t="n"/>
      <c r="D241" s="11" t="n"/>
      <c r="G241" s="11" t="n"/>
      <c r="I241" s="11" t="n"/>
      <c r="J241" s="11" t="n"/>
      <c r="K241" s="11" t="n"/>
      <c r="R241" s="172" t="n"/>
      <c r="S241" s="172" t="n"/>
      <c r="T241" s="172" t="n"/>
      <c r="U241" s="172" t="n"/>
      <c r="V241" s="172" t="n"/>
      <c r="W241" s="172" t="n"/>
      <c r="X241" s="172" t="n"/>
      <c r="Y241" s="173" t="n"/>
      <c r="Z241" s="174" t="n"/>
      <c r="AB241" s="172" t="n"/>
      <c r="AC241" s="172" t="n"/>
      <c r="AD241" s="172" t="n"/>
      <c r="AE241" s="172" t="n"/>
      <c r="AG241" s="172" t="n"/>
      <c r="AI241" s="172" t="n"/>
      <c r="AJ241" s="172" t="n"/>
      <c r="AK241" s="172" t="n"/>
      <c r="AL241" s="172" t="n"/>
      <c r="AM241" s="172" t="n"/>
    </row>
    <row r="242">
      <c r="C242" s="18" t="n"/>
      <c r="D242" s="11" t="n"/>
      <c r="G242" s="11" t="n"/>
      <c r="I242" s="11" t="n"/>
      <c r="J242" s="11" t="n"/>
      <c r="K242" s="11" t="n"/>
      <c r="R242" s="172" t="n"/>
      <c r="S242" s="172" t="n"/>
      <c r="T242" s="172" t="n"/>
      <c r="U242" s="172" t="n"/>
      <c r="V242" s="172" t="n"/>
      <c r="W242" s="172" t="n"/>
      <c r="X242" s="172" t="n"/>
      <c r="Y242" s="173" t="n"/>
      <c r="Z242" s="174" t="n"/>
      <c r="AB242" s="172" t="n"/>
      <c r="AC242" s="172" t="n"/>
      <c r="AD242" s="172" t="n"/>
      <c r="AE242" s="172" t="n"/>
      <c r="AG242" s="172" t="n"/>
      <c r="AI242" s="172" t="n"/>
      <c r="AJ242" s="172" t="n"/>
      <c r="AK242" s="172" t="n"/>
      <c r="AL242" s="172" t="n"/>
      <c r="AM242" s="172" t="n"/>
    </row>
    <row r="243">
      <c r="C243" s="18" t="n"/>
      <c r="D243" s="11" t="n"/>
      <c r="G243" s="11" t="n"/>
      <c r="I243" s="11" t="n"/>
      <c r="J243" s="11" t="n"/>
      <c r="K243" s="11" t="n"/>
      <c r="R243" s="172" t="n"/>
      <c r="S243" s="172" t="n"/>
      <c r="T243" s="172" t="n"/>
      <c r="U243" s="172" t="n"/>
      <c r="V243" s="172" t="n"/>
      <c r="W243" s="172" t="n"/>
      <c r="X243" s="172" t="n"/>
      <c r="Y243" s="173" t="n"/>
      <c r="Z243" s="174" t="n"/>
      <c r="AB243" s="172" t="n"/>
      <c r="AC243" s="172" t="n"/>
      <c r="AD243" s="172" t="n"/>
      <c r="AE243" s="172" t="n"/>
      <c r="AG243" s="172" t="n"/>
      <c r="AI243" s="172" t="n"/>
      <c r="AJ243" s="172" t="n"/>
      <c r="AK243" s="172" t="n"/>
      <c r="AL243" s="172" t="n"/>
      <c r="AM243" s="172" t="n"/>
    </row>
    <row r="244">
      <c r="C244" s="18" t="n"/>
      <c r="D244" s="11" t="n"/>
      <c r="G244" s="11" t="n"/>
      <c r="I244" s="11" t="n"/>
      <c r="J244" s="11" t="n"/>
      <c r="K244" s="11" t="n"/>
      <c r="R244" s="172" t="n"/>
      <c r="S244" s="172" t="n"/>
      <c r="T244" s="172" t="n"/>
      <c r="U244" s="172" t="n"/>
      <c r="V244" s="172" t="n"/>
      <c r="W244" s="172" t="n"/>
      <c r="X244" s="172" t="n"/>
      <c r="Y244" s="173" t="n"/>
      <c r="Z244" s="174" t="n"/>
      <c r="AB244" s="172" t="n"/>
      <c r="AC244" s="172" t="n"/>
      <c r="AD244" s="172" t="n"/>
      <c r="AE244" s="172" t="n"/>
      <c r="AG244" s="172" t="n"/>
      <c r="AI244" s="172" t="n"/>
      <c r="AJ244" s="172" t="n"/>
      <c r="AK244" s="172" t="n"/>
      <c r="AL244" s="172" t="n"/>
      <c r="AM244" s="172" t="n"/>
    </row>
    <row r="245">
      <c r="C245" s="18" t="n"/>
      <c r="D245" s="11" t="n"/>
      <c r="G245" s="11" t="n"/>
      <c r="I245" s="11" t="n"/>
      <c r="J245" s="11" t="n"/>
      <c r="K245" s="11" t="n"/>
      <c r="R245" s="172" t="n"/>
      <c r="S245" s="172" t="n"/>
      <c r="T245" s="172" t="n"/>
      <c r="U245" s="172" t="n"/>
      <c r="V245" s="172" t="n"/>
      <c r="W245" s="172" t="n"/>
      <c r="X245" s="172" t="n"/>
      <c r="Y245" s="173" t="n"/>
      <c r="Z245" s="174" t="n"/>
      <c r="AB245" s="172" t="n"/>
      <c r="AC245" s="172" t="n"/>
      <c r="AD245" s="172" t="n"/>
      <c r="AE245" s="172" t="n"/>
      <c r="AG245" s="172" t="n"/>
      <c r="AI245" s="172" t="n"/>
      <c r="AJ245" s="172" t="n"/>
      <c r="AK245" s="172" t="n"/>
      <c r="AL245" s="172" t="n"/>
      <c r="AM245" s="172" t="n"/>
    </row>
    <row r="246">
      <c r="C246" s="18" t="n"/>
      <c r="D246" s="11" t="n"/>
      <c r="G246" s="11" t="n"/>
      <c r="I246" s="11" t="n"/>
      <c r="J246" s="11" t="n"/>
      <c r="K246" s="11" t="n"/>
      <c r="R246" s="172" t="n"/>
      <c r="S246" s="172" t="n"/>
      <c r="T246" s="172" t="n"/>
      <c r="U246" s="172" t="n"/>
      <c r="V246" s="172" t="n"/>
      <c r="W246" s="172" t="n"/>
      <c r="X246" s="172" t="n"/>
      <c r="Y246" s="173" t="n"/>
      <c r="Z246" s="174" t="n"/>
      <c r="AB246" s="172" t="n"/>
      <c r="AC246" s="172" t="n"/>
      <c r="AD246" s="172" t="n"/>
      <c r="AE246" s="172" t="n"/>
      <c r="AG246" s="172" t="n"/>
      <c r="AI246" s="172" t="n"/>
      <c r="AJ246" s="172" t="n"/>
      <c r="AK246" s="172" t="n"/>
      <c r="AL246" s="172" t="n"/>
      <c r="AM246" s="172" t="n"/>
    </row>
    <row r="247">
      <c r="C247" s="18" t="n"/>
      <c r="D247" s="11" t="n"/>
      <c r="G247" s="11" t="n"/>
      <c r="I247" s="11" t="n"/>
      <c r="J247" s="11" t="n"/>
      <c r="K247" s="11" t="n"/>
      <c r="R247" s="172" t="n"/>
      <c r="S247" s="172" t="n"/>
      <c r="T247" s="172" t="n"/>
      <c r="U247" s="172" t="n"/>
      <c r="V247" s="172" t="n"/>
      <c r="W247" s="172" t="n"/>
      <c r="X247" s="172" t="n"/>
      <c r="Y247" s="173" t="n"/>
      <c r="Z247" s="174" t="n"/>
      <c r="AB247" s="172" t="n"/>
      <c r="AC247" s="172" t="n"/>
      <c r="AD247" s="172" t="n"/>
      <c r="AE247" s="172" t="n"/>
      <c r="AG247" s="172" t="n"/>
      <c r="AI247" s="172" t="n"/>
      <c r="AJ247" s="172" t="n"/>
      <c r="AK247" s="172" t="n"/>
      <c r="AL247" s="172" t="n"/>
      <c r="AM247" s="172" t="n"/>
    </row>
    <row r="248">
      <c r="C248" s="18" t="n"/>
      <c r="D248" s="11" t="n"/>
      <c r="G248" s="11" t="n"/>
      <c r="I248" s="11" t="n"/>
      <c r="J248" s="11" t="n"/>
      <c r="K248" s="11" t="n"/>
      <c r="R248" s="172" t="n"/>
      <c r="S248" s="172" t="n"/>
      <c r="T248" s="172" t="n"/>
      <c r="U248" s="172" t="n"/>
      <c r="V248" s="172" t="n"/>
      <c r="W248" s="172" t="n"/>
      <c r="X248" s="172" t="n"/>
      <c r="Y248" s="173" t="n"/>
      <c r="Z248" s="174" t="n"/>
      <c r="AB248" s="172" t="n"/>
      <c r="AC248" s="172" t="n"/>
      <c r="AD248" s="172" t="n"/>
      <c r="AE248" s="172" t="n"/>
      <c r="AG248" s="172" t="n"/>
      <c r="AI248" s="172" t="n"/>
      <c r="AJ248" s="172" t="n"/>
      <c r="AK248" s="172" t="n"/>
      <c r="AL248" s="172" t="n"/>
      <c r="AM248" s="172" t="n"/>
    </row>
    <row r="249">
      <c r="C249" s="18" t="n"/>
      <c r="D249" s="11" t="n"/>
      <c r="G249" s="11" t="n"/>
      <c r="I249" s="11" t="n"/>
      <c r="J249" s="11" t="n"/>
      <c r="K249" s="11" t="n"/>
      <c r="R249" s="172" t="n"/>
      <c r="S249" s="172" t="n"/>
      <c r="T249" s="172" t="n"/>
      <c r="U249" s="172" t="n"/>
      <c r="V249" s="172" t="n"/>
      <c r="W249" s="172" t="n"/>
      <c r="X249" s="172" t="n"/>
      <c r="Y249" s="173" t="n"/>
      <c r="Z249" s="174" t="n"/>
      <c r="AB249" s="172" t="n"/>
      <c r="AC249" s="172" t="n"/>
      <c r="AD249" s="172" t="n"/>
      <c r="AE249" s="172" t="n"/>
      <c r="AG249" s="172" t="n"/>
      <c r="AI249" s="172" t="n"/>
      <c r="AJ249" s="172" t="n"/>
      <c r="AK249" s="172" t="n"/>
      <c r="AL249" s="172" t="n"/>
      <c r="AM249" s="172" t="n"/>
    </row>
    <row r="250">
      <c r="C250" s="18" t="n"/>
      <c r="D250" s="11" t="n"/>
      <c r="G250" s="11" t="n"/>
      <c r="I250" s="11" t="n"/>
      <c r="J250" s="11" t="n"/>
      <c r="K250" s="11" t="n"/>
      <c r="R250" s="172" t="n"/>
      <c r="S250" s="172" t="n"/>
      <c r="T250" s="172" t="n"/>
      <c r="U250" s="172" t="n"/>
      <c r="V250" s="172" t="n"/>
      <c r="W250" s="172" t="n"/>
      <c r="X250" s="172" t="n"/>
      <c r="Y250" s="173" t="n"/>
      <c r="Z250" s="174" t="n"/>
      <c r="AB250" s="172" t="n"/>
      <c r="AC250" s="172" t="n"/>
      <c r="AD250" s="172" t="n"/>
      <c r="AE250" s="172" t="n"/>
      <c r="AG250" s="172" t="n"/>
      <c r="AI250" s="172" t="n"/>
      <c r="AJ250" s="172" t="n"/>
      <c r="AK250" s="172" t="n"/>
      <c r="AL250" s="172" t="n"/>
      <c r="AM250" s="172" t="n"/>
    </row>
    <row r="251">
      <c r="C251" s="18" t="n"/>
      <c r="D251" s="11" t="n"/>
      <c r="G251" s="11" t="n"/>
      <c r="I251" s="11" t="n"/>
      <c r="J251" s="11" t="n"/>
      <c r="K251" s="11" t="n"/>
      <c r="R251" s="172" t="n"/>
      <c r="S251" s="172" t="n"/>
      <c r="T251" s="172" t="n"/>
      <c r="U251" s="172" t="n"/>
      <c r="V251" s="172" t="n"/>
      <c r="W251" s="172" t="n"/>
      <c r="X251" s="172" t="n"/>
      <c r="Y251" s="173" t="n"/>
      <c r="Z251" s="174" t="n"/>
      <c r="AB251" s="172" t="n"/>
      <c r="AC251" s="172" t="n"/>
      <c r="AD251" s="172" t="n"/>
      <c r="AE251" s="172" t="n"/>
      <c r="AG251" s="172" t="n"/>
      <c r="AI251" s="172" t="n"/>
      <c r="AJ251" s="172" t="n"/>
      <c r="AK251" s="172" t="n"/>
      <c r="AL251" s="172" t="n"/>
      <c r="AM251" s="172" t="n"/>
    </row>
    <row r="252">
      <c r="C252" s="18" t="n"/>
      <c r="D252" s="11" t="n"/>
      <c r="G252" s="11" t="n"/>
      <c r="I252" s="11" t="n"/>
      <c r="J252" s="11" t="n"/>
      <c r="K252" s="11" t="n"/>
      <c r="R252" s="172" t="n"/>
      <c r="S252" s="172" t="n"/>
      <c r="T252" s="172" t="n"/>
      <c r="U252" s="172" t="n"/>
      <c r="V252" s="172" t="n"/>
      <c r="W252" s="172" t="n"/>
      <c r="X252" s="172" t="n"/>
      <c r="Y252" s="173" t="n"/>
      <c r="Z252" s="174" t="n"/>
      <c r="AB252" s="172" t="n"/>
      <c r="AC252" s="172" t="n"/>
      <c r="AD252" s="172" t="n"/>
      <c r="AE252" s="172" t="n"/>
      <c r="AG252" s="172" t="n"/>
      <c r="AI252" s="172" t="n"/>
      <c r="AJ252" s="172" t="n"/>
      <c r="AK252" s="172" t="n"/>
      <c r="AL252" s="172" t="n"/>
      <c r="AM252" s="172" t="n"/>
    </row>
    <row r="253">
      <c r="C253" s="18" t="n"/>
      <c r="D253" s="11" t="n"/>
      <c r="G253" s="11" t="n"/>
      <c r="I253" s="11" t="n"/>
      <c r="J253" s="11" t="n"/>
      <c r="K253" s="11" t="n"/>
      <c r="R253" s="172" t="n"/>
      <c r="S253" s="172" t="n"/>
      <c r="T253" s="172" t="n"/>
      <c r="U253" s="172" t="n"/>
      <c r="V253" s="172" t="n"/>
      <c r="W253" s="172" t="n"/>
      <c r="X253" s="172" t="n"/>
      <c r="Y253" s="173" t="n"/>
      <c r="Z253" s="174" t="n"/>
      <c r="AB253" s="172" t="n"/>
      <c r="AC253" s="172" t="n"/>
      <c r="AD253" s="172" t="n"/>
      <c r="AE253" s="172" t="n"/>
      <c r="AG253" s="172" t="n"/>
      <c r="AI253" s="172" t="n"/>
      <c r="AJ253" s="172" t="n"/>
      <c r="AK253" s="172" t="n"/>
      <c r="AL253" s="172" t="n"/>
      <c r="AM253" s="172" t="n"/>
    </row>
    <row r="254">
      <c r="C254" s="18" t="n"/>
      <c r="D254" s="11" t="n"/>
      <c r="G254" s="11" t="n"/>
      <c r="I254" s="11" t="n"/>
      <c r="J254" s="11" t="n"/>
      <c r="K254" s="11" t="n"/>
      <c r="R254" s="172" t="n"/>
      <c r="S254" s="172" t="n"/>
      <c r="T254" s="172" t="n"/>
      <c r="U254" s="172" t="n"/>
      <c r="V254" s="172" t="n"/>
      <c r="W254" s="172" t="n"/>
      <c r="X254" s="172" t="n"/>
      <c r="Y254" s="173" t="n"/>
      <c r="Z254" s="174" t="n"/>
      <c r="AB254" s="172" t="n"/>
      <c r="AC254" s="172" t="n"/>
      <c r="AD254" s="172" t="n"/>
      <c r="AE254" s="172" t="n"/>
      <c r="AG254" s="172" t="n"/>
      <c r="AI254" s="172" t="n"/>
      <c r="AJ254" s="172" t="n"/>
      <c r="AK254" s="172" t="n"/>
      <c r="AL254" s="172" t="n"/>
      <c r="AM254" s="172" t="n"/>
    </row>
    <row r="255">
      <c r="C255" s="18" t="n"/>
      <c r="D255" s="11" t="n"/>
      <c r="G255" s="11" t="n"/>
      <c r="I255" s="11" t="n"/>
      <c r="J255" s="11" t="n"/>
      <c r="K255" s="11" t="n"/>
      <c r="R255" s="172" t="n"/>
      <c r="S255" s="172" t="n"/>
      <c r="T255" s="172" t="n"/>
      <c r="U255" s="172" t="n"/>
      <c r="V255" s="172" t="n"/>
      <c r="W255" s="172" t="n"/>
      <c r="X255" s="172" t="n"/>
      <c r="Y255" s="173" t="n"/>
      <c r="Z255" s="174" t="n"/>
      <c r="AB255" s="172" t="n"/>
      <c r="AC255" s="172" t="n"/>
      <c r="AD255" s="172" t="n"/>
      <c r="AE255" s="172" t="n"/>
      <c r="AG255" s="172" t="n"/>
      <c r="AI255" s="172" t="n"/>
      <c r="AJ255" s="172" t="n"/>
      <c r="AK255" s="172" t="n"/>
      <c r="AL255" s="172" t="n"/>
      <c r="AM255" s="172" t="n"/>
    </row>
    <row r="256">
      <c r="C256" s="18" t="n"/>
      <c r="D256" s="11" t="n"/>
      <c r="G256" s="11" t="n"/>
      <c r="I256" s="11" t="n"/>
      <c r="J256" s="11" t="n"/>
      <c r="K256" s="11" t="n"/>
      <c r="R256" s="172" t="n"/>
      <c r="S256" s="172" t="n"/>
      <c r="T256" s="172" t="n"/>
      <c r="U256" s="172" t="n"/>
      <c r="V256" s="172" t="n"/>
      <c r="W256" s="172" t="n"/>
      <c r="X256" s="172" t="n"/>
      <c r="Y256" s="173" t="n"/>
      <c r="Z256" s="174" t="n"/>
      <c r="AB256" s="172" t="n"/>
      <c r="AC256" s="172" t="n"/>
      <c r="AD256" s="172" t="n"/>
      <c r="AE256" s="172" t="n"/>
      <c r="AG256" s="172" t="n"/>
      <c r="AI256" s="172" t="n"/>
      <c r="AJ256" s="172" t="n"/>
      <c r="AK256" s="172" t="n"/>
      <c r="AL256" s="172" t="n"/>
      <c r="AM256" s="172" t="n"/>
    </row>
    <row r="257">
      <c r="C257" s="18" t="n"/>
      <c r="D257" s="11" t="n"/>
      <c r="G257" s="11" t="n"/>
      <c r="I257" s="11" t="n"/>
      <c r="J257" s="11" t="n"/>
      <c r="K257" s="11" t="n"/>
      <c r="R257" s="172" t="n"/>
      <c r="S257" s="172" t="n"/>
      <c r="T257" s="172" t="n"/>
      <c r="U257" s="172" t="n"/>
      <c r="V257" s="172" t="n"/>
      <c r="W257" s="172" t="n"/>
      <c r="X257" s="172" t="n"/>
      <c r="Y257" s="173" t="n"/>
      <c r="Z257" s="174" t="n"/>
      <c r="AB257" s="172" t="n"/>
      <c r="AC257" s="172" t="n"/>
      <c r="AD257" s="172" t="n"/>
      <c r="AE257" s="172" t="n"/>
      <c r="AG257" s="172" t="n"/>
      <c r="AI257" s="172" t="n"/>
      <c r="AJ257" s="172" t="n"/>
      <c r="AK257" s="172" t="n"/>
      <c r="AL257" s="172" t="n"/>
      <c r="AM257" s="172" t="n"/>
    </row>
    <row r="258">
      <c r="C258" s="18" t="n"/>
      <c r="D258" s="11" t="n"/>
      <c r="G258" s="11" t="n"/>
      <c r="I258" s="11" t="n"/>
      <c r="J258" s="11" t="n"/>
      <c r="K258" s="11" t="n"/>
      <c r="R258" s="172" t="n"/>
      <c r="S258" s="172" t="n"/>
      <c r="T258" s="172" t="n"/>
      <c r="U258" s="172" t="n"/>
      <c r="V258" s="172" t="n"/>
      <c r="W258" s="172" t="n"/>
      <c r="X258" s="172" t="n"/>
      <c r="Y258" s="173" t="n"/>
      <c r="Z258" s="174" t="n"/>
      <c r="AB258" s="172" t="n"/>
      <c r="AC258" s="172" t="n"/>
      <c r="AD258" s="172" t="n"/>
      <c r="AE258" s="172" t="n"/>
      <c r="AG258" s="172" t="n"/>
      <c r="AI258" s="172" t="n"/>
      <c r="AJ258" s="172" t="n"/>
      <c r="AK258" s="172" t="n"/>
      <c r="AL258" s="172" t="n"/>
      <c r="AM258" s="172" t="n"/>
    </row>
    <row r="259">
      <c r="C259" s="18" t="n"/>
      <c r="D259" s="11" t="n"/>
      <c r="G259" s="11" t="n"/>
      <c r="I259" s="11" t="n"/>
      <c r="J259" s="11" t="n"/>
      <c r="K259" s="11" t="n"/>
      <c r="R259" s="172" t="n"/>
      <c r="S259" s="172" t="n"/>
      <c r="T259" s="172" t="n"/>
      <c r="U259" s="172" t="n"/>
      <c r="V259" s="172" t="n"/>
      <c r="W259" s="172" t="n"/>
      <c r="X259" s="172" t="n"/>
      <c r="Y259" s="173" t="n"/>
      <c r="Z259" s="174" t="n"/>
      <c r="AB259" s="172" t="n"/>
      <c r="AC259" s="172" t="n"/>
      <c r="AD259" s="172" t="n"/>
      <c r="AE259" s="172" t="n"/>
      <c r="AG259" s="172" t="n"/>
      <c r="AI259" s="172" t="n"/>
      <c r="AJ259" s="172" t="n"/>
      <c r="AK259" s="172" t="n"/>
      <c r="AL259" s="172" t="n"/>
      <c r="AM259" s="172" t="n"/>
    </row>
    <row r="260">
      <c r="C260" s="18" t="n"/>
      <c r="D260" s="11" t="n"/>
      <c r="G260" s="11" t="n"/>
      <c r="I260" s="11" t="n"/>
      <c r="J260" s="11" t="n"/>
      <c r="K260" s="11" t="n"/>
      <c r="R260" s="172" t="n"/>
      <c r="S260" s="172" t="n"/>
      <c r="T260" s="172" t="n"/>
      <c r="U260" s="172" t="n"/>
      <c r="V260" s="172" t="n"/>
      <c r="W260" s="172" t="n"/>
      <c r="X260" s="172" t="n"/>
      <c r="Y260" s="173" t="n"/>
      <c r="Z260" s="174" t="n"/>
      <c r="AB260" s="172" t="n"/>
      <c r="AC260" s="172" t="n"/>
      <c r="AD260" s="172" t="n"/>
      <c r="AE260" s="172" t="n"/>
      <c r="AG260" s="172" t="n"/>
      <c r="AI260" s="172" t="n"/>
      <c r="AJ260" s="172" t="n"/>
      <c r="AK260" s="172" t="n"/>
      <c r="AL260" s="172" t="n"/>
      <c r="AM260" s="172" t="n"/>
    </row>
    <row r="261">
      <c r="C261" s="18" t="n"/>
      <c r="D261" s="11" t="n"/>
      <c r="G261" s="11" t="n"/>
      <c r="I261" s="11" t="n"/>
      <c r="J261" s="11" t="n"/>
      <c r="K261" s="11" t="n"/>
      <c r="R261" s="172" t="n"/>
      <c r="S261" s="172" t="n"/>
      <c r="T261" s="172" t="n"/>
      <c r="U261" s="172" t="n"/>
      <c r="V261" s="172" t="n"/>
      <c r="W261" s="172" t="n"/>
      <c r="X261" s="172" t="n"/>
      <c r="Y261" s="173" t="n"/>
      <c r="Z261" s="174" t="n"/>
      <c r="AB261" s="172" t="n"/>
      <c r="AC261" s="172" t="n"/>
      <c r="AD261" s="172" t="n"/>
      <c r="AE261" s="172" t="n"/>
      <c r="AG261" s="172" t="n"/>
      <c r="AI261" s="172" t="n"/>
      <c r="AJ261" s="172" t="n"/>
      <c r="AK261" s="172" t="n"/>
      <c r="AL261" s="172" t="n"/>
      <c r="AM261" s="172" t="n"/>
    </row>
    <row r="262">
      <c r="C262" s="18" t="n"/>
      <c r="D262" s="11" t="n"/>
      <c r="G262" s="11" t="n"/>
      <c r="I262" s="11" t="n"/>
      <c r="J262" s="11" t="n"/>
      <c r="K262" s="11" t="n"/>
      <c r="R262" s="172" t="n"/>
      <c r="S262" s="172" t="n"/>
      <c r="T262" s="172" t="n"/>
      <c r="U262" s="172" t="n"/>
      <c r="V262" s="172" t="n"/>
      <c r="W262" s="172" t="n"/>
      <c r="X262" s="172" t="n"/>
      <c r="Y262" s="173" t="n"/>
      <c r="Z262" s="174" t="n"/>
      <c r="AB262" s="172" t="n"/>
      <c r="AC262" s="172" t="n"/>
      <c r="AD262" s="172" t="n"/>
      <c r="AE262" s="172" t="n"/>
      <c r="AG262" s="172" t="n"/>
      <c r="AI262" s="172" t="n"/>
      <c r="AJ262" s="172" t="n"/>
      <c r="AK262" s="172" t="n"/>
      <c r="AL262" s="172" t="n"/>
      <c r="AM262" s="172" t="n"/>
    </row>
    <row r="263">
      <c r="C263" s="18" t="n"/>
      <c r="D263" s="11" t="n"/>
      <c r="G263" s="11" t="n"/>
      <c r="I263" s="11" t="n"/>
      <c r="J263" s="11" t="n"/>
      <c r="K263" s="11" t="n"/>
      <c r="R263" s="172" t="n"/>
      <c r="S263" s="172" t="n"/>
      <c r="T263" s="172" t="n"/>
      <c r="U263" s="172" t="n"/>
      <c r="V263" s="172" t="n"/>
      <c r="W263" s="172" t="n"/>
      <c r="X263" s="172" t="n"/>
      <c r="Y263" s="173" t="n"/>
      <c r="Z263" s="174" t="n"/>
      <c r="AB263" s="172" t="n"/>
      <c r="AC263" s="172" t="n"/>
      <c r="AD263" s="172" t="n"/>
      <c r="AE263" s="172" t="n"/>
      <c r="AG263" s="172" t="n"/>
      <c r="AI263" s="172" t="n"/>
      <c r="AJ263" s="172" t="n"/>
      <c r="AK263" s="172" t="n"/>
      <c r="AL263" s="172" t="n"/>
      <c r="AM263" s="172" t="n"/>
    </row>
    <row r="264">
      <c r="C264" s="18" t="n"/>
      <c r="D264" s="11" t="n"/>
      <c r="G264" s="11" t="n"/>
      <c r="I264" s="11" t="n"/>
      <c r="J264" s="11" t="n"/>
      <c r="K264" s="11" t="n"/>
      <c r="R264" s="172" t="n"/>
      <c r="S264" s="172" t="n"/>
      <c r="T264" s="172" t="n"/>
      <c r="U264" s="172" t="n"/>
      <c r="V264" s="172" t="n"/>
      <c r="W264" s="172" t="n"/>
      <c r="X264" s="172" t="n"/>
      <c r="Y264" s="173" t="n"/>
      <c r="Z264" s="174" t="n"/>
      <c r="AB264" s="172" t="n"/>
      <c r="AC264" s="172" t="n"/>
      <c r="AD264" s="172" t="n"/>
      <c r="AE264" s="172" t="n"/>
      <c r="AG264" s="172" t="n"/>
      <c r="AI264" s="172" t="n"/>
      <c r="AJ264" s="172" t="n"/>
      <c r="AK264" s="172" t="n"/>
      <c r="AL264" s="172" t="n"/>
      <c r="AM264" s="172" t="n"/>
    </row>
    <row r="265">
      <c r="C265" s="18" t="n"/>
      <c r="D265" s="11" t="n"/>
      <c r="G265" s="11" t="n"/>
      <c r="I265" s="11" t="n"/>
      <c r="J265" s="11" t="n"/>
      <c r="K265" s="11" t="n"/>
      <c r="R265" s="172" t="n"/>
      <c r="S265" s="172" t="n"/>
      <c r="T265" s="172" t="n"/>
      <c r="U265" s="172" t="n"/>
      <c r="V265" s="172" t="n"/>
      <c r="W265" s="172" t="n"/>
      <c r="X265" s="172" t="n"/>
      <c r="Y265" s="173" t="n"/>
      <c r="Z265" s="174" t="n"/>
      <c r="AB265" s="172" t="n"/>
      <c r="AC265" s="172" t="n"/>
      <c r="AD265" s="172" t="n"/>
      <c r="AE265" s="172" t="n"/>
      <c r="AG265" s="172" t="n"/>
      <c r="AI265" s="172" t="n"/>
      <c r="AJ265" s="172" t="n"/>
      <c r="AK265" s="172" t="n"/>
      <c r="AL265" s="172" t="n"/>
      <c r="AM265" s="172" t="n"/>
    </row>
    <row r="266">
      <c r="C266" s="18" t="n"/>
      <c r="D266" s="11" t="n"/>
      <c r="G266" s="11" t="n"/>
      <c r="I266" s="11" t="n"/>
      <c r="J266" s="11" t="n"/>
      <c r="K266" s="11" t="n"/>
      <c r="R266" s="172" t="n"/>
      <c r="S266" s="172" t="n"/>
      <c r="T266" s="172" t="n"/>
      <c r="U266" s="172" t="n"/>
      <c r="V266" s="172" t="n"/>
      <c r="W266" s="172" t="n"/>
      <c r="X266" s="172" t="n"/>
      <c r="Y266" s="173" t="n"/>
      <c r="Z266" s="174" t="n"/>
      <c r="AB266" s="172" t="n"/>
      <c r="AC266" s="172" t="n"/>
      <c r="AD266" s="172" t="n"/>
      <c r="AE266" s="172" t="n"/>
      <c r="AG266" s="172" t="n"/>
      <c r="AI266" s="172" t="n"/>
      <c r="AJ266" s="172" t="n"/>
      <c r="AK266" s="172" t="n"/>
      <c r="AL266" s="172" t="n"/>
      <c r="AM266" s="172" t="n"/>
    </row>
    <row r="267">
      <c r="C267" s="18" t="n"/>
      <c r="D267" s="11" t="n"/>
      <c r="G267" s="11" t="n"/>
      <c r="I267" s="11" t="n"/>
      <c r="J267" s="11" t="n"/>
      <c r="K267" s="11" t="n"/>
      <c r="R267" s="172" t="n"/>
      <c r="S267" s="172" t="n"/>
      <c r="T267" s="172" t="n"/>
      <c r="U267" s="172" t="n"/>
      <c r="V267" s="172" t="n"/>
      <c r="W267" s="172" t="n"/>
      <c r="X267" s="172" t="n"/>
      <c r="Y267" s="173" t="n"/>
      <c r="Z267" s="174" t="n"/>
      <c r="AB267" s="172" t="n"/>
      <c r="AC267" s="172" t="n"/>
      <c r="AD267" s="172" t="n"/>
      <c r="AE267" s="172" t="n"/>
      <c r="AG267" s="172" t="n"/>
      <c r="AI267" s="172" t="n"/>
      <c r="AJ267" s="172" t="n"/>
      <c r="AK267" s="172" t="n"/>
      <c r="AL267" s="172" t="n"/>
      <c r="AM267" s="172" t="n"/>
    </row>
    <row r="268">
      <c r="C268" s="18" t="n"/>
      <c r="D268" s="11" t="n"/>
      <c r="G268" s="11" t="n"/>
      <c r="I268" s="11" t="n"/>
      <c r="J268" s="11" t="n"/>
      <c r="K268" s="11" t="n"/>
      <c r="R268" s="172" t="n"/>
      <c r="S268" s="172" t="n"/>
      <c r="T268" s="172" t="n"/>
      <c r="U268" s="172" t="n"/>
      <c r="V268" s="172" t="n"/>
      <c r="W268" s="172" t="n"/>
      <c r="X268" s="172" t="n"/>
      <c r="Y268" s="173" t="n"/>
      <c r="Z268" s="174" t="n"/>
      <c r="AB268" s="172" t="n"/>
      <c r="AC268" s="172" t="n"/>
      <c r="AD268" s="172" t="n"/>
      <c r="AE268" s="172" t="n"/>
      <c r="AG268" s="172" t="n"/>
      <c r="AI268" s="172" t="n"/>
      <c r="AJ268" s="172" t="n"/>
      <c r="AK268" s="172" t="n"/>
      <c r="AL268" s="172" t="n"/>
      <c r="AM268" s="172" t="n"/>
    </row>
    <row r="269">
      <c r="C269" s="18" t="n"/>
      <c r="D269" s="11" t="n"/>
      <c r="G269" s="11" t="n"/>
      <c r="I269" s="11" t="n"/>
      <c r="J269" s="11" t="n"/>
      <c r="K269" s="11" t="n"/>
      <c r="R269" s="172" t="n"/>
      <c r="S269" s="172" t="n"/>
      <c r="T269" s="172" t="n"/>
      <c r="U269" s="172" t="n"/>
      <c r="V269" s="172" t="n"/>
      <c r="W269" s="172" t="n"/>
      <c r="X269" s="172" t="n"/>
      <c r="Y269" s="173" t="n"/>
      <c r="Z269" s="174" t="n"/>
      <c r="AB269" s="172" t="n"/>
      <c r="AC269" s="172" t="n"/>
      <c r="AD269" s="172" t="n"/>
      <c r="AE269" s="172" t="n"/>
      <c r="AG269" s="172" t="n"/>
      <c r="AI269" s="172" t="n"/>
      <c r="AJ269" s="172" t="n"/>
      <c r="AK269" s="172" t="n"/>
      <c r="AL269" s="172" t="n"/>
      <c r="AM269" s="172" t="n"/>
    </row>
    <row r="270">
      <c r="C270" s="18" t="n"/>
      <c r="D270" s="11" t="n"/>
      <c r="G270" s="11" t="n"/>
      <c r="I270" s="11" t="n"/>
      <c r="J270" s="11" t="n"/>
      <c r="K270" s="11" t="n"/>
      <c r="R270" s="172" t="n"/>
      <c r="S270" s="172" t="n"/>
      <c r="T270" s="172" t="n"/>
      <c r="U270" s="172" t="n"/>
      <c r="V270" s="172" t="n"/>
      <c r="W270" s="172" t="n"/>
      <c r="X270" s="172" t="n"/>
      <c r="Y270" s="173" t="n"/>
      <c r="Z270" s="174" t="n"/>
      <c r="AB270" s="172" t="n"/>
      <c r="AC270" s="172" t="n"/>
      <c r="AD270" s="172" t="n"/>
      <c r="AE270" s="172" t="n"/>
      <c r="AG270" s="172" t="n"/>
      <c r="AI270" s="172" t="n"/>
      <c r="AJ270" s="172" t="n"/>
      <c r="AK270" s="172" t="n"/>
      <c r="AL270" s="172" t="n"/>
      <c r="AM270" s="172" t="n"/>
    </row>
    <row r="271">
      <c r="C271" s="18" t="n"/>
      <c r="D271" s="11" t="n"/>
      <c r="G271" s="11" t="n"/>
      <c r="I271" s="11" t="n"/>
      <c r="J271" s="11" t="n"/>
      <c r="K271" s="11" t="n"/>
      <c r="R271" s="172" t="n"/>
      <c r="S271" s="172" t="n"/>
      <c r="T271" s="172" t="n"/>
      <c r="U271" s="172" t="n"/>
      <c r="V271" s="172" t="n"/>
      <c r="W271" s="172" t="n"/>
      <c r="X271" s="172" t="n"/>
      <c r="Y271" s="173" t="n"/>
      <c r="Z271" s="174" t="n"/>
      <c r="AB271" s="172" t="n"/>
      <c r="AC271" s="172" t="n"/>
      <c r="AD271" s="172" t="n"/>
      <c r="AE271" s="172" t="n"/>
      <c r="AG271" s="172" t="n"/>
      <c r="AI271" s="172" t="n"/>
      <c r="AJ271" s="172" t="n"/>
      <c r="AK271" s="172" t="n"/>
      <c r="AL271" s="172" t="n"/>
      <c r="AM271" s="172" t="n"/>
    </row>
    <row r="272">
      <c r="C272" s="18" t="n"/>
      <c r="D272" s="11" t="n"/>
      <c r="G272" s="11" t="n"/>
      <c r="I272" s="11" t="n"/>
      <c r="J272" s="11" t="n"/>
      <c r="K272" s="11" t="n"/>
      <c r="R272" s="172" t="n"/>
      <c r="S272" s="172" t="n"/>
      <c r="T272" s="172" t="n"/>
      <c r="U272" s="172" t="n"/>
      <c r="V272" s="172" t="n"/>
      <c r="W272" s="172" t="n"/>
      <c r="X272" s="172" t="n"/>
      <c r="Y272" s="173" t="n"/>
      <c r="Z272" s="174" t="n"/>
      <c r="AB272" s="172" t="n"/>
      <c r="AC272" s="172" t="n"/>
      <c r="AD272" s="172" t="n"/>
      <c r="AE272" s="172" t="n"/>
      <c r="AG272" s="172" t="n"/>
      <c r="AI272" s="172" t="n"/>
      <c r="AJ272" s="172" t="n"/>
      <c r="AK272" s="172" t="n"/>
      <c r="AL272" s="172" t="n"/>
      <c r="AM272" s="172" t="n"/>
    </row>
    <row r="273">
      <c r="C273" s="18" t="n"/>
      <c r="D273" s="11" t="n"/>
      <c r="G273" s="11" t="n"/>
      <c r="I273" s="11" t="n"/>
      <c r="J273" s="11" t="n"/>
      <c r="K273" s="11" t="n"/>
      <c r="R273" s="172" t="n"/>
      <c r="S273" s="172" t="n"/>
      <c r="T273" s="172" t="n"/>
      <c r="U273" s="172" t="n"/>
      <c r="V273" s="172" t="n"/>
      <c r="W273" s="172" t="n"/>
      <c r="X273" s="172" t="n"/>
      <c r="Y273" s="173" t="n"/>
      <c r="Z273" s="174" t="n"/>
      <c r="AB273" s="172" t="n"/>
      <c r="AC273" s="172" t="n"/>
      <c r="AD273" s="172" t="n"/>
      <c r="AE273" s="172" t="n"/>
      <c r="AG273" s="172" t="n"/>
      <c r="AI273" s="172" t="n"/>
      <c r="AJ273" s="172" t="n"/>
      <c r="AK273" s="172" t="n"/>
      <c r="AL273" s="172" t="n"/>
      <c r="AM273" s="172" t="n"/>
    </row>
    <row r="274">
      <c r="C274" s="18" t="n"/>
      <c r="D274" s="11" t="n"/>
      <c r="G274" s="11" t="n"/>
      <c r="I274" s="11" t="n"/>
      <c r="J274" s="11" t="n"/>
      <c r="K274" s="11" t="n"/>
      <c r="R274" s="172" t="n"/>
      <c r="S274" s="172" t="n"/>
      <c r="T274" s="172" t="n"/>
      <c r="U274" s="172" t="n"/>
      <c r="V274" s="172" t="n"/>
      <c r="W274" s="172" t="n"/>
      <c r="X274" s="172" t="n"/>
      <c r="Y274" s="173" t="n"/>
      <c r="Z274" s="174" t="n"/>
      <c r="AB274" s="172" t="n"/>
      <c r="AC274" s="172" t="n"/>
      <c r="AD274" s="172" t="n"/>
      <c r="AE274" s="172" t="n"/>
      <c r="AG274" s="172" t="n"/>
      <c r="AI274" s="172" t="n"/>
      <c r="AJ274" s="172" t="n"/>
      <c r="AK274" s="172" t="n"/>
      <c r="AL274" s="172" t="n"/>
      <c r="AM274" s="172" t="n"/>
    </row>
    <row r="275">
      <c r="C275" s="18" t="n"/>
      <c r="D275" s="11" t="n"/>
      <c r="G275" s="11" t="n"/>
      <c r="I275" s="11" t="n"/>
      <c r="J275" s="11" t="n"/>
      <c r="K275" s="11" t="n"/>
      <c r="R275" s="172" t="n"/>
      <c r="S275" s="172" t="n"/>
      <c r="T275" s="172" t="n"/>
      <c r="U275" s="172" t="n"/>
      <c r="V275" s="172" t="n"/>
      <c r="W275" s="172" t="n"/>
      <c r="X275" s="172" t="n"/>
      <c r="Y275" s="173" t="n"/>
      <c r="Z275" s="174" t="n"/>
      <c r="AB275" s="172" t="n"/>
      <c r="AC275" s="172" t="n"/>
      <c r="AD275" s="172" t="n"/>
      <c r="AE275" s="172" t="n"/>
      <c r="AG275" s="172" t="n"/>
      <c r="AI275" s="172" t="n"/>
      <c r="AJ275" s="172" t="n"/>
      <c r="AK275" s="172" t="n"/>
      <c r="AL275" s="176" t="n"/>
      <c r="AM275" s="172" t="n"/>
      <c r="AO275" s="175" t="n"/>
    </row>
    <row r="276">
      <c r="C276" s="18" t="n"/>
      <c r="D276" s="11" t="n"/>
      <c r="G276" s="11" t="n"/>
      <c r="I276" s="11" t="n"/>
      <c r="J276" s="11" t="n"/>
      <c r="K276" s="11" t="n"/>
      <c r="R276" s="172" t="n"/>
      <c r="S276" s="172" t="n"/>
      <c r="T276" s="172" t="n"/>
      <c r="U276" s="172" t="n"/>
      <c r="V276" s="172" t="n"/>
      <c r="W276" s="172" t="n"/>
      <c r="X276" s="172" t="n"/>
      <c r="Y276" s="173" t="n"/>
      <c r="Z276" s="174" t="n"/>
      <c r="AB276" s="172" t="n"/>
      <c r="AC276" s="172" t="n"/>
      <c r="AD276" s="172" t="n"/>
      <c r="AE276" s="172" t="n"/>
      <c r="AG276" s="172" t="n"/>
      <c r="AI276" s="172" t="n"/>
      <c r="AJ276" s="172" t="n"/>
      <c r="AK276" s="172" t="n"/>
      <c r="AL276" s="177" t="n"/>
      <c r="AM276" s="172" t="n"/>
      <c r="AO276" s="175" t="n"/>
    </row>
    <row r="277">
      <c r="C277" s="18" t="n"/>
      <c r="D277" s="11" t="n"/>
      <c r="G277" s="11" t="n"/>
      <c r="I277" s="11" t="n"/>
      <c r="J277" s="11" t="n"/>
      <c r="K277" s="11" t="n"/>
      <c r="R277" s="172" t="n"/>
      <c r="S277" s="172" t="n"/>
      <c r="T277" s="172" t="n"/>
      <c r="U277" s="172" t="n"/>
      <c r="V277" s="172" t="n"/>
      <c r="W277" s="172" t="n"/>
      <c r="X277" s="172" t="n"/>
      <c r="Y277" s="173" t="n"/>
      <c r="Z277" s="174" t="n"/>
      <c r="AB277" s="172" t="n"/>
      <c r="AC277" s="172" t="n"/>
      <c r="AD277" s="172" t="n"/>
      <c r="AE277" s="172" t="n"/>
      <c r="AG277" s="172" t="n"/>
      <c r="AI277" s="172" t="n"/>
      <c r="AJ277" s="172" t="n"/>
      <c r="AK277" s="172" t="n"/>
      <c r="AL277" s="176" t="n"/>
      <c r="AM277" s="172" t="n"/>
      <c r="AO277" s="175" t="n"/>
    </row>
    <row r="278">
      <c r="C278" s="18" t="n"/>
      <c r="D278" s="11" t="n"/>
      <c r="G278" s="11" t="n"/>
      <c r="I278" s="11" t="n"/>
      <c r="J278" s="11" t="n"/>
      <c r="K278" s="11" t="n"/>
      <c r="R278" s="172" t="n"/>
      <c r="S278" s="172" t="n"/>
      <c r="T278" s="172" t="n"/>
      <c r="U278" s="172" t="n"/>
      <c r="V278" s="172" t="n"/>
      <c r="W278" s="172" t="n"/>
      <c r="X278" s="172" t="n"/>
      <c r="Y278" s="173" t="n"/>
      <c r="Z278" s="174" t="n"/>
      <c r="AB278" s="172" t="n"/>
      <c r="AC278" s="172" t="n"/>
      <c r="AD278" s="172" t="n"/>
      <c r="AE278" s="172" t="n"/>
      <c r="AG278" s="172" t="n"/>
      <c r="AI278" s="172" t="n"/>
      <c r="AJ278" s="172" t="n"/>
      <c r="AK278" s="172" t="n"/>
      <c r="AL278" s="176" t="n"/>
      <c r="AM278" s="172" t="n"/>
      <c r="AO278" s="175" t="n"/>
    </row>
    <row r="279">
      <c r="C279" s="18" t="n"/>
      <c r="D279" s="11" t="n"/>
      <c r="G279" s="11" t="n"/>
      <c r="I279" s="11" t="n"/>
      <c r="J279" s="11" t="n"/>
      <c r="K279" s="11" t="n"/>
      <c r="R279" s="172" t="n"/>
      <c r="S279" s="172" t="n"/>
      <c r="T279" s="172" t="n"/>
      <c r="U279" s="172" t="n"/>
      <c r="V279" s="172" t="n"/>
      <c r="W279" s="172" t="n"/>
      <c r="X279" s="172" t="n"/>
      <c r="Y279" s="173" t="n"/>
      <c r="Z279" s="174" t="n"/>
      <c r="AB279" s="172" t="n"/>
      <c r="AC279" s="172" t="n"/>
      <c r="AD279" s="172" t="n"/>
      <c r="AE279" s="172" t="n"/>
      <c r="AG279" s="172" t="n"/>
      <c r="AI279" s="172" t="n"/>
      <c r="AJ279" s="172" t="n"/>
      <c r="AK279" s="172" t="n"/>
      <c r="AL279" s="176" t="n"/>
      <c r="AM279" s="172" t="n"/>
      <c r="AO279" s="175" t="n"/>
    </row>
    <row r="280">
      <c r="C280" s="18" t="n"/>
      <c r="D280" s="11" t="n"/>
      <c r="G280" s="11" t="n"/>
      <c r="I280" s="11" t="n"/>
      <c r="J280" s="11" t="n"/>
      <c r="K280" s="11" t="n"/>
      <c r="R280" s="172" t="n"/>
      <c r="S280" s="172" t="n"/>
      <c r="T280" s="172" t="n"/>
      <c r="U280" s="172" t="n"/>
      <c r="V280" s="172" t="n"/>
      <c r="W280" s="172" t="n"/>
      <c r="X280" s="172" t="n"/>
      <c r="Y280" s="173" t="n"/>
      <c r="Z280" s="174" t="n"/>
      <c r="AB280" s="172" t="n"/>
      <c r="AC280" s="172" t="n"/>
      <c r="AD280" s="172" t="n"/>
      <c r="AE280" s="172" t="n"/>
      <c r="AG280" s="172" t="n"/>
      <c r="AI280" s="172" t="n"/>
      <c r="AJ280" s="172" t="n"/>
      <c r="AK280" s="172" t="n"/>
      <c r="AL280" s="176" t="n"/>
      <c r="AM280" s="172" t="n"/>
      <c r="AO280" s="175" t="n"/>
    </row>
    <row r="281">
      <c r="C281" s="18" t="n"/>
      <c r="D281" s="11" t="n"/>
      <c r="G281" s="11" t="n"/>
      <c r="I281" s="11" t="n"/>
      <c r="J281" s="11" t="n"/>
      <c r="K281" s="11" t="n"/>
      <c r="R281" s="172" t="n"/>
      <c r="S281" s="172" t="n"/>
      <c r="T281" s="172" t="n"/>
      <c r="U281" s="172" t="n"/>
      <c r="V281" s="172" t="n"/>
      <c r="W281" s="172" t="n"/>
      <c r="X281" s="172" t="n"/>
      <c r="Y281" s="173" t="n"/>
      <c r="Z281" s="174" t="n"/>
      <c r="AB281" s="172" t="n"/>
      <c r="AC281" s="172" t="n"/>
      <c r="AD281" s="172" t="n"/>
      <c r="AE281" s="172" t="n"/>
      <c r="AG281" s="172" t="n"/>
      <c r="AI281" s="172" t="n"/>
      <c r="AJ281" s="172" t="n"/>
      <c r="AK281" s="172" t="n"/>
      <c r="AL281" s="176" t="n"/>
      <c r="AM281" s="172" t="n"/>
      <c r="AO281" s="175" t="n"/>
    </row>
    <row r="282">
      <c r="C282" s="18" t="n"/>
      <c r="D282" s="11" t="n"/>
      <c r="G282" s="11" t="n"/>
      <c r="I282" s="11" t="n"/>
      <c r="J282" s="11" t="n"/>
      <c r="K282" s="11" t="n"/>
      <c r="R282" s="172" t="n"/>
      <c r="S282" s="172" t="n"/>
      <c r="T282" s="172" t="n"/>
      <c r="U282" s="172" t="n"/>
      <c r="V282" s="172" t="n"/>
      <c r="W282" s="172" t="n"/>
      <c r="X282" s="172" t="n"/>
      <c r="Y282" s="173" t="n"/>
      <c r="Z282" s="174" t="n"/>
      <c r="AB282" s="172" t="n"/>
      <c r="AC282" s="172" t="n"/>
      <c r="AD282" s="172" t="n"/>
      <c r="AE282" s="172" t="n"/>
      <c r="AG282" s="172" t="n"/>
      <c r="AI282" s="172" t="n"/>
      <c r="AJ282" s="172" t="n"/>
      <c r="AK282" s="172" t="n"/>
      <c r="AL282" s="176" t="n"/>
      <c r="AM282" s="172" t="n"/>
      <c r="AO282" s="175" t="n"/>
    </row>
    <row r="283">
      <c r="C283" s="18" t="n"/>
      <c r="D283" s="11" t="n"/>
      <c r="G283" s="11" t="n"/>
      <c r="I283" s="11" t="n"/>
      <c r="J283" s="11" t="n"/>
      <c r="K283" s="11" t="n"/>
      <c r="R283" s="172" t="n"/>
      <c r="S283" s="172" t="n"/>
      <c r="T283" s="172" t="n"/>
      <c r="U283" s="172" t="n"/>
      <c r="V283" s="172" t="n"/>
      <c r="W283" s="172" t="n"/>
      <c r="X283" s="172" t="n"/>
      <c r="Y283" s="173" t="n"/>
      <c r="Z283" s="174" t="n"/>
      <c r="AB283" s="172" t="n"/>
      <c r="AC283" s="172" t="n"/>
      <c r="AD283" s="172" t="n"/>
      <c r="AE283" s="172" t="n"/>
      <c r="AG283" s="172" t="n"/>
      <c r="AI283" s="172" t="n"/>
      <c r="AJ283" s="172" t="n"/>
      <c r="AK283" s="172" t="n"/>
      <c r="AL283" s="172" t="n"/>
      <c r="AM283" s="172" t="n"/>
    </row>
    <row r="284">
      <c r="C284" s="18" t="n"/>
      <c r="D284" s="11" t="n"/>
      <c r="G284" s="11" t="n"/>
      <c r="I284" s="11" t="n"/>
      <c r="J284" s="11" t="n"/>
      <c r="K284" s="11" t="n"/>
      <c r="R284" s="172" t="n"/>
      <c r="S284" s="172" t="n"/>
      <c r="T284" s="172" t="n"/>
      <c r="U284" s="172" t="n"/>
      <c r="V284" s="172" t="n"/>
      <c r="W284" s="172" t="n"/>
      <c r="X284" s="172" t="n"/>
      <c r="Y284" s="173" t="n"/>
      <c r="Z284" s="174" t="n"/>
      <c r="AB284" s="172" t="n"/>
      <c r="AC284" s="172" t="n"/>
      <c r="AD284" s="172" t="n"/>
      <c r="AE284" s="172" t="n"/>
      <c r="AG284" s="172" t="n"/>
      <c r="AI284" s="172" t="n"/>
      <c r="AJ284" s="172" t="n"/>
      <c r="AK284" s="172" t="n"/>
      <c r="AL284" s="176" t="n"/>
      <c r="AM284" s="172" t="n"/>
      <c r="AO284" s="175" t="n"/>
    </row>
    <row r="285">
      <c r="C285" s="18" t="n"/>
      <c r="D285" s="11" t="n"/>
      <c r="G285" s="11" t="n"/>
      <c r="I285" s="11" t="n"/>
      <c r="J285" s="11" t="n"/>
      <c r="K285" s="11" t="n"/>
      <c r="R285" s="172" t="n"/>
      <c r="S285" s="172" t="n"/>
      <c r="T285" s="172" t="n"/>
      <c r="U285" s="172" t="n"/>
      <c r="V285" s="172" t="n"/>
      <c r="W285" s="172" t="n"/>
      <c r="X285" s="172" t="n"/>
      <c r="Y285" s="173" t="n"/>
      <c r="Z285" s="174" t="n"/>
      <c r="AB285" s="172" t="n"/>
      <c r="AC285" s="172" t="n"/>
      <c r="AD285" s="172" t="n"/>
      <c r="AE285" s="172" t="n"/>
      <c r="AG285" s="172" t="n"/>
      <c r="AI285" s="172" t="n"/>
      <c r="AJ285" s="172" t="n"/>
      <c r="AK285" s="172" t="n"/>
      <c r="AL285" s="176" t="n"/>
      <c r="AM285" s="172" t="n"/>
      <c r="AO285" s="175" t="n"/>
    </row>
    <row r="286">
      <c r="C286" s="18" t="n"/>
      <c r="D286" s="11" t="n"/>
      <c r="G286" s="11" t="n"/>
      <c r="I286" s="11" t="n"/>
      <c r="J286" s="11" t="n"/>
      <c r="K286" s="11" t="n"/>
      <c r="R286" s="172" t="n"/>
      <c r="S286" s="172" t="n"/>
      <c r="T286" s="172" t="n"/>
      <c r="U286" s="172" t="n"/>
      <c r="V286" s="172" t="n"/>
      <c r="W286" s="172" t="n"/>
      <c r="X286" s="172" t="n"/>
      <c r="Y286" s="173" t="n"/>
      <c r="Z286" s="174" t="n"/>
      <c r="AB286" s="172" t="n"/>
      <c r="AC286" s="172" t="n"/>
      <c r="AD286" s="172" t="n"/>
      <c r="AE286" s="172" t="n"/>
      <c r="AG286" s="172" t="n"/>
      <c r="AI286" s="172" t="n"/>
      <c r="AJ286" s="172" t="n"/>
      <c r="AK286" s="172" t="n"/>
      <c r="AL286" s="176" t="n"/>
      <c r="AM286" s="172" t="n"/>
      <c r="AO286" s="175" t="n"/>
    </row>
    <row r="287">
      <c r="C287" s="18" t="n"/>
      <c r="D287" s="11" t="n"/>
      <c r="G287" s="11" t="n"/>
      <c r="I287" s="11" t="n"/>
      <c r="J287" s="11" t="n"/>
      <c r="K287" s="11" t="n"/>
      <c r="R287" s="172" t="n"/>
      <c r="S287" s="172" t="n"/>
      <c r="T287" s="172" t="n"/>
      <c r="U287" s="172" t="n"/>
      <c r="V287" s="172" t="n"/>
      <c r="W287" s="172" t="n"/>
      <c r="X287" s="172" t="n"/>
      <c r="Y287" s="173" t="n"/>
      <c r="Z287" s="174" t="n"/>
      <c r="AB287" s="172" t="n"/>
      <c r="AC287" s="172" t="n"/>
      <c r="AD287" s="172" t="n"/>
      <c r="AE287" s="172" t="n"/>
      <c r="AG287" s="172" t="n"/>
      <c r="AI287" s="172" t="n"/>
      <c r="AJ287" s="172" t="n"/>
      <c r="AK287" s="172" t="n"/>
      <c r="AL287" s="172" t="n"/>
      <c r="AM287" s="172" t="n"/>
      <c r="AO287" s="175" t="n"/>
    </row>
    <row r="288">
      <c r="C288" s="18" t="n"/>
      <c r="D288" s="11" t="n"/>
      <c r="G288" s="11" t="n"/>
      <c r="I288" s="11" t="n"/>
      <c r="J288" s="11" t="n"/>
      <c r="K288" s="11" t="n"/>
      <c r="R288" s="172" t="n"/>
      <c r="S288" s="172" t="n"/>
      <c r="T288" s="172" t="n"/>
      <c r="U288" s="172" t="n"/>
      <c r="V288" s="172" t="n"/>
      <c r="W288" s="172" t="n"/>
      <c r="X288" s="172" t="n"/>
      <c r="Y288" s="173" t="n"/>
      <c r="Z288" s="174" t="n"/>
      <c r="AB288" s="172" t="n"/>
      <c r="AC288" s="172" t="n"/>
      <c r="AD288" s="172" t="n"/>
      <c r="AE288" s="172" t="n"/>
      <c r="AG288" s="172" t="n"/>
      <c r="AI288" s="172" t="n"/>
      <c r="AJ288" s="172" t="n"/>
      <c r="AK288" s="172" t="n"/>
      <c r="AL288" s="176" t="n"/>
      <c r="AM288" s="172" t="n"/>
      <c r="AO288" s="175" t="n"/>
    </row>
    <row r="289">
      <c r="C289" s="18" t="n"/>
      <c r="D289" s="11" t="n"/>
      <c r="G289" s="11" t="n"/>
      <c r="I289" s="11" t="n"/>
      <c r="J289" s="11" t="n"/>
      <c r="K289" s="11" t="n"/>
      <c r="R289" s="172" t="n"/>
      <c r="S289" s="172" t="n"/>
      <c r="T289" s="172" t="n"/>
      <c r="U289" s="172" t="n"/>
      <c r="V289" s="172" t="n"/>
      <c r="W289" s="172" t="n"/>
      <c r="X289" s="172" t="n"/>
      <c r="Y289" s="173" t="n"/>
      <c r="Z289" s="174" t="n"/>
      <c r="AB289" s="172" t="n"/>
      <c r="AC289" s="172" t="n"/>
      <c r="AD289" s="172" t="n"/>
      <c r="AE289" s="172" t="n"/>
      <c r="AG289" s="172" t="n"/>
      <c r="AI289" s="172" t="n"/>
      <c r="AJ289" s="172" t="n"/>
      <c r="AK289" s="172" t="n"/>
      <c r="AL289" s="176" t="n"/>
      <c r="AM289" s="172" t="n"/>
      <c r="AO289" s="175" t="n"/>
    </row>
    <row r="290">
      <c r="C290" s="18" t="n"/>
      <c r="D290" s="11" t="n"/>
      <c r="G290" s="11" t="n"/>
      <c r="I290" s="11" t="n"/>
      <c r="J290" s="11" t="n"/>
      <c r="K290" s="11" t="n"/>
      <c r="R290" s="172" t="n"/>
      <c r="S290" s="172" t="n"/>
      <c r="T290" s="172" t="n"/>
      <c r="U290" s="172" t="n"/>
      <c r="V290" s="172" t="n"/>
      <c r="W290" s="172" t="n"/>
      <c r="X290" s="172" t="n"/>
      <c r="Y290" s="173" t="n"/>
      <c r="Z290" s="174" t="n"/>
      <c r="AB290" s="172" t="n"/>
      <c r="AC290" s="172" t="n"/>
      <c r="AD290" s="172" t="n"/>
      <c r="AE290" s="172" t="n"/>
      <c r="AG290" s="172" t="n"/>
      <c r="AI290" s="172" t="n"/>
      <c r="AJ290" s="172" t="n"/>
      <c r="AK290" s="172" t="n"/>
      <c r="AL290" s="176" t="n"/>
      <c r="AM290" s="172" t="n"/>
      <c r="AO290" s="175" t="n"/>
    </row>
    <row r="291">
      <c r="C291" s="18" t="n"/>
      <c r="D291" s="11" t="n"/>
      <c r="G291" s="11" t="n"/>
      <c r="I291" s="11" t="n"/>
      <c r="J291" s="11" t="n"/>
      <c r="K291" s="11" t="n"/>
      <c r="R291" s="172" t="n"/>
      <c r="S291" s="172" t="n"/>
      <c r="T291" s="172" t="n"/>
      <c r="U291" s="172" t="n"/>
      <c r="V291" s="172" t="n"/>
      <c r="W291" s="172" t="n"/>
      <c r="X291" s="172" t="n"/>
      <c r="Y291" s="173" t="n"/>
      <c r="Z291" s="174" t="n"/>
      <c r="AB291" s="172" t="n"/>
      <c r="AC291" s="172" t="n"/>
      <c r="AD291" s="172" t="n"/>
      <c r="AE291" s="172" t="n"/>
      <c r="AG291" s="172" t="n"/>
      <c r="AI291" s="172" t="n"/>
      <c r="AJ291" s="172" t="n"/>
      <c r="AK291" s="172" t="n"/>
      <c r="AL291" s="176" t="n"/>
      <c r="AM291" s="172" t="n"/>
      <c r="AO291" s="175" t="n"/>
    </row>
    <row r="292">
      <c r="C292" s="18" t="n"/>
      <c r="D292" s="11" t="n"/>
      <c r="G292" s="11" t="n"/>
      <c r="I292" s="11" t="n"/>
      <c r="J292" s="11" t="n"/>
      <c r="K292" s="11" t="n"/>
      <c r="R292" s="172" t="n"/>
      <c r="S292" s="172" t="n"/>
      <c r="T292" s="172" t="n"/>
      <c r="U292" s="172" t="n"/>
      <c r="V292" s="172" t="n"/>
      <c r="W292" s="172" t="n"/>
      <c r="X292" s="172" t="n"/>
      <c r="Y292" s="173" t="n"/>
      <c r="Z292" s="174" t="n"/>
      <c r="AB292" s="172" t="n"/>
      <c r="AC292" s="172" t="n"/>
      <c r="AD292" s="172" t="n"/>
      <c r="AE292" s="172" t="n"/>
      <c r="AG292" s="172" t="n"/>
      <c r="AI292" s="172" t="n"/>
      <c r="AJ292" s="172" t="n"/>
      <c r="AK292" s="172" t="n"/>
      <c r="AL292" s="176" t="n"/>
      <c r="AM292" s="172" t="n"/>
      <c r="AO292" s="175" t="n"/>
    </row>
    <row r="293">
      <c r="C293" s="18" t="n"/>
      <c r="D293" s="11" t="n"/>
      <c r="G293" s="11" t="n"/>
      <c r="I293" s="11" t="n"/>
      <c r="J293" s="11" t="n"/>
      <c r="K293" s="11" t="n"/>
      <c r="R293" s="172" t="n"/>
      <c r="S293" s="172" t="n"/>
      <c r="T293" s="172" t="n"/>
      <c r="U293" s="172" t="n"/>
      <c r="V293" s="172" t="n"/>
      <c r="W293" s="172" t="n"/>
      <c r="X293" s="172" t="n"/>
      <c r="Y293" s="173" t="n"/>
      <c r="Z293" s="174" t="n"/>
      <c r="AB293" s="172" t="n"/>
      <c r="AC293" s="172" t="n"/>
      <c r="AD293" s="172" t="n"/>
      <c r="AE293" s="172" t="n"/>
      <c r="AG293" s="172" t="n"/>
      <c r="AI293" s="172" t="n"/>
      <c r="AJ293" s="172" t="n"/>
      <c r="AK293" s="172" t="n"/>
      <c r="AL293" s="176" t="n"/>
      <c r="AM293" s="172" t="n"/>
      <c r="AO293" s="175" t="n"/>
    </row>
    <row r="294">
      <c r="C294" s="18" t="n"/>
      <c r="D294" s="11" t="n"/>
      <c r="G294" s="11" t="n"/>
      <c r="I294" s="11" t="n"/>
      <c r="J294" s="11" t="n"/>
      <c r="K294" s="11" t="n"/>
      <c r="R294" s="172" t="n"/>
      <c r="S294" s="172" t="n"/>
      <c r="T294" s="172" t="n"/>
      <c r="U294" s="172" t="n"/>
      <c r="V294" s="172" t="n"/>
      <c r="W294" s="172" t="n"/>
      <c r="X294" s="172" t="n"/>
      <c r="Y294" s="173" t="n"/>
      <c r="Z294" s="174" t="n"/>
      <c r="AB294" s="172" t="n"/>
      <c r="AC294" s="172" t="n"/>
      <c r="AD294" s="172" t="n"/>
      <c r="AE294" s="172" t="n"/>
      <c r="AG294" s="172" t="n"/>
      <c r="AI294" s="172" t="n"/>
      <c r="AJ294" s="172" t="n"/>
      <c r="AK294" s="172" t="n"/>
      <c r="AL294" s="176" t="n"/>
      <c r="AM294" s="172" t="n"/>
      <c r="AO294" s="175" t="n"/>
    </row>
    <row r="295">
      <c r="C295" s="18" t="n"/>
      <c r="D295" s="11" t="n"/>
      <c r="G295" s="11" t="n"/>
      <c r="I295" s="11" t="n"/>
      <c r="J295" s="11" t="n"/>
      <c r="K295" s="11" t="n"/>
      <c r="R295" s="172" t="n"/>
      <c r="S295" s="172" t="n"/>
      <c r="T295" s="172" t="n"/>
      <c r="U295" s="172" t="n"/>
      <c r="V295" s="172" t="n"/>
      <c r="W295" s="172" t="n"/>
      <c r="X295" s="172" t="n"/>
      <c r="Y295" s="173" t="n"/>
      <c r="Z295" s="174" t="n"/>
      <c r="AB295" s="172" t="n"/>
      <c r="AC295" s="172" t="n"/>
      <c r="AD295" s="172" t="n"/>
      <c r="AE295" s="172" t="n"/>
      <c r="AG295" s="172" t="n"/>
      <c r="AI295" s="172" t="n"/>
      <c r="AJ295" s="172" t="n"/>
      <c r="AK295" s="172" t="n"/>
      <c r="AL295" s="176" t="n"/>
      <c r="AM295" s="172" t="n"/>
      <c r="AO295" s="175" t="n"/>
    </row>
    <row r="296">
      <c r="C296" s="18" t="n"/>
      <c r="D296" s="11" t="n"/>
      <c r="G296" s="11" t="n"/>
      <c r="I296" s="11" t="n"/>
      <c r="J296" s="11" t="n"/>
      <c r="K296" s="11" t="n"/>
      <c r="R296" s="172" t="n"/>
      <c r="S296" s="172" t="n"/>
      <c r="T296" s="172" t="n"/>
      <c r="U296" s="172" t="n"/>
      <c r="V296" s="172" t="n"/>
      <c r="W296" s="172" t="n"/>
      <c r="X296" s="172" t="n"/>
      <c r="Y296" s="173" t="n"/>
      <c r="Z296" s="174" t="n"/>
      <c r="AB296" s="172" t="n"/>
      <c r="AC296" s="172" t="n"/>
      <c r="AD296" s="172" t="n"/>
      <c r="AE296" s="172" t="n"/>
      <c r="AG296" s="172" t="n"/>
      <c r="AI296" s="172" t="n"/>
      <c r="AJ296" s="172" t="n"/>
      <c r="AK296" s="172" t="n"/>
      <c r="AL296" s="176" t="n"/>
      <c r="AM296" s="172" t="n"/>
      <c r="AO296" s="175" t="n"/>
    </row>
    <row r="297">
      <c r="C297" s="18" t="n"/>
      <c r="D297" s="11" t="n"/>
      <c r="G297" s="11" t="n"/>
      <c r="I297" s="11" t="n"/>
      <c r="J297" s="11" t="n"/>
      <c r="K297" s="11" t="n"/>
      <c r="R297" s="172" t="n"/>
      <c r="S297" s="172" t="n"/>
      <c r="T297" s="172" t="n"/>
      <c r="U297" s="172" t="n"/>
      <c r="V297" s="172" t="n"/>
      <c r="W297" s="172" t="n"/>
      <c r="X297" s="172" t="n"/>
      <c r="Y297" s="173" t="n"/>
      <c r="Z297" s="174" t="n"/>
      <c r="AB297" s="172" t="n"/>
      <c r="AC297" s="172" t="n"/>
      <c r="AD297" s="172" t="n"/>
      <c r="AE297" s="172" t="n"/>
      <c r="AG297" s="172" t="n"/>
      <c r="AI297" s="172" t="n"/>
      <c r="AJ297" s="172" t="n"/>
      <c r="AK297" s="172" t="n"/>
      <c r="AL297" s="176" t="n"/>
      <c r="AM297" s="172" t="n"/>
      <c r="AO297" s="175" t="n"/>
    </row>
    <row r="298">
      <c r="C298" s="18" t="n"/>
      <c r="D298" s="11" t="n"/>
      <c r="G298" s="11" t="n"/>
      <c r="I298" s="11" t="n"/>
      <c r="J298" s="11" t="n"/>
      <c r="K298" s="11" t="n"/>
      <c r="R298" s="172" t="n"/>
      <c r="S298" s="172" t="n"/>
      <c r="T298" s="172" t="n"/>
      <c r="U298" s="172" t="n"/>
      <c r="V298" s="172" t="n"/>
      <c r="W298" s="172" t="n"/>
      <c r="X298" s="172" t="n"/>
      <c r="Y298" s="173" t="n"/>
      <c r="Z298" s="174" t="n"/>
      <c r="AB298" s="172" t="n"/>
      <c r="AC298" s="172" t="n"/>
      <c r="AD298" s="172" t="n"/>
      <c r="AE298" s="172" t="n"/>
      <c r="AG298" s="172" t="n"/>
      <c r="AI298" s="172" t="n"/>
      <c r="AJ298" s="172" t="n"/>
      <c r="AK298" s="172" t="n"/>
      <c r="AL298" s="176" t="n"/>
      <c r="AM298" s="172" t="n"/>
      <c r="AO298" s="175" t="n"/>
    </row>
    <row r="299">
      <c r="C299" s="18" t="n"/>
      <c r="D299" s="11" t="n"/>
      <c r="G299" s="11" t="n"/>
      <c r="I299" s="11" t="n"/>
      <c r="J299" s="11" t="n"/>
      <c r="K299" s="11" t="n"/>
      <c r="R299" s="172" t="n"/>
      <c r="S299" s="172" t="n"/>
      <c r="T299" s="172" t="n"/>
      <c r="U299" s="172" t="n"/>
      <c r="V299" s="172" t="n"/>
      <c r="W299" s="172" t="n"/>
      <c r="X299" s="172" t="n"/>
      <c r="Y299" s="173" t="n"/>
      <c r="Z299" s="174" t="n"/>
      <c r="AB299" s="172" t="n"/>
      <c r="AC299" s="172" t="n"/>
      <c r="AD299" s="172" t="n"/>
      <c r="AE299" s="172" t="n"/>
      <c r="AG299" s="172" t="n"/>
      <c r="AI299" s="172" t="n"/>
      <c r="AJ299" s="172" t="n"/>
      <c r="AK299" s="172" t="n"/>
      <c r="AL299" s="176" t="n"/>
      <c r="AM299" s="172" t="n"/>
      <c r="AO299" s="175" t="n"/>
    </row>
    <row r="300">
      <c r="C300" s="18" t="n"/>
      <c r="D300" s="11" t="n"/>
      <c r="G300" s="11" t="n"/>
      <c r="I300" s="11" t="n"/>
      <c r="J300" s="11" t="n"/>
      <c r="K300" s="11" t="n"/>
      <c r="R300" s="172" t="n"/>
      <c r="S300" s="172" t="n"/>
      <c r="T300" s="172" t="n"/>
      <c r="U300" s="172" t="n"/>
      <c r="V300" s="172" t="n"/>
      <c r="W300" s="172" t="n"/>
      <c r="X300" s="172" t="n"/>
      <c r="Y300" s="173" t="n"/>
      <c r="Z300" s="174" t="n"/>
      <c r="AB300" s="172" t="n"/>
      <c r="AC300" s="172" t="n"/>
      <c r="AD300" s="172" t="n"/>
      <c r="AE300" s="172" t="n"/>
      <c r="AG300" s="172" t="n"/>
      <c r="AI300" s="172" t="n"/>
      <c r="AJ300" s="172" t="n"/>
      <c r="AK300" s="172" t="n"/>
      <c r="AL300" s="176" t="n"/>
      <c r="AM300" s="172" t="n"/>
    </row>
    <row r="301">
      <c r="C301" s="18" t="n"/>
      <c r="D301" s="11" t="n"/>
      <c r="G301" s="11" t="n"/>
      <c r="I301" s="11" t="n"/>
      <c r="J301" s="11" t="n"/>
      <c r="K301" s="11" t="n"/>
      <c r="R301" s="172" t="n"/>
      <c r="S301" s="172" t="n"/>
      <c r="T301" s="172" t="n"/>
      <c r="U301" s="172" t="n"/>
      <c r="V301" s="172" t="n"/>
      <c r="W301" s="172" t="n"/>
      <c r="X301" s="172" t="n"/>
      <c r="Y301" s="173" t="n"/>
      <c r="Z301" s="174" t="n"/>
      <c r="AB301" s="172" t="n"/>
      <c r="AC301" s="172" t="n"/>
      <c r="AD301" s="172" t="n"/>
      <c r="AE301" s="172" t="n"/>
      <c r="AG301" s="172" t="n"/>
      <c r="AI301" s="172" t="n"/>
      <c r="AJ301" s="172" t="n"/>
      <c r="AK301" s="172" t="n"/>
      <c r="AL301" s="176" t="n"/>
      <c r="AM301" s="172" t="n"/>
      <c r="AO301" s="175" t="n"/>
    </row>
    <row r="302">
      <c r="C302" s="18" t="n"/>
      <c r="D302" s="11" t="n"/>
      <c r="G302" s="11" t="n"/>
      <c r="I302" s="11" t="n"/>
      <c r="J302" s="11" t="n"/>
      <c r="K302" s="11" t="n"/>
      <c r="R302" s="172" t="n"/>
      <c r="S302" s="172" t="n"/>
      <c r="T302" s="172" t="n"/>
      <c r="U302" s="172" t="n"/>
      <c r="V302" s="172" t="n"/>
      <c r="W302" s="172" t="n"/>
      <c r="X302" s="172" t="n"/>
      <c r="Y302" s="173" t="n"/>
      <c r="Z302" s="174" t="n"/>
      <c r="AB302" s="172" t="n"/>
      <c r="AC302" s="172" t="n"/>
      <c r="AD302" s="172" t="n"/>
      <c r="AE302" s="172" t="n"/>
      <c r="AG302" s="172" t="n"/>
      <c r="AI302" s="172" t="n"/>
      <c r="AJ302" s="172" t="n"/>
      <c r="AK302" s="172" t="n"/>
      <c r="AL302" s="176" t="n"/>
      <c r="AM302" s="172" t="n"/>
      <c r="AO302" s="175" t="n"/>
    </row>
    <row r="303">
      <c r="C303" s="18" t="n"/>
      <c r="D303" s="11" t="n"/>
      <c r="G303" s="11" t="n"/>
      <c r="I303" s="11" t="n"/>
      <c r="J303" s="11" t="n"/>
      <c r="K303" s="11" t="n"/>
      <c r="R303" s="172" t="n"/>
      <c r="S303" s="172" t="n"/>
      <c r="T303" s="172" t="n"/>
      <c r="U303" s="172" t="n"/>
      <c r="V303" s="172" t="n"/>
      <c r="W303" s="172" t="n"/>
      <c r="X303" s="172" t="n"/>
      <c r="Y303" s="173" t="n"/>
      <c r="Z303" s="174" t="n"/>
      <c r="AB303" s="172" t="n"/>
      <c r="AC303" s="172" t="n"/>
      <c r="AD303" s="172" t="n"/>
      <c r="AE303" s="172" t="n"/>
      <c r="AG303" s="172" t="n"/>
      <c r="AI303" s="172" t="n"/>
      <c r="AJ303" s="172" t="n"/>
      <c r="AK303" s="172" t="n"/>
      <c r="AL303" s="176" t="n"/>
      <c r="AM303" s="172" t="n"/>
      <c r="AO303" s="175" t="n"/>
    </row>
    <row r="304">
      <c r="C304" s="18" t="n"/>
      <c r="D304" s="11" t="n"/>
      <c r="G304" s="11" t="n"/>
      <c r="I304" s="11" t="n"/>
      <c r="J304" s="11" t="n"/>
      <c r="K304" s="11" t="n"/>
      <c r="R304" s="172" t="n"/>
      <c r="S304" s="172" t="n"/>
      <c r="T304" s="172" t="n"/>
      <c r="U304" s="172" t="n"/>
      <c r="V304" s="172" t="n"/>
      <c r="W304" s="172" t="n"/>
      <c r="X304" s="172" t="n"/>
      <c r="Y304" s="173" t="n"/>
      <c r="Z304" s="174" t="n"/>
      <c r="AB304" s="172" t="n"/>
      <c r="AC304" s="172" t="n"/>
      <c r="AD304" s="172" t="n"/>
      <c r="AE304" s="172" t="n"/>
      <c r="AG304" s="172" t="n"/>
      <c r="AI304" s="172" t="n"/>
      <c r="AJ304" s="172" t="n"/>
      <c r="AK304" s="172" t="n"/>
      <c r="AL304" s="176" t="n"/>
      <c r="AM304" s="172" t="n"/>
      <c r="AO304" s="175" t="n"/>
    </row>
    <row r="305">
      <c r="C305" s="18" t="n"/>
      <c r="D305" s="11" t="n"/>
      <c r="G305" s="11" t="n"/>
      <c r="I305" s="11" t="n"/>
      <c r="J305" s="11" t="n"/>
      <c r="K305" s="11" t="n"/>
      <c r="R305" s="172" t="n"/>
      <c r="S305" s="172" t="n"/>
      <c r="T305" s="172" t="n"/>
      <c r="U305" s="172" t="n"/>
      <c r="V305" s="172" t="n"/>
      <c r="W305" s="172" t="n"/>
      <c r="X305" s="172" t="n"/>
      <c r="Y305" s="173" t="n"/>
      <c r="Z305" s="174" t="n"/>
      <c r="AB305" s="172" t="n"/>
      <c r="AC305" s="172" t="n"/>
      <c r="AD305" s="172" t="n"/>
      <c r="AE305" s="172" t="n"/>
      <c r="AG305" s="172" t="n"/>
      <c r="AI305" s="172" t="n"/>
      <c r="AJ305" s="172" t="n"/>
      <c r="AK305" s="172" t="n"/>
      <c r="AL305" s="176" t="n"/>
      <c r="AM305" s="172" t="n"/>
      <c r="AO305" s="175" t="n"/>
    </row>
    <row r="306">
      <c r="C306" s="18" t="n"/>
      <c r="D306" s="11" t="n"/>
      <c r="G306" s="11" t="n"/>
      <c r="I306" s="11" t="n"/>
      <c r="J306" s="11" t="n"/>
      <c r="K306" s="11" t="n"/>
      <c r="R306" s="172" t="n"/>
      <c r="S306" s="172" t="n"/>
      <c r="T306" s="172" t="n"/>
      <c r="U306" s="172" t="n"/>
      <c r="V306" s="172" t="n"/>
      <c r="W306" s="172" t="n"/>
      <c r="X306" s="172" t="n"/>
      <c r="Y306" s="173" t="n"/>
      <c r="Z306" s="174" t="n"/>
      <c r="AB306" s="172" t="n"/>
      <c r="AC306" s="172" t="n"/>
      <c r="AD306" s="172" t="n"/>
      <c r="AE306" s="172" t="n"/>
      <c r="AG306" s="172" t="n"/>
      <c r="AI306" s="172" t="n"/>
      <c r="AJ306" s="172" t="n"/>
      <c r="AK306" s="172" t="n"/>
      <c r="AL306" s="176" t="n"/>
      <c r="AM306" s="172" t="n"/>
      <c r="AO306" s="175" t="n"/>
    </row>
    <row r="307">
      <c r="C307" s="18" t="n"/>
      <c r="D307" s="11" t="n"/>
      <c r="G307" s="11" t="n"/>
      <c r="I307" s="11" t="n"/>
      <c r="J307" s="11" t="n"/>
      <c r="K307" s="11" t="n"/>
      <c r="R307" s="172" t="n"/>
      <c r="S307" s="172" t="n"/>
      <c r="T307" s="172" t="n"/>
      <c r="U307" s="172" t="n"/>
      <c r="V307" s="172" t="n"/>
      <c r="W307" s="172" t="n"/>
      <c r="X307" s="172" t="n"/>
      <c r="Y307" s="173" t="n"/>
      <c r="Z307" s="174" t="n"/>
      <c r="AB307" s="172" t="n"/>
      <c r="AC307" s="172" t="n"/>
      <c r="AD307" s="172" t="n"/>
      <c r="AE307" s="172" t="n"/>
      <c r="AG307" s="172" t="n"/>
      <c r="AI307" s="172" t="n"/>
      <c r="AJ307" s="172" t="n"/>
      <c r="AK307" s="172" t="n"/>
      <c r="AL307" s="176" t="n"/>
      <c r="AM307" s="172" t="n"/>
      <c r="AO307" s="175" t="n"/>
    </row>
    <row r="308">
      <c r="C308" s="18" t="n"/>
      <c r="D308" s="11" t="n"/>
      <c r="G308" s="11" t="n"/>
      <c r="I308" s="11" t="n"/>
      <c r="J308" s="11" t="n"/>
      <c r="K308" s="11" t="n"/>
      <c r="R308" s="172" t="n"/>
      <c r="S308" s="172" t="n"/>
      <c r="T308" s="172" t="n"/>
      <c r="U308" s="172" t="n"/>
      <c r="V308" s="172" t="n"/>
      <c r="W308" s="172" t="n"/>
      <c r="X308" s="172" t="n"/>
      <c r="Y308" s="173" t="n"/>
      <c r="Z308" s="174" t="n"/>
      <c r="AB308" s="172" t="n"/>
      <c r="AC308" s="172" t="n"/>
      <c r="AD308" s="172" t="n"/>
      <c r="AE308" s="172" t="n"/>
      <c r="AG308" s="172" t="n"/>
      <c r="AI308" s="172" t="n"/>
      <c r="AJ308" s="172" t="n"/>
      <c r="AK308" s="172" t="n"/>
      <c r="AL308" s="172" t="n"/>
      <c r="AM308" s="172" t="n"/>
    </row>
    <row r="309">
      <c r="C309" s="18" t="n"/>
      <c r="D309" s="11" t="n"/>
      <c r="G309" s="11" t="n"/>
      <c r="I309" s="11" t="n"/>
      <c r="J309" s="11" t="n"/>
      <c r="K309" s="11" t="n"/>
      <c r="R309" s="172" t="n"/>
      <c r="S309" s="172" t="n"/>
      <c r="T309" s="172" t="n"/>
      <c r="U309" s="172" t="n"/>
      <c r="V309" s="172" t="n"/>
      <c r="W309" s="172" t="n"/>
      <c r="X309" s="172" t="n"/>
      <c r="Y309" s="173" t="n"/>
      <c r="Z309" s="174" t="n"/>
      <c r="AB309" s="172" t="n"/>
      <c r="AC309" s="172" t="n"/>
      <c r="AD309" s="172" t="n"/>
      <c r="AE309" s="172" t="n"/>
      <c r="AG309" s="172" t="n"/>
      <c r="AI309" s="172" t="n"/>
      <c r="AJ309" s="172" t="n"/>
      <c r="AK309" s="172" t="n"/>
      <c r="AL309" s="172" t="n"/>
      <c r="AM309" s="172" t="n"/>
    </row>
    <row r="310">
      <c r="C310" s="18" t="n"/>
      <c r="D310" s="11" t="n"/>
      <c r="G310" s="11" t="n"/>
      <c r="I310" s="11" t="n"/>
      <c r="J310" s="11" t="n"/>
      <c r="K310" s="11" t="n"/>
      <c r="R310" s="172" t="n"/>
      <c r="S310" s="172" t="n"/>
      <c r="T310" s="172" t="n"/>
      <c r="U310" s="172" t="n"/>
      <c r="V310" s="172" t="n"/>
      <c r="W310" s="172" t="n"/>
      <c r="X310" s="172" t="n"/>
      <c r="Y310" s="173" t="n"/>
      <c r="Z310" s="174" t="n"/>
      <c r="AB310" s="172" t="n"/>
      <c r="AC310" s="172" t="n"/>
      <c r="AD310" s="172" t="n"/>
      <c r="AE310" s="172" t="n"/>
      <c r="AG310" s="172" t="n"/>
      <c r="AI310" s="172" t="n"/>
      <c r="AJ310" s="172" t="n"/>
      <c r="AK310" s="172" t="n"/>
      <c r="AL310" s="176" t="n"/>
      <c r="AM310" s="172" t="n"/>
      <c r="AO310" s="175" t="n"/>
    </row>
    <row r="311">
      <c r="C311" s="18" t="n"/>
      <c r="D311" s="11" t="n"/>
      <c r="G311" s="11" t="n"/>
      <c r="I311" s="11" t="n"/>
      <c r="J311" s="11" t="n"/>
      <c r="K311" s="11" t="n"/>
      <c r="R311" s="172" t="n"/>
      <c r="S311" s="172" t="n"/>
      <c r="T311" s="172" t="n"/>
      <c r="U311" s="172" t="n"/>
      <c r="V311" s="172" t="n"/>
      <c r="W311" s="172" t="n"/>
      <c r="X311" s="172" t="n"/>
      <c r="Y311" s="173" t="n"/>
      <c r="Z311" s="174" t="n"/>
      <c r="AB311" s="172" t="n"/>
      <c r="AC311" s="172" t="n"/>
      <c r="AD311" s="172" t="n"/>
      <c r="AE311" s="172" t="n"/>
      <c r="AG311" s="172" t="n"/>
      <c r="AI311" s="172" t="n"/>
      <c r="AJ311" s="172" t="n"/>
      <c r="AK311" s="172" t="n"/>
      <c r="AL311" s="172" t="n"/>
      <c r="AM311" s="172" t="n"/>
      <c r="AO311" s="175" t="n"/>
    </row>
    <row r="312">
      <c r="C312" s="18" t="n"/>
      <c r="D312" s="11" t="n"/>
      <c r="G312" s="11" t="n"/>
      <c r="I312" s="11" t="n"/>
      <c r="J312" s="11" t="n"/>
      <c r="K312" s="11" t="n"/>
      <c r="R312" s="172" t="n"/>
      <c r="S312" s="172" t="n"/>
      <c r="T312" s="172" t="n"/>
      <c r="U312" s="172" t="n"/>
      <c r="V312" s="172" t="n"/>
      <c r="W312" s="172" t="n"/>
      <c r="X312" s="172" t="n"/>
      <c r="Y312" s="173" t="n"/>
      <c r="Z312" s="174" t="n"/>
      <c r="AB312" s="172" t="n"/>
      <c r="AC312" s="172" t="n"/>
      <c r="AD312" s="172" t="n"/>
      <c r="AE312" s="172" t="n"/>
      <c r="AG312" s="172" t="n"/>
      <c r="AI312" s="172" t="n"/>
      <c r="AJ312" s="172" t="n"/>
      <c r="AK312" s="172" t="n"/>
      <c r="AL312" s="172" t="n"/>
      <c r="AM312" s="172" t="n"/>
      <c r="AO312" s="175" t="n"/>
    </row>
    <row r="313">
      <c r="C313" s="18" t="n"/>
      <c r="D313" s="11" t="n"/>
      <c r="G313" s="11" t="n"/>
      <c r="I313" s="11" t="n"/>
      <c r="J313" s="11" t="n"/>
      <c r="K313" s="11" t="n"/>
      <c r="R313" s="172" t="n"/>
      <c r="S313" s="172" t="n"/>
      <c r="T313" s="172" t="n"/>
      <c r="U313" s="172" t="n"/>
      <c r="V313" s="172" t="n"/>
      <c r="W313" s="172" t="n"/>
      <c r="X313" s="172" t="n"/>
      <c r="Y313" s="173" t="n"/>
      <c r="Z313" s="174" t="n"/>
      <c r="AB313" s="172" t="n"/>
      <c r="AC313" s="172" t="n"/>
      <c r="AD313" s="172" t="n"/>
      <c r="AE313" s="172" t="n"/>
      <c r="AG313" s="172" t="n"/>
      <c r="AI313" s="172" t="n"/>
      <c r="AJ313" s="172" t="n"/>
      <c r="AK313" s="172" t="n"/>
      <c r="AL313" s="172" t="n"/>
      <c r="AM313" s="172" t="n"/>
    </row>
    <row r="314">
      <c r="C314" s="18" t="n"/>
      <c r="D314" s="11" t="n"/>
      <c r="G314" s="11" t="n"/>
      <c r="I314" s="11" t="n"/>
      <c r="J314" s="11" t="n"/>
      <c r="K314" s="11" t="n"/>
      <c r="R314" s="172" t="n"/>
      <c r="S314" s="172" t="n"/>
      <c r="T314" s="172" t="n"/>
      <c r="U314" s="172" t="n"/>
      <c r="V314" s="172" t="n"/>
      <c r="W314" s="172" t="n"/>
      <c r="X314" s="172" t="n"/>
      <c r="Y314" s="173" t="n"/>
      <c r="Z314" s="174" t="n"/>
      <c r="AB314" s="172" t="n"/>
      <c r="AC314" s="172" t="n"/>
      <c r="AD314" s="172" t="n"/>
      <c r="AE314" s="172" t="n"/>
      <c r="AG314" s="172" t="n"/>
      <c r="AI314" s="172" t="n"/>
      <c r="AJ314" s="172" t="n"/>
      <c r="AK314" s="172" t="n"/>
      <c r="AL314" s="172" t="n"/>
      <c r="AM314" s="172" t="n"/>
    </row>
    <row r="315">
      <c r="C315" s="18" t="n"/>
      <c r="D315" s="11" t="n"/>
      <c r="G315" s="11" t="n"/>
      <c r="I315" s="11" t="n"/>
      <c r="J315" s="11" t="n"/>
      <c r="K315" s="11" t="n"/>
      <c r="R315" s="172" t="n"/>
      <c r="S315" s="172" t="n"/>
      <c r="T315" s="172" t="n"/>
      <c r="U315" s="172" t="n"/>
      <c r="V315" s="172" t="n"/>
      <c r="W315" s="172" t="n"/>
      <c r="X315" s="172" t="n"/>
      <c r="Y315" s="173" t="n"/>
      <c r="Z315" s="174" t="n"/>
      <c r="AB315" s="172" t="n"/>
      <c r="AC315" s="172" t="n"/>
      <c r="AD315" s="172" t="n"/>
      <c r="AE315" s="172" t="n"/>
      <c r="AG315" s="172" t="n"/>
      <c r="AI315" s="172" t="n"/>
      <c r="AJ315" s="172" t="n"/>
      <c r="AK315" s="172" t="n"/>
      <c r="AL315" s="172" t="n"/>
      <c r="AM315" s="172" t="n"/>
    </row>
    <row r="316">
      <c r="C316" s="18" t="n"/>
      <c r="D316" s="11" t="n"/>
      <c r="G316" s="11" t="n"/>
      <c r="I316" s="11" t="n"/>
      <c r="J316" s="11" t="n"/>
      <c r="K316" s="11" t="n"/>
      <c r="R316" s="172" t="n"/>
      <c r="S316" s="172" t="n"/>
      <c r="T316" s="172" t="n"/>
      <c r="U316" s="172" t="n"/>
      <c r="V316" s="172" t="n"/>
      <c r="W316" s="172" t="n"/>
      <c r="X316" s="172" t="n"/>
      <c r="Y316" s="173" t="n"/>
      <c r="Z316" s="174" t="n"/>
      <c r="AB316" s="172" t="n"/>
      <c r="AC316" s="172" t="n"/>
      <c r="AD316" s="172" t="n"/>
      <c r="AE316" s="172" t="n"/>
      <c r="AG316" s="172" t="n"/>
      <c r="AI316" s="172" t="n"/>
      <c r="AJ316" s="172" t="n"/>
      <c r="AK316" s="172" t="n"/>
      <c r="AL316" s="172" t="n"/>
      <c r="AM316" s="172" t="n"/>
    </row>
    <row r="317">
      <c r="C317" s="18" t="n"/>
      <c r="D317" s="11" t="n"/>
      <c r="G317" s="11" t="n"/>
      <c r="I317" s="11" t="n"/>
      <c r="J317" s="11" t="n"/>
      <c r="K317" s="11" t="n"/>
      <c r="R317" s="172" t="n"/>
      <c r="S317" s="172" t="n"/>
      <c r="T317" s="172" t="n"/>
      <c r="U317" s="172" t="n"/>
      <c r="V317" s="172" t="n"/>
      <c r="W317" s="172" t="n"/>
      <c r="X317" s="172" t="n"/>
      <c r="Y317" s="173" t="n"/>
      <c r="Z317" s="174" t="n"/>
      <c r="AB317" s="172" t="n"/>
      <c r="AC317" s="172" t="n"/>
      <c r="AD317" s="172" t="n"/>
      <c r="AE317" s="172" t="n"/>
      <c r="AG317" s="172" t="n"/>
      <c r="AI317" s="172" t="n"/>
      <c r="AJ317" s="172" t="n"/>
      <c r="AK317" s="172" t="n"/>
      <c r="AL317" s="172" t="n"/>
      <c r="AM317" s="172" t="n"/>
    </row>
    <row r="318">
      <c r="C318" s="18" t="n"/>
      <c r="D318" s="11" t="n"/>
      <c r="G318" s="11" t="n"/>
      <c r="I318" s="11" t="n"/>
      <c r="J318" s="11" t="n"/>
      <c r="K318" s="11" t="n"/>
      <c r="R318" s="172" t="n"/>
      <c r="S318" s="172" t="n"/>
      <c r="T318" s="172" t="n"/>
      <c r="U318" s="172" t="n"/>
      <c r="V318" s="172" t="n"/>
      <c r="W318" s="172" t="n"/>
      <c r="X318" s="172" t="n"/>
      <c r="Y318" s="173" t="n"/>
      <c r="Z318" s="174" t="n"/>
      <c r="AB318" s="172" t="n"/>
      <c r="AC318" s="172" t="n"/>
      <c r="AD318" s="172" t="n"/>
      <c r="AE318" s="172" t="n"/>
      <c r="AG318" s="172" t="n"/>
      <c r="AI318" s="172" t="n"/>
      <c r="AJ318" s="172" t="n"/>
      <c r="AK318" s="172" t="n"/>
      <c r="AL318" s="172" t="n"/>
      <c r="AM318" s="172" t="n"/>
    </row>
    <row r="319">
      <c r="C319" s="18" t="n"/>
      <c r="D319" s="11" t="n"/>
      <c r="G319" s="11" t="n"/>
      <c r="I319" s="11" t="n"/>
      <c r="J319" s="11" t="n"/>
      <c r="K319" s="11" t="n"/>
      <c r="R319" s="172" t="n"/>
      <c r="S319" s="172" t="n"/>
      <c r="T319" s="172" t="n"/>
      <c r="U319" s="172" t="n"/>
      <c r="V319" s="172" t="n"/>
      <c r="W319" s="172" t="n"/>
      <c r="X319" s="172" t="n"/>
      <c r="Y319" s="173" t="n"/>
      <c r="Z319" s="174" t="n"/>
      <c r="AB319" s="172" t="n"/>
      <c r="AC319" s="172" t="n"/>
      <c r="AD319" s="172" t="n"/>
      <c r="AE319" s="172" t="n"/>
      <c r="AG319" s="172" t="n"/>
      <c r="AI319" s="172" t="n"/>
      <c r="AJ319" s="172" t="n"/>
      <c r="AK319" s="172" t="n"/>
      <c r="AL319" s="172" t="n"/>
      <c r="AM319" s="172" t="n"/>
    </row>
    <row r="320">
      <c r="C320" s="18" t="n"/>
      <c r="D320" s="11" t="n"/>
      <c r="G320" s="11" t="n"/>
      <c r="I320" s="11" t="n"/>
      <c r="J320" s="11" t="n"/>
      <c r="K320" s="11" t="n"/>
      <c r="R320" s="172" t="n"/>
      <c r="S320" s="172" t="n"/>
      <c r="T320" s="172" t="n"/>
      <c r="U320" s="172" t="n"/>
      <c r="V320" s="172" t="n"/>
      <c r="W320" s="172" t="n"/>
      <c r="X320" s="172" t="n"/>
      <c r="Y320" s="173" t="n"/>
      <c r="Z320" s="174" t="n"/>
      <c r="AB320" s="172" t="n"/>
      <c r="AC320" s="172" t="n"/>
      <c r="AD320" s="172" t="n"/>
      <c r="AE320" s="172" t="n"/>
      <c r="AG320" s="172" t="n"/>
      <c r="AI320" s="172" t="n"/>
      <c r="AJ320" s="172" t="n"/>
      <c r="AK320" s="172" t="n"/>
      <c r="AL320" s="172" t="n"/>
      <c r="AM320" s="172" t="n"/>
    </row>
    <row r="321">
      <c r="C321" s="18" t="n"/>
      <c r="D321" s="11" t="n"/>
      <c r="G321" s="11" t="n"/>
      <c r="I321" s="11" t="n"/>
      <c r="J321" s="11" t="n"/>
      <c r="K321" s="11" t="n"/>
      <c r="R321" s="172" t="n"/>
      <c r="S321" s="172" t="n"/>
      <c r="T321" s="172" t="n"/>
      <c r="U321" s="172" t="n"/>
      <c r="V321" s="172" t="n"/>
      <c r="W321" s="172" t="n"/>
      <c r="X321" s="172" t="n"/>
      <c r="Y321" s="173" t="n"/>
      <c r="Z321" s="174" t="n"/>
      <c r="AB321" s="172" t="n"/>
      <c r="AC321" s="172" t="n"/>
      <c r="AD321" s="172" t="n"/>
      <c r="AE321" s="172" t="n"/>
      <c r="AG321" s="172" t="n"/>
      <c r="AI321" s="172" t="n"/>
      <c r="AJ321" s="172" t="n"/>
      <c r="AK321" s="172" t="n"/>
      <c r="AL321" s="176" t="n"/>
      <c r="AM321" s="172" t="n"/>
      <c r="AO321" s="175" t="n"/>
    </row>
    <row r="322">
      <c r="C322" s="18" t="n"/>
      <c r="D322" s="11" t="n"/>
      <c r="G322" s="11" t="n"/>
      <c r="I322" s="11" t="n"/>
      <c r="J322" s="11" t="n"/>
      <c r="K322" s="11" t="n"/>
      <c r="R322" s="172" t="n"/>
      <c r="S322" s="172" t="n"/>
      <c r="T322" s="172" t="n"/>
      <c r="U322" s="172" t="n"/>
      <c r="V322" s="172" t="n"/>
      <c r="W322" s="172" t="n"/>
      <c r="X322" s="172" t="n"/>
      <c r="Y322" s="173" t="n"/>
      <c r="Z322" s="174" t="n"/>
      <c r="AB322" s="172" t="n"/>
      <c r="AC322" s="172" t="n"/>
      <c r="AD322" s="172" t="n"/>
      <c r="AE322" s="172" t="n"/>
      <c r="AG322" s="172" t="n"/>
      <c r="AI322" s="172" t="n"/>
      <c r="AJ322" s="172" t="n"/>
      <c r="AK322" s="172" t="n"/>
      <c r="AL322" s="176" t="n"/>
      <c r="AM322" s="172" t="n"/>
      <c r="AO322" s="175" t="n"/>
    </row>
    <row r="323">
      <c r="C323" s="18" t="n"/>
      <c r="D323" s="11" t="n"/>
      <c r="G323" s="11" t="n"/>
      <c r="I323" s="11" t="n"/>
      <c r="J323" s="11" t="n"/>
      <c r="K323" s="11" t="n"/>
      <c r="R323" s="172" t="n"/>
      <c r="S323" s="172" t="n"/>
      <c r="T323" s="172" t="n"/>
      <c r="U323" s="172" t="n"/>
      <c r="V323" s="172" t="n"/>
      <c r="W323" s="172" t="n"/>
      <c r="X323" s="172" t="n"/>
      <c r="Y323" s="173" t="n"/>
      <c r="Z323" s="174" t="n"/>
      <c r="AB323" s="172" t="n"/>
      <c r="AC323" s="172" t="n"/>
      <c r="AD323" s="172" t="n"/>
      <c r="AE323" s="172" t="n"/>
      <c r="AG323" s="172" t="n"/>
      <c r="AI323" s="172" t="n"/>
      <c r="AJ323" s="172" t="n"/>
      <c r="AK323" s="172" t="n"/>
      <c r="AL323" s="172" t="n"/>
      <c r="AM323" s="172" t="n"/>
    </row>
    <row r="324">
      <c r="C324" s="18" t="n"/>
      <c r="D324" s="11" t="n"/>
      <c r="G324" s="11" t="n"/>
      <c r="I324" s="11" t="n"/>
      <c r="J324" s="11" t="n"/>
      <c r="K324" s="11" t="n"/>
      <c r="R324" s="172" t="n"/>
      <c r="S324" s="172" t="n"/>
      <c r="T324" s="172" t="n"/>
      <c r="U324" s="172" t="n"/>
      <c r="V324" s="172" t="n"/>
      <c r="W324" s="172" t="n"/>
      <c r="X324" s="172" t="n"/>
      <c r="Y324" s="173" t="n"/>
      <c r="Z324" s="174" t="n"/>
      <c r="AB324" s="172" t="n"/>
      <c r="AC324" s="172" t="n"/>
      <c r="AD324" s="172" t="n"/>
      <c r="AE324" s="172" t="n"/>
      <c r="AG324" s="172" t="n"/>
      <c r="AI324" s="172" t="n"/>
      <c r="AJ324" s="172" t="n"/>
      <c r="AK324" s="172" t="n"/>
      <c r="AL324" s="172" t="n"/>
      <c r="AM324" s="172" t="n"/>
    </row>
    <row r="325">
      <c r="C325" s="18" t="n"/>
      <c r="D325" s="11" t="n"/>
      <c r="G325" s="11" t="n"/>
      <c r="I325" s="11" t="n"/>
      <c r="J325" s="11" t="n"/>
      <c r="K325" s="11" t="n"/>
      <c r="R325" s="172" t="n"/>
      <c r="S325" s="172" t="n"/>
      <c r="T325" s="172" t="n"/>
      <c r="U325" s="172" t="n"/>
      <c r="V325" s="172" t="n"/>
      <c r="W325" s="172" t="n"/>
      <c r="X325" s="172" t="n"/>
      <c r="Y325" s="173" t="n"/>
      <c r="Z325" s="174" t="n"/>
      <c r="AB325" s="172" t="n"/>
      <c r="AC325" s="172" t="n"/>
      <c r="AD325" s="172" t="n"/>
      <c r="AE325" s="172" t="n"/>
      <c r="AG325" s="172" t="n"/>
      <c r="AI325" s="172" t="n"/>
      <c r="AJ325" s="172" t="n"/>
      <c r="AK325" s="172" t="n"/>
      <c r="AL325" s="172" t="n"/>
      <c r="AM325" s="172" t="n"/>
    </row>
    <row r="326">
      <c r="C326" s="18" t="n"/>
      <c r="D326" s="11" t="n"/>
      <c r="G326" s="11" t="n"/>
      <c r="I326" s="11" t="n"/>
      <c r="J326" s="11" t="n"/>
      <c r="K326" s="11" t="n"/>
      <c r="R326" s="172" t="n"/>
      <c r="S326" s="172" t="n"/>
      <c r="T326" s="172" t="n"/>
      <c r="U326" s="172" t="n"/>
      <c r="V326" s="172" t="n"/>
      <c r="W326" s="172" t="n"/>
      <c r="X326" s="172" t="n"/>
      <c r="Y326" s="173" t="n"/>
      <c r="Z326" s="174" t="n"/>
      <c r="AB326" s="172" t="n"/>
      <c r="AC326" s="172" t="n"/>
      <c r="AD326" s="172" t="n"/>
      <c r="AE326" s="172" t="n"/>
      <c r="AG326" s="172" t="n"/>
      <c r="AI326" s="172" t="n"/>
      <c r="AJ326" s="172" t="n"/>
      <c r="AK326" s="172" t="n"/>
      <c r="AL326" s="172" t="n"/>
      <c r="AM326" s="172" t="n"/>
      <c r="AO326" s="175" t="n"/>
    </row>
    <row r="327">
      <c r="C327" s="18" t="n"/>
      <c r="D327" s="11" t="n"/>
      <c r="G327" s="11" t="n"/>
      <c r="I327" s="11" t="n"/>
      <c r="J327" s="11" t="n"/>
      <c r="K327" s="11" t="n"/>
      <c r="R327" s="172" t="n"/>
      <c r="S327" s="172" t="n"/>
      <c r="T327" s="172" t="n"/>
      <c r="U327" s="172" t="n"/>
      <c r="V327" s="172" t="n"/>
      <c r="W327" s="172" t="n"/>
      <c r="X327" s="172" t="n"/>
      <c r="Y327" s="173" t="n"/>
      <c r="Z327" s="174" t="n"/>
      <c r="AB327" s="172" t="n"/>
      <c r="AC327" s="172" t="n"/>
      <c r="AD327" s="172" t="n"/>
      <c r="AE327" s="172" t="n"/>
      <c r="AG327" s="172" t="n"/>
      <c r="AI327" s="172" t="n"/>
      <c r="AJ327" s="172" t="n"/>
      <c r="AK327" s="172" t="n"/>
      <c r="AL327" s="172" t="n"/>
      <c r="AM327" s="172" t="n"/>
      <c r="AO327" s="175" t="n"/>
    </row>
    <row r="328">
      <c r="C328" s="18" t="n"/>
      <c r="D328" s="11" t="n"/>
      <c r="G328" s="11" t="n"/>
      <c r="I328" s="11" t="n"/>
      <c r="J328" s="11" t="n"/>
      <c r="K328" s="11" t="n"/>
      <c r="R328" s="172" t="n"/>
      <c r="S328" s="172" t="n"/>
      <c r="T328" s="172" t="n"/>
      <c r="U328" s="172" t="n"/>
      <c r="V328" s="172" t="n"/>
      <c r="W328" s="172" t="n"/>
      <c r="X328" s="172" t="n"/>
      <c r="Y328" s="173" t="n"/>
      <c r="Z328" s="174" t="n"/>
      <c r="AB328" s="172" t="n"/>
      <c r="AC328" s="172" t="n"/>
      <c r="AD328" s="172" t="n"/>
      <c r="AE328" s="172" t="n"/>
      <c r="AG328" s="172" t="n"/>
      <c r="AI328" s="172" t="n"/>
      <c r="AJ328" s="172" t="n"/>
      <c r="AK328" s="172" t="n"/>
      <c r="AL328" s="176" t="n"/>
      <c r="AM328" s="172" t="n"/>
      <c r="AO328" s="175" t="n"/>
    </row>
    <row r="329">
      <c r="C329" s="18" t="n"/>
      <c r="D329" s="11" t="n"/>
      <c r="G329" s="11" t="n"/>
      <c r="I329" s="11" t="n"/>
      <c r="J329" s="11" t="n"/>
      <c r="K329" s="11" t="n"/>
      <c r="R329" s="172" t="n"/>
      <c r="S329" s="172" t="n"/>
      <c r="T329" s="172" t="n"/>
      <c r="U329" s="172" t="n"/>
      <c r="V329" s="172" t="n"/>
      <c r="W329" s="172" t="n"/>
      <c r="X329" s="172" t="n"/>
      <c r="Y329" s="173" t="n"/>
      <c r="Z329" s="174" t="n"/>
      <c r="AB329" s="172" t="n"/>
      <c r="AC329" s="172" t="n"/>
      <c r="AD329" s="172" t="n"/>
      <c r="AE329" s="172" t="n"/>
      <c r="AG329" s="172" t="n"/>
      <c r="AI329" s="172" t="n"/>
      <c r="AJ329" s="172" t="n"/>
      <c r="AK329" s="172" t="n"/>
      <c r="AL329" s="176" t="n"/>
      <c r="AM329" s="172" t="n"/>
      <c r="AO329" s="175" t="n"/>
    </row>
    <row r="330">
      <c r="C330" s="18" t="n"/>
      <c r="D330" s="11" t="n"/>
      <c r="G330" s="11" t="n"/>
      <c r="I330" s="11" t="n"/>
      <c r="J330" s="11" t="n"/>
      <c r="K330" s="11" t="n"/>
      <c r="R330" s="172" t="n"/>
      <c r="S330" s="172" t="n"/>
      <c r="T330" s="172" t="n"/>
      <c r="U330" s="172" t="n"/>
      <c r="V330" s="172" t="n"/>
      <c r="W330" s="172" t="n"/>
      <c r="X330" s="172" t="n"/>
      <c r="Y330" s="173" t="n"/>
      <c r="Z330" s="174" t="n"/>
      <c r="AB330" s="172" t="n"/>
      <c r="AC330" s="172" t="n"/>
      <c r="AD330" s="172" t="n"/>
      <c r="AE330" s="172" t="n"/>
      <c r="AG330" s="172" t="n"/>
      <c r="AI330" s="172" t="n"/>
      <c r="AJ330" s="172" t="n"/>
      <c r="AK330" s="172" t="n"/>
      <c r="AL330" s="176" t="n"/>
      <c r="AM330" s="172" t="n"/>
      <c r="AO330" s="175" t="n"/>
    </row>
    <row r="331">
      <c r="C331" s="18" t="n"/>
      <c r="D331" s="11" t="n"/>
      <c r="G331" s="11" t="n"/>
      <c r="I331" s="11" t="n"/>
      <c r="J331" s="11" t="n"/>
      <c r="K331" s="11" t="n"/>
      <c r="R331" s="172" t="n"/>
      <c r="S331" s="172" t="n"/>
      <c r="T331" s="172" t="n"/>
      <c r="U331" s="172" t="n"/>
      <c r="V331" s="172" t="n"/>
      <c r="W331" s="172" t="n"/>
      <c r="X331" s="172" t="n"/>
      <c r="Y331" s="173" t="n"/>
      <c r="Z331" s="174" t="n"/>
      <c r="AB331" s="172" t="n"/>
      <c r="AC331" s="172" t="n"/>
      <c r="AD331" s="172" t="n"/>
      <c r="AE331" s="172" t="n"/>
      <c r="AG331" s="172" t="n"/>
      <c r="AI331" s="172" t="n"/>
      <c r="AJ331" s="172" t="n"/>
      <c r="AK331" s="172" t="n"/>
      <c r="AL331" s="176" t="n"/>
      <c r="AM331" s="172" t="n"/>
      <c r="AO331" s="175" t="n"/>
    </row>
    <row r="332">
      <c r="C332" s="18" t="n"/>
      <c r="D332" s="11" t="n"/>
      <c r="G332" s="11" t="n"/>
      <c r="I332" s="11" t="n"/>
      <c r="J332" s="11" t="n"/>
      <c r="K332" s="11" t="n"/>
      <c r="R332" s="172" t="n"/>
      <c r="S332" s="172" t="n"/>
      <c r="T332" s="172" t="n"/>
      <c r="U332" s="172" t="n"/>
      <c r="V332" s="172" t="n"/>
      <c r="W332" s="172" t="n"/>
      <c r="X332" s="172" t="n"/>
      <c r="Y332" s="173" t="n"/>
      <c r="Z332" s="174" t="n"/>
      <c r="AB332" s="172" t="n"/>
      <c r="AC332" s="172" t="n"/>
      <c r="AD332" s="172" t="n"/>
      <c r="AE332" s="172" t="n"/>
      <c r="AG332" s="172" t="n"/>
      <c r="AI332" s="172" t="n"/>
      <c r="AJ332" s="172" t="n"/>
      <c r="AK332" s="172" t="n"/>
      <c r="AL332" s="176" t="n"/>
      <c r="AM332" s="172" t="n"/>
      <c r="AO332" s="175" t="n"/>
    </row>
    <row r="333">
      <c r="C333" s="18" t="n"/>
      <c r="D333" s="11" t="n"/>
      <c r="G333" s="11" t="n"/>
      <c r="I333" s="11" t="n"/>
      <c r="J333" s="11" t="n"/>
      <c r="K333" s="11" t="n"/>
      <c r="R333" s="172" t="n"/>
      <c r="S333" s="172" t="n"/>
      <c r="T333" s="172" t="n"/>
      <c r="U333" s="172" t="n"/>
      <c r="V333" s="172" t="n"/>
      <c r="W333" s="172" t="n"/>
      <c r="X333" s="172" t="n"/>
      <c r="Y333" s="173" t="n"/>
      <c r="Z333" s="174" t="n"/>
      <c r="AB333" s="172" t="n"/>
      <c r="AC333" s="172" t="n"/>
      <c r="AD333" s="172" t="n"/>
      <c r="AE333" s="172" t="n"/>
      <c r="AG333" s="172" t="n"/>
      <c r="AI333" s="172" t="n"/>
      <c r="AJ333" s="172" t="n"/>
      <c r="AK333" s="172" t="n"/>
      <c r="AL333" s="172" t="n"/>
      <c r="AM333" s="172" t="n"/>
      <c r="AO333" s="175" t="n"/>
    </row>
    <row r="334">
      <c r="C334" s="18" t="n"/>
      <c r="D334" s="11" t="n"/>
      <c r="G334" s="11" t="n"/>
      <c r="I334" s="11" t="n"/>
      <c r="J334" s="11" t="n"/>
      <c r="K334" s="11" t="n"/>
      <c r="R334" s="172" t="n"/>
      <c r="S334" s="172" t="n"/>
      <c r="T334" s="172" t="n"/>
      <c r="U334" s="172" t="n"/>
      <c r="V334" s="172" t="n"/>
      <c r="W334" s="172" t="n"/>
      <c r="X334" s="172" t="n"/>
      <c r="Y334" s="173" t="n"/>
      <c r="Z334" s="174" t="n"/>
      <c r="AB334" s="172" t="n"/>
      <c r="AC334" s="172" t="n"/>
      <c r="AD334" s="172" t="n"/>
      <c r="AE334" s="172" t="n"/>
      <c r="AG334" s="172" t="n"/>
      <c r="AI334" s="172" t="n"/>
      <c r="AJ334" s="172" t="n"/>
      <c r="AK334" s="172" t="n"/>
      <c r="AL334" s="176" t="n"/>
      <c r="AM334" s="172" t="n"/>
      <c r="AO334" s="175" t="n"/>
    </row>
    <row r="335">
      <c r="C335" s="18" t="n"/>
      <c r="D335" s="11" t="n"/>
      <c r="G335" s="11" t="n"/>
      <c r="I335" s="11" t="n"/>
      <c r="J335" s="11" t="n"/>
      <c r="K335" s="11" t="n"/>
      <c r="R335" s="172" t="n"/>
      <c r="S335" s="172" t="n"/>
      <c r="T335" s="172" t="n"/>
      <c r="U335" s="172" t="n"/>
      <c r="V335" s="172" t="n"/>
      <c r="W335" s="172" t="n"/>
      <c r="X335" s="172" t="n"/>
      <c r="Y335" s="173" t="n"/>
      <c r="Z335" s="174" t="n"/>
      <c r="AB335" s="172" t="n"/>
      <c r="AC335" s="172" t="n"/>
      <c r="AD335" s="172" t="n"/>
      <c r="AE335" s="172" t="n"/>
      <c r="AG335" s="172" t="n"/>
      <c r="AI335" s="172" t="n"/>
      <c r="AJ335" s="172" t="n"/>
      <c r="AK335" s="172" t="n"/>
      <c r="AL335" s="176" t="n"/>
      <c r="AM335" s="172" t="n"/>
    </row>
    <row r="336">
      <c r="C336" s="18" t="n"/>
      <c r="D336" s="11" t="n"/>
      <c r="G336" s="11" t="n"/>
      <c r="I336" s="11" t="n"/>
      <c r="J336" s="11" t="n"/>
      <c r="K336" s="11" t="n"/>
      <c r="R336" s="172" t="n"/>
      <c r="S336" s="172" t="n"/>
      <c r="T336" s="172" t="n"/>
      <c r="U336" s="172" t="n"/>
      <c r="V336" s="172" t="n"/>
      <c r="W336" s="172" t="n"/>
      <c r="X336" s="172" t="n"/>
      <c r="Y336" s="173" t="n"/>
      <c r="Z336" s="174" t="n"/>
      <c r="AB336" s="172" t="n"/>
      <c r="AC336" s="172" t="n"/>
      <c r="AD336" s="172" t="n"/>
      <c r="AE336" s="172" t="n"/>
      <c r="AG336" s="172" t="n"/>
      <c r="AI336" s="172" t="n"/>
      <c r="AJ336" s="172" t="n"/>
      <c r="AK336" s="172" t="n"/>
      <c r="AL336" s="176" t="n"/>
      <c r="AM336" s="172" t="n"/>
    </row>
    <row r="337">
      <c r="C337" s="18" t="n"/>
      <c r="D337" s="11" t="n"/>
      <c r="G337" s="11" t="n"/>
      <c r="I337" s="11" t="n"/>
      <c r="J337" s="11" t="n"/>
      <c r="K337" s="11" t="n"/>
      <c r="R337" s="172" t="n"/>
      <c r="S337" s="172" t="n"/>
      <c r="T337" s="172" t="n"/>
      <c r="U337" s="172" t="n"/>
      <c r="V337" s="172" t="n"/>
      <c r="W337" s="172" t="n"/>
      <c r="X337" s="172" t="n"/>
      <c r="Y337" s="173" t="n"/>
      <c r="Z337" s="174" t="n"/>
      <c r="AB337" s="172" t="n"/>
      <c r="AC337" s="172" t="n"/>
      <c r="AD337" s="172" t="n"/>
      <c r="AE337" s="172" t="n"/>
      <c r="AG337" s="172" t="n"/>
      <c r="AI337" s="172" t="n"/>
      <c r="AJ337" s="172" t="n"/>
      <c r="AK337" s="172" t="n"/>
      <c r="AL337" s="176" t="n"/>
      <c r="AM337" s="172" t="n"/>
      <c r="AO337" s="175" t="n"/>
    </row>
    <row r="338">
      <c r="C338" s="18" t="n"/>
      <c r="D338" s="11" t="n"/>
      <c r="G338" s="11" t="n"/>
      <c r="I338" s="11" t="n"/>
      <c r="J338" s="11" t="n"/>
      <c r="K338" s="11" t="n"/>
      <c r="R338" s="172" t="n"/>
      <c r="S338" s="172" t="n"/>
      <c r="T338" s="172" t="n"/>
      <c r="U338" s="172" t="n"/>
      <c r="V338" s="172" t="n"/>
      <c r="W338" s="172" t="n"/>
      <c r="X338" s="172" t="n"/>
      <c r="Y338" s="173" t="n"/>
      <c r="Z338" s="174" t="n"/>
      <c r="AB338" s="172" t="n"/>
      <c r="AC338" s="172" t="n"/>
      <c r="AD338" s="172" t="n"/>
      <c r="AE338" s="172" t="n"/>
      <c r="AG338" s="172" t="n"/>
      <c r="AI338" s="172" t="n"/>
      <c r="AJ338" s="172" t="n"/>
      <c r="AK338" s="172" t="n"/>
      <c r="AL338" s="176" t="n"/>
      <c r="AM338" s="172" t="n"/>
      <c r="AO338" s="175" t="n"/>
    </row>
    <row r="339">
      <c r="C339" s="18" t="n"/>
      <c r="D339" s="11" t="n"/>
      <c r="G339" s="11" t="n"/>
      <c r="I339" s="11" t="n"/>
      <c r="J339" s="11" t="n"/>
      <c r="K339" s="11" t="n"/>
      <c r="R339" s="172" t="n"/>
      <c r="S339" s="172" t="n"/>
      <c r="T339" s="172" t="n"/>
      <c r="U339" s="172" t="n"/>
      <c r="V339" s="172" t="n"/>
      <c r="W339" s="172" t="n"/>
      <c r="X339" s="172" t="n"/>
      <c r="Y339" s="173" t="n"/>
      <c r="Z339" s="174" t="n"/>
      <c r="AB339" s="172" t="n"/>
      <c r="AC339" s="172" t="n"/>
      <c r="AD339" s="172" t="n"/>
      <c r="AE339" s="172" t="n"/>
      <c r="AG339" s="172" t="n"/>
      <c r="AI339" s="172" t="n"/>
      <c r="AJ339" s="172" t="n"/>
      <c r="AK339" s="172" t="n"/>
      <c r="AL339" s="176" t="n"/>
      <c r="AM339" s="172" t="n"/>
      <c r="AO339" s="175" t="n"/>
    </row>
    <row r="340" customFormat="1" s="156">
      <c r="A340" s="156" t="n"/>
      <c r="B340" s="156" t="n"/>
      <c r="C340" s="157" t="n"/>
      <c r="D340" s="158" t="n"/>
      <c r="E340" s="156" t="n"/>
      <c r="F340" s="156" t="n"/>
      <c r="G340" s="158" t="n"/>
      <c r="H340" s="156" t="n"/>
      <c r="I340" s="158" t="n"/>
      <c r="J340" s="158" t="n"/>
      <c r="K340" s="158" t="n"/>
      <c r="L340" s="156" t="n"/>
      <c r="M340" s="156" t="n"/>
      <c r="N340" s="156" t="n"/>
      <c r="O340" s="156" t="n"/>
      <c r="P340" s="156" t="n"/>
      <c r="Q340" s="156" t="n"/>
      <c r="R340" s="176" t="n"/>
      <c r="S340" s="176" t="n"/>
      <c r="T340" s="176" t="n"/>
      <c r="U340" s="176" t="n"/>
      <c r="V340" s="176" t="n"/>
      <c r="W340" s="176" t="n"/>
      <c r="X340" s="176" t="n"/>
      <c r="Y340" s="178" t="n"/>
      <c r="Z340" s="179" t="n"/>
      <c r="AA340" s="156" t="n"/>
      <c r="AB340" s="176" t="n"/>
      <c r="AC340" s="176" t="n"/>
      <c r="AD340" s="176" t="n"/>
      <c r="AE340" s="176" t="n"/>
      <c r="AF340" s="156" t="n"/>
      <c r="AG340" s="176" t="n"/>
      <c r="AH340" s="156" t="n"/>
      <c r="AI340" s="176" t="n"/>
      <c r="AJ340" s="176" t="n"/>
      <c r="AK340" s="176" t="n"/>
      <c r="AL340" s="176" t="n"/>
      <c r="AM340" s="176" t="n"/>
      <c r="AN340" s="156" t="n"/>
      <c r="AO340" s="180" t="n"/>
    </row>
    <row r="341">
      <c r="C341" s="18" t="n"/>
      <c r="D341" s="11" t="n"/>
      <c r="G341" s="11" t="n"/>
      <c r="I341" s="11" t="n"/>
      <c r="J341" s="11" t="n"/>
      <c r="K341" s="11" t="n"/>
      <c r="R341" s="172" t="n"/>
      <c r="S341" s="172" t="n"/>
      <c r="T341" s="172" t="n"/>
      <c r="U341" s="172" t="n"/>
      <c r="V341" s="172" t="n"/>
      <c r="W341" s="172" t="n"/>
      <c r="X341" s="172" t="n"/>
      <c r="Y341" s="173" t="n"/>
      <c r="Z341" s="174" t="n"/>
      <c r="AB341" s="172" t="n"/>
      <c r="AC341" s="172" t="n"/>
      <c r="AD341" s="172" t="n"/>
      <c r="AE341" s="172" t="n"/>
      <c r="AG341" s="172" t="n"/>
      <c r="AI341" s="172" t="n"/>
      <c r="AJ341" s="172" t="n"/>
      <c r="AK341" s="172" t="n"/>
      <c r="AL341" s="172" t="n"/>
      <c r="AM341" s="172" t="n"/>
    </row>
    <row r="342">
      <c r="C342" s="18" t="n"/>
      <c r="D342" s="11" t="n"/>
      <c r="G342" s="11" t="n"/>
      <c r="I342" s="11" t="n"/>
      <c r="J342" s="11" t="n"/>
      <c r="K342" s="11" t="n"/>
      <c r="R342" s="172" t="n"/>
      <c r="S342" s="172" t="n"/>
      <c r="T342" s="172" t="n"/>
      <c r="U342" s="172" t="n"/>
      <c r="V342" s="172" t="n"/>
      <c r="W342" s="172" t="n"/>
      <c r="X342" s="172" t="n"/>
      <c r="Y342" s="173" t="n"/>
      <c r="Z342" s="174" t="n"/>
      <c r="AB342" s="172" t="n"/>
      <c r="AC342" s="172" t="n"/>
      <c r="AD342" s="172" t="n"/>
      <c r="AE342" s="172" t="n"/>
      <c r="AG342" s="172" t="n"/>
      <c r="AI342" s="172" t="n"/>
      <c r="AJ342" s="172" t="n"/>
      <c r="AK342" s="172" t="n"/>
      <c r="AL342" s="176" t="n"/>
      <c r="AM342" s="172" t="n"/>
    </row>
    <row r="343">
      <c r="C343" s="18" t="n"/>
      <c r="D343" s="11" t="n"/>
      <c r="G343" s="11" t="n"/>
      <c r="I343" s="11" t="n"/>
      <c r="J343" s="11" t="n"/>
      <c r="K343" s="11" t="n"/>
      <c r="R343" s="172" t="n"/>
      <c r="S343" s="172" t="n"/>
      <c r="T343" s="172" t="n"/>
      <c r="U343" s="172" t="n"/>
      <c r="V343" s="172" t="n"/>
      <c r="W343" s="172" t="n"/>
      <c r="X343" s="172" t="n"/>
      <c r="Y343" s="173" t="n"/>
      <c r="Z343" s="174" t="n"/>
      <c r="AB343" s="172" t="n"/>
      <c r="AC343" s="172" t="n"/>
      <c r="AD343" s="172" t="n"/>
      <c r="AE343" s="172" t="n"/>
      <c r="AG343" s="172" t="n"/>
      <c r="AI343" s="172" t="n"/>
      <c r="AJ343" s="172" t="n"/>
      <c r="AK343" s="172" t="n"/>
      <c r="AL343" s="172" t="n"/>
      <c r="AM343" s="172" t="n"/>
      <c r="AO343" s="175" t="n"/>
    </row>
    <row r="344">
      <c r="C344" s="18" t="n"/>
      <c r="D344" s="11" t="n"/>
      <c r="G344" s="11" t="n"/>
      <c r="I344" s="11" t="n"/>
      <c r="J344" s="11" t="n"/>
      <c r="K344" s="11" t="n"/>
      <c r="R344" s="172" t="n"/>
      <c r="S344" s="172" t="n"/>
      <c r="T344" s="172" t="n"/>
      <c r="U344" s="172" t="n"/>
      <c r="V344" s="172" t="n"/>
      <c r="W344" s="172" t="n"/>
      <c r="X344" s="172" t="n"/>
      <c r="Y344" s="173" t="n"/>
      <c r="Z344" s="174" t="n"/>
      <c r="AB344" s="172" t="n"/>
      <c r="AC344" s="172" t="n"/>
      <c r="AD344" s="172" t="n"/>
      <c r="AE344" s="172" t="n"/>
      <c r="AG344" s="172" t="n"/>
      <c r="AI344" s="172" t="n"/>
      <c r="AJ344" s="172" t="n"/>
      <c r="AK344" s="172" t="n"/>
      <c r="AL344" s="172" t="n"/>
      <c r="AM344" s="172" t="n"/>
      <c r="AO344" s="175" t="n"/>
    </row>
    <row r="345">
      <c r="C345" s="18" t="n"/>
      <c r="D345" s="11" t="n"/>
      <c r="G345" s="11" t="n"/>
      <c r="I345" s="11" t="n"/>
      <c r="J345" s="11" t="n"/>
      <c r="K345" s="11" t="n"/>
      <c r="R345" s="172" t="n"/>
      <c r="S345" s="172" t="n"/>
      <c r="T345" s="172" t="n"/>
      <c r="U345" s="172" t="n"/>
      <c r="V345" s="172" t="n"/>
      <c r="W345" s="172" t="n"/>
      <c r="X345" s="172" t="n"/>
      <c r="Y345" s="173" t="n"/>
      <c r="Z345" s="174" t="n"/>
      <c r="AB345" s="172" t="n"/>
      <c r="AC345" s="172" t="n"/>
      <c r="AD345" s="172" t="n"/>
      <c r="AE345" s="172" t="n"/>
      <c r="AG345" s="172" t="n"/>
      <c r="AI345" s="172" t="n"/>
      <c r="AJ345" s="172" t="n"/>
      <c r="AK345" s="172" t="n"/>
      <c r="AL345" s="172" t="n"/>
      <c r="AM345" s="172" t="n"/>
    </row>
    <row r="346">
      <c r="C346" s="18" t="n"/>
      <c r="D346" s="11" t="n"/>
      <c r="G346" s="11" t="n"/>
      <c r="I346" s="11" t="n"/>
      <c r="J346" s="11" t="n"/>
      <c r="K346" s="11" t="n"/>
      <c r="R346" s="172" t="n"/>
      <c r="S346" s="172" t="n"/>
      <c r="T346" s="172" t="n"/>
      <c r="U346" s="172" t="n"/>
      <c r="V346" s="172" t="n"/>
      <c r="W346" s="172" t="n"/>
      <c r="X346" s="172" t="n"/>
      <c r="Y346" s="173" t="n"/>
      <c r="Z346" s="174" t="n"/>
      <c r="AB346" s="172" t="n"/>
      <c r="AC346" s="172" t="n"/>
      <c r="AD346" s="172" t="n"/>
      <c r="AE346" s="172" t="n"/>
      <c r="AG346" s="172" t="n"/>
      <c r="AI346" s="172" t="n"/>
      <c r="AJ346" s="172" t="n"/>
      <c r="AK346" s="172" t="n"/>
      <c r="AL346" s="172" t="n"/>
      <c r="AM346" s="172" t="n"/>
    </row>
    <row r="347">
      <c r="C347" s="18" t="n"/>
      <c r="D347" s="11" t="n"/>
      <c r="G347" s="11" t="n"/>
      <c r="I347" s="11" t="n"/>
      <c r="J347" s="11" t="n"/>
      <c r="K347" s="11" t="n"/>
      <c r="R347" s="172" t="n"/>
      <c r="S347" s="172" t="n"/>
      <c r="T347" s="172" t="n"/>
      <c r="U347" s="172" t="n"/>
      <c r="V347" s="172" t="n"/>
      <c r="W347" s="172" t="n"/>
      <c r="X347" s="172" t="n"/>
      <c r="Y347" s="173" t="n"/>
      <c r="Z347" s="174" t="n"/>
      <c r="AB347" s="172" t="n"/>
      <c r="AC347" s="172" t="n"/>
      <c r="AD347" s="172" t="n"/>
      <c r="AE347" s="172" t="n"/>
      <c r="AG347" s="172" t="n"/>
      <c r="AI347" s="172" t="n"/>
      <c r="AJ347" s="172" t="n"/>
      <c r="AK347" s="172" t="n"/>
      <c r="AL347" s="172" t="n"/>
      <c r="AM347" s="172" t="n"/>
    </row>
    <row r="348">
      <c r="C348" s="18" t="n"/>
      <c r="D348" s="11" t="n"/>
      <c r="G348" s="11" t="n"/>
      <c r="I348" s="11" t="n"/>
      <c r="J348" s="11" t="n"/>
      <c r="K348" s="11" t="n"/>
      <c r="R348" s="172" t="n"/>
      <c r="S348" s="172" t="n"/>
      <c r="T348" s="172" t="n"/>
      <c r="U348" s="172" t="n"/>
      <c r="V348" s="172" t="n"/>
      <c r="W348" s="172" t="n"/>
      <c r="X348" s="172" t="n"/>
      <c r="Y348" s="173" t="n"/>
      <c r="Z348" s="174" t="n"/>
      <c r="AB348" s="172" t="n"/>
      <c r="AC348" s="172" t="n"/>
      <c r="AD348" s="172" t="n"/>
      <c r="AE348" s="172" t="n"/>
      <c r="AG348" s="172" t="n"/>
      <c r="AI348" s="172" t="n"/>
      <c r="AJ348" s="172" t="n"/>
      <c r="AK348" s="172" t="n"/>
      <c r="AL348" s="172" t="n"/>
      <c r="AM348" s="172" t="n"/>
    </row>
    <row r="349">
      <c r="C349" s="18" t="n"/>
      <c r="D349" s="11" t="n"/>
      <c r="G349" s="11" t="n"/>
      <c r="I349" s="11" t="n"/>
      <c r="J349" s="11" t="n"/>
      <c r="K349" s="11" t="n"/>
      <c r="R349" s="172" t="n"/>
      <c r="S349" s="172" t="n"/>
      <c r="T349" s="172" t="n"/>
      <c r="U349" s="172" t="n"/>
      <c r="V349" s="172" t="n"/>
      <c r="W349" s="172" t="n"/>
      <c r="X349" s="172" t="n"/>
      <c r="Y349" s="173" t="n"/>
      <c r="Z349" s="174" t="n"/>
      <c r="AB349" s="172" t="n"/>
      <c r="AC349" s="172" t="n"/>
      <c r="AD349" s="172" t="n"/>
      <c r="AE349" s="172" t="n"/>
      <c r="AG349" s="172" t="n"/>
      <c r="AI349" s="172" t="n"/>
      <c r="AJ349" s="172" t="n"/>
      <c r="AK349" s="172" t="n"/>
      <c r="AL349" s="172" t="n"/>
      <c r="AM349" s="172" t="n"/>
    </row>
    <row r="350">
      <c r="C350" s="18" t="n"/>
      <c r="D350" s="11" t="n"/>
      <c r="G350" s="11" t="n"/>
      <c r="I350" s="11" t="n"/>
      <c r="J350" s="11" t="n"/>
      <c r="K350" s="11" t="n"/>
      <c r="R350" s="172" t="n"/>
      <c r="S350" s="172" t="n"/>
      <c r="T350" s="172" t="n"/>
      <c r="U350" s="172" t="n"/>
      <c r="V350" s="172" t="n"/>
      <c r="W350" s="172" t="n"/>
      <c r="X350" s="172" t="n"/>
      <c r="Y350" s="173" t="n"/>
      <c r="Z350" s="174" t="n"/>
      <c r="AB350" s="172" t="n"/>
      <c r="AC350" s="172" t="n"/>
      <c r="AD350" s="172" t="n"/>
      <c r="AE350" s="172" t="n"/>
      <c r="AG350" s="172" t="n"/>
      <c r="AI350" s="172" t="n"/>
      <c r="AJ350" s="172" t="n"/>
      <c r="AK350" s="172" t="n"/>
      <c r="AL350" s="172" t="n"/>
      <c r="AM350" s="172" t="n"/>
    </row>
    <row r="351">
      <c r="C351" s="18" t="n"/>
      <c r="D351" s="11" t="n"/>
      <c r="G351" s="11" t="n"/>
      <c r="I351" s="11" t="n"/>
      <c r="J351" s="11" t="n"/>
      <c r="K351" s="11" t="n"/>
      <c r="R351" s="172" t="n"/>
      <c r="S351" s="172" t="n"/>
      <c r="T351" s="172" t="n"/>
      <c r="U351" s="172" t="n"/>
      <c r="V351" s="172" t="n"/>
      <c r="W351" s="172" t="n"/>
      <c r="X351" s="172" t="n"/>
      <c r="Y351" s="173" t="n"/>
      <c r="Z351" s="174" t="n"/>
      <c r="AB351" s="172" t="n"/>
      <c r="AC351" s="172" t="n"/>
      <c r="AD351" s="172" t="n"/>
      <c r="AE351" s="172" t="n"/>
      <c r="AG351" s="172" t="n"/>
      <c r="AI351" s="172" t="n"/>
      <c r="AJ351" s="172" t="n"/>
      <c r="AK351" s="172" t="n"/>
      <c r="AL351" s="172" t="n"/>
      <c r="AM351" s="172" t="n"/>
    </row>
    <row r="352">
      <c r="C352" s="18" t="n"/>
      <c r="D352" s="11" t="n"/>
      <c r="G352" s="11" t="n"/>
      <c r="I352" s="11" t="n"/>
      <c r="J352" s="11" t="n"/>
      <c r="K352" s="11" t="n"/>
      <c r="R352" s="172" t="n"/>
      <c r="S352" s="172" t="n"/>
      <c r="T352" s="172" t="n"/>
      <c r="U352" s="172" t="n"/>
      <c r="V352" s="172" t="n"/>
      <c r="W352" s="172" t="n"/>
      <c r="X352" s="172" t="n"/>
      <c r="Y352" s="173" t="n"/>
      <c r="Z352" s="174" t="n"/>
      <c r="AB352" s="172" t="n"/>
      <c r="AC352" s="172" t="n"/>
      <c r="AD352" s="172" t="n"/>
      <c r="AE352" s="172" t="n"/>
      <c r="AG352" s="172" t="n"/>
      <c r="AI352" s="172" t="n"/>
      <c r="AJ352" s="172" t="n"/>
      <c r="AK352" s="172" t="n"/>
      <c r="AL352" s="172" t="n"/>
      <c r="AM352" s="172" t="n"/>
    </row>
    <row r="353">
      <c r="C353" s="18" t="n"/>
      <c r="D353" s="11" t="n"/>
      <c r="G353" s="11" t="n"/>
      <c r="I353" s="11" t="n"/>
      <c r="J353" s="11" t="n"/>
      <c r="K353" s="11" t="n"/>
      <c r="R353" s="172" t="n"/>
      <c r="S353" s="172" t="n"/>
      <c r="T353" s="172" t="n"/>
      <c r="U353" s="172" t="n"/>
      <c r="V353" s="172" t="n"/>
      <c r="W353" s="172" t="n"/>
      <c r="X353" s="172" t="n"/>
      <c r="Y353" s="173" t="n"/>
      <c r="Z353" s="174" t="n"/>
      <c r="AB353" s="172" t="n"/>
      <c r="AC353" s="172" t="n"/>
      <c r="AD353" s="172" t="n"/>
      <c r="AE353" s="172" t="n"/>
      <c r="AG353" s="172" t="n"/>
      <c r="AI353" s="172" t="n"/>
      <c r="AJ353" s="172" t="n"/>
      <c r="AK353" s="172" t="n"/>
      <c r="AL353" s="172" t="n"/>
      <c r="AM353" s="172" t="n"/>
    </row>
    <row r="354">
      <c r="C354" s="18" t="n"/>
      <c r="D354" s="11" t="n"/>
      <c r="G354" s="11" t="n"/>
      <c r="I354" s="11" t="n"/>
      <c r="J354" s="11" t="n"/>
      <c r="K354" s="11" t="n"/>
      <c r="R354" s="172" t="n"/>
      <c r="S354" s="172" t="n"/>
      <c r="T354" s="172" t="n"/>
      <c r="U354" s="172" t="n"/>
      <c r="V354" s="172" t="n"/>
      <c r="W354" s="172" t="n"/>
      <c r="X354" s="172" t="n"/>
      <c r="Y354" s="173" t="n"/>
      <c r="Z354" s="174" t="n"/>
      <c r="AB354" s="172" t="n"/>
      <c r="AC354" s="172" t="n"/>
      <c r="AD354" s="172" t="n"/>
      <c r="AE354" s="172" t="n"/>
      <c r="AG354" s="172" t="n"/>
      <c r="AI354" s="172" t="n"/>
      <c r="AJ354" s="172" t="n"/>
      <c r="AK354" s="172" t="n"/>
      <c r="AL354" s="172" t="n"/>
      <c r="AM354" s="172" t="n"/>
    </row>
    <row r="355">
      <c r="C355" s="18" t="n"/>
      <c r="D355" s="11" t="n"/>
      <c r="G355" s="11" t="n"/>
      <c r="I355" s="11" t="n"/>
      <c r="J355" s="11" t="n"/>
      <c r="K355" s="11" t="n"/>
      <c r="R355" s="172" t="n"/>
      <c r="S355" s="172" t="n"/>
      <c r="T355" s="172" t="n"/>
      <c r="U355" s="172" t="n"/>
      <c r="V355" s="172" t="n"/>
      <c r="W355" s="172" t="n"/>
      <c r="X355" s="172" t="n"/>
      <c r="Y355" s="173" t="n"/>
      <c r="Z355" s="174" t="n"/>
      <c r="AB355" s="172" t="n"/>
      <c r="AC355" s="172" t="n"/>
      <c r="AD355" s="172" t="n"/>
      <c r="AE355" s="172" t="n"/>
      <c r="AG355" s="172" t="n"/>
      <c r="AI355" s="172" t="n"/>
      <c r="AJ355" s="172" t="n"/>
      <c r="AK355" s="172" t="n"/>
      <c r="AL355" s="172" t="n"/>
      <c r="AM355" s="172" t="n"/>
    </row>
    <row r="356">
      <c r="C356" s="18" t="n"/>
      <c r="D356" s="11" t="n"/>
      <c r="G356" s="11" t="n"/>
      <c r="I356" s="11" t="n"/>
      <c r="J356" s="11" t="n"/>
      <c r="K356" s="11" t="n"/>
      <c r="R356" s="172" t="n"/>
      <c r="S356" s="172" t="n"/>
      <c r="T356" s="172" t="n"/>
      <c r="U356" s="172" t="n"/>
      <c r="V356" s="172" t="n"/>
      <c r="W356" s="172" t="n"/>
      <c r="X356" s="172" t="n"/>
      <c r="Y356" s="173" t="n"/>
      <c r="Z356" s="174" t="n"/>
      <c r="AB356" s="172" t="n"/>
      <c r="AC356" s="172" t="n"/>
      <c r="AD356" s="172" t="n"/>
      <c r="AE356" s="172" t="n"/>
      <c r="AG356" s="172" t="n"/>
      <c r="AI356" s="172" t="n"/>
      <c r="AJ356" s="172" t="n"/>
      <c r="AK356" s="172" t="n"/>
      <c r="AL356" s="172" t="n"/>
      <c r="AM356" s="172" t="n"/>
    </row>
    <row r="357">
      <c r="C357" s="18" t="n"/>
      <c r="D357" s="11" t="n"/>
      <c r="G357" s="11" t="n"/>
      <c r="I357" s="11" t="n"/>
      <c r="J357" s="11" t="n"/>
      <c r="K357" s="11" t="n"/>
      <c r="R357" s="172" t="n"/>
      <c r="S357" s="172" t="n"/>
      <c r="T357" s="172" t="n"/>
      <c r="U357" s="172" t="n"/>
      <c r="V357" s="172" t="n"/>
      <c r="W357" s="172" t="n"/>
      <c r="X357" s="172" t="n"/>
      <c r="Y357" s="173" t="n"/>
      <c r="Z357" s="174" t="n"/>
      <c r="AB357" s="172" t="n"/>
      <c r="AC357" s="172" t="n"/>
      <c r="AD357" s="172" t="n"/>
      <c r="AE357" s="172" t="n"/>
      <c r="AG357" s="172" t="n"/>
      <c r="AI357" s="172" t="n"/>
      <c r="AJ357" s="172" t="n"/>
      <c r="AK357" s="172" t="n"/>
      <c r="AL357" s="172" t="n"/>
      <c r="AM357" s="172" t="n"/>
    </row>
    <row r="358">
      <c r="C358" s="18" t="n"/>
      <c r="D358" s="11" t="n"/>
      <c r="G358" s="11" t="n"/>
      <c r="I358" s="11" t="n"/>
      <c r="J358" s="11" t="n"/>
      <c r="K358" s="11" t="n"/>
      <c r="R358" s="172" t="n"/>
      <c r="S358" s="172" t="n"/>
      <c r="T358" s="172" t="n"/>
      <c r="U358" s="172" t="n"/>
      <c r="V358" s="172" t="n"/>
      <c r="W358" s="172" t="n"/>
      <c r="X358" s="172" t="n"/>
      <c r="Y358" s="173" t="n"/>
      <c r="Z358" s="174" t="n"/>
      <c r="AB358" s="172" t="n"/>
      <c r="AC358" s="172" t="n"/>
      <c r="AD358" s="172" t="n"/>
      <c r="AE358" s="172" t="n"/>
      <c r="AG358" s="172" t="n"/>
      <c r="AI358" s="172" t="n"/>
      <c r="AJ358" s="172" t="n"/>
      <c r="AK358" s="172" t="n"/>
      <c r="AL358" s="172" t="n"/>
      <c r="AM358" s="172" t="n"/>
    </row>
    <row r="359">
      <c r="C359" s="18" t="n"/>
      <c r="D359" s="11" t="n"/>
      <c r="G359" s="11" t="n"/>
      <c r="I359" s="11" t="n"/>
      <c r="J359" s="11" t="n"/>
      <c r="K359" s="11" t="n"/>
      <c r="R359" s="172" t="n"/>
      <c r="S359" s="172" t="n"/>
      <c r="T359" s="172" t="n"/>
      <c r="U359" s="172" t="n"/>
      <c r="V359" s="172" t="n"/>
      <c r="W359" s="172" t="n"/>
      <c r="X359" s="172" t="n"/>
      <c r="Y359" s="173" t="n"/>
      <c r="Z359" s="174" t="n"/>
      <c r="AB359" s="172" t="n"/>
      <c r="AC359" s="172" t="n"/>
      <c r="AD359" s="172" t="n"/>
      <c r="AE359" s="172" t="n"/>
      <c r="AG359" s="172" t="n"/>
      <c r="AI359" s="172" t="n"/>
      <c r="AJ359" s="172" t="n"/>
      <c r="AK359" s="172" t="n"/>
      <c r="AL359" s="172" t="n"/>
      <c r="AM359" s="172" t="n"/>
    </row>
    <row r="360">
      <c r="C360" s="18" t="n"/>
      <c r="D360" s="11" t="n"/>
      <c r="G360" s="11" t="n"/>
      <c r="I360" s="11" t="n"/>
      <c r="J360" s="11" t="n"/>
      <c r="K360" s="11" t="n"/>
      <c r="R360" s="172" t="n"/>
      <c r="S360" s="172" t="n"/>
      <c r="T360" s="172" t="n"/>
      <c r="U360" s="172" t="n"/>
      <c r="V360" s="172" t="n"/>
      <c r="W360" s="172" t="n"/>
      <c r="X360" s="172" t="n"/>
      <c r="Y360" s="173" t="n"/>
      <c r="Z360" s="174" t="n"/>
      <c r="AB360" s="172" t="n"/>
      <c r="AC360" s="172" t="n"/>
      <c r="AD360" s="172" t="n"/>
      <c r="AE360" s="172" t="n"/>
      <c r="AG360" s="172" t="n"/>
      <c r="AI360" s="172" t="n"/>
      <c r="AJ360" s="172" t="n"/>
      <c r="AK360" s="172" t="n"/>
      <c r="AL360" s="172" t="n"/>
      <c r="AM360" s="172" t="n"/>
    </row>
    <row r="361">
      <c r="C361" s="18" t="n"/>
      <c r="D361" s="11" t="n"/>
      <c r="G361" s="11" t="n"/>
      <c r="I361" s="11" t="n"/>
      <c r="J361" s="11" t="n"/>
      <c r="K361" s="11" t="n"/>
      <c r="R361" s="172" t="n"/>
      <c r="S361" s="172" t="n"/>
      <c r="T361" s="172" t="n"/>
      <c r="U361" s="172" t="n"/>
      <c r="V361" s="172" t="n"/>
      <c r="W361" s="172" t="n"/>
      <c r="X361" s="172" t="n"/>
      <c r="Y361" s="173" t="n"/>
      <c r="Z361" s="174" t="n"/>
      <c r="AB361" s="172" t="n"/>
      <c r="AC361" s="172" t="n"/>
      <c r="AD361" s="172" t="n"/>
      <c r="AE361" s="172" t="n"/>
      <c r="AG361" s="172" t="n"/>
      <c r="AI361" s="172" t="n"/>
      <c r="AJ361" s="172" t="n"/>
      <c r="AK361" s="172" t="n"/>
      <c r="AL361" s="172" t="n"/>
      <c r="AM361" s="172" t="n"/>
    </row>
    <row r="362">
      <c r="C362" s="18" t="n"/>
      <c r="D362" s="11" t="n"/>
      <c r="G362" s="11" t="n"/>
      <c r="I362" s="11" t="n"/>
      <c r="J362" s="11" t="n"/>
      <c r="K362" s="11" t="n"/>
      <c r="R362" s="172" t="n"/>
      <c r="S362" s="172" t="n"/>
      <c r="T362" s="172" t="n"/>
      <c r="U362" s="172" t="n"/>
      <c r="V362" s="172" t="n"/>
      <c r="W362" s="172" t="n"/>
      <c r="X362" s="172" t="n"/>
      <c r="Y362" s="173" t="n"/>
      <c r="Z362" s="174" t="n"/>
      <c r="AB362" s="172" t="n"/>
      <c r="AC362" s="172" t="n"/>
      <c r="AD362" s="172" t="n"/>
      <c r="AE362" s="172" t="n"/>
      <c r="AG362" s="172" t="n"/>
      <c r="AI362" s="172" t="n"/>
      <c r="AJ362" s="172" t="n"/>
      <c r="AK362" s="172" t="n"/>
      <c r="AL362" s="172" t="n"/>
      <c r="AM362" s="172" t="n"/>
    </row>
    <row r="363">
      <c r="C363" s="18" t="n"/>
      <c r="D363" s="11" t="n"/>
      <c r="G363" s="11" t="n"/>
      <c r="I363" s="11" t="n"/>
      <c r="J363" s="11" t="n"/>
      <c r="K363" s="11" t="n"/>
      <c r="R363" s="172" t="n"/>
      <c r="S363" s="172" t="n"/>
      <c r="T363" s="172" t="n"/>
      <c r="U363" s="172" t="n"/>
      <c r="V363" s="172" t="n"/>
      <c r="W363" s="172" t="n"/>
      <c r="X363" s="172" t="n"/>
      <c r="Y363" s="173" t="n"/>
      <c r="Z363" s="174" t="n"/>
      <c r="AB363" s="172" t="n"/>
      <c r="AC363" s="172" t="n"/>
      <c r="AD363" s="172" t="n"/>
      <c r="AE363" s="172" t="n"/>
      <c r="AG363" s="172" t="n"/>
      <c r="AI363" s="172" t="n"/>
      <c r="AJ363" s="172" t="n"/>
      <c r="AK363" s="172" t="n"/>
      <c r="AL363" s="172" t="n"/>
      <c r="AM363" s="172" t="n"/>
    </row>
    <row r="364">
      <c r="C364" s="18" t="n"/>
      <c r="D364" s="11" t="n"/>
      <c r="G364" s="11" t="n"/>
      <c r="I364" s="11" t="n"/>
      <c r="J364" s="11" t="n"/>
      <c r="K364" s="11" t="n"/>
      <c r="R364" s="172" t="n"/>
      <c r="S364" s="172" t="n"/>
      <c r="T364" s="172" t="n"/>
      <c r="U364" s="172" t="n"/>
      <c r="V364" s="172" t="n"/>
      <c r="W364" s="172" t="n"/>
      <c r="X364" s="172" t="n"/>
      <c r="Y364" s="173" t="n"/>
      <c r="Z364" s="174" t="n"/>
      <c r="AB364" s="172" t="n"/>
      <c r="AC364" s="172" t="n"/>
      <c r="AD364" s="172" t="n"/>
      <c r="AE364" s="172" t="n"/>
      <c r="AG364" s="172" t="n"/>
      <c r="AI364" s="172" t="n"/>
      <c r="AJ364" s="172" t="n"/>
      <c r="AK364" s="172" t="n"/>
      <c r="AL364" s="172" t="n"/>
      <c r="AM364" s="172" t="n"/>
    </row>
    <row r="365">
      <c r="C365" s="18" t="n"/>
      <c r="D365" s="11" t="n"/>
      <c r="G365" s="11" t="n"/>
      <c r="I365" s="11" t="n"/>
      <c r="J365" s="11" t="n"/>
      <c r="K365" s="11" t="n"/>
      <c r="R365" s="172" t="n"/>
      <c r="S365" s="172" t="n"/>
      <c r="T365" s="172" t="n"/>
      <c r="U365" s="172" t="n"/>
      <c r="V365" s="172" t="n"/>
      <c r="W365" s="172" t="n"/>
      <c r="X365" s="172" t="n"/>
      <c r="Y365" s="173" t="n"/>
      <c r="Z365" s="174" t="n"/>
      <c r="AB365" s="172" t="n"/>
      <c r="AC365" s="172" t="n"/>
      <c r="AD365" s="172" t="n"/>
      <c r="AE365" s="172" t="n"/>
      <c r="AG365" s="172" t="n"/>
      <c r="AI365" s="172" t="n"/>
      <c r="AJ365" s="172" t="n"/>
      <c r="AK365" s="172" t="n"/>
      <c r="AL365" s="172" t="n"/>
      <c r="AM365" s="172" t="n"/>
    </row>
    <row r="366">
      <c r="C366" s="18" t="n"/>
      <c r="D366" s="11" t="n"/>
      <c r="G366" s="11" t="n"/>
      <c r="I366" s="11" t="n"/>
      <c r="J366" s="11" t="n"/>
      <c r="K366" s="11" t="n"/>
      <c r="R366" s="172" t="n"/>
      <c r="S366" s="172" t="n"/>
      <c r="T366" s="172" t="n"/>
      <c r="U366" s="172" t="n"/>
      <c r="V366" s="172" t="n"/>
      <c r="W366" s="172" t="n"/>
      <c r="X366" s="172" t="n"/>
      <c r="Y366" s="173" t="n"/>
      <c r="Z366" s="174" t="n"/>
      <c r="AB366" s="172" t="n"/>
      <c r="AC366" s="172" t="n"/>
      <c r="AD366" s="172" t="n"/>
      <c r="AE366" s="172" t="n"/>
      <c r="AG366" s="172" t="n"/>
      <c r="AI366" s="172" t="n"/>
      <c r="AJ366" s="172" t="n"/>
      <c r="AK366" s="172" t="n"/>
      <c r="AL366" s="172" t="n"/>
      <c r="AM366" s="172" t="n"/>
    </row>
    <row r="367">
      <c r="C367" s="18" t="n"/>
      <c r="D367" s="11" t="n"/>
      <c r="G367" s="11" t="n"/>
      <c r="I367" s="11" t="n"/>
      <c r="J367" s="11" t="n"/>
      <c r="K367" s="11" t="n"/>
      <c r="R367" s="172" t="n"/>
      <c r="S367" s="172" t="n"/>
      <c r="T367" s="172" t="n"/>
      <c r="U367" s="172" t="n"/>
      <c r="V367" s="172" t="n"/>
      <c r="W367" s="172" t="n"/>
      <c r="X367" s="172" t="n"/>
      <c r="Y367" s="173" t="n"/>
      <c r="Z367" s="174" t="n"/>
      <c r="AB367" s="172" t="n"/>
      <c r="AC367" s="172" t="n"/>
      <c r="AD367" s="172" t="n"/>
      <c r="AE367" s="172" t="n"/>
      <c r="AG367" s="172" t="n"/>
      <c r="AI367" s="172" t="n"/>
      <c r="AJ367" s="172" t="n"/>
      <c r="AK367" s="172" t="n"/>
      <c r="AL367" s="172" t="n"/>
      <c r="AM367" s="172" t="n"/>
    </row>
    <row r="368">
      <c r="C368" s="18" t="n"/>
      <c r="D368" s="11" t="n"/>
      <c r="G368" s="11" t="n"/>
      <c r="I368" s="11" t="n"/>
      <c r="J368" s="11" t="n"/>
      <c r="K368" s="11" t="n"/>
      <c r="R368" s="172" t="n"/>
      <c r="S368" s="172" t="n"/>
      <c r="T368" s="172" t="n"/>
      <c r="U368" s="172" t="n"/>
      <c r="V368" s="172" t="n"/>
      <c r="W368" s="172" t="n"/>
      <c r="X368" s="172" t="n"/>
      <c r="Y368" s="173" t="n"/>
      <c r="Z368" s="174" t="n"/>
      <c r="AB368" s="172" t="n"/>
      <c r="AC368" s="172" t="n"/>
      <c r="AD368" s="172" t="n"/>
      <c r="AE368" s="172" t="n"/>
      <c r="AG368" s="172" t="n"/>
      <c r="AI368" s="172" t="n"/>
      <c r="AJ368" s="172" t="n"/>
      <c r="AK368" s="172" t="n"/>
      <c r="AL368" s="172" t="n"/>
      <c r="AM368" s="172" t="n"/>
    </row>
    <row r="369">
      <c r="C369" s="18" t="n"/>
      <c r="D369" s="11" t="n"/>
      <c r="G369" s="11" t="n"/>
      <c r="I369" s="11" t="n"/>
      <c r="J369" s="11" t="n"/>
      <c r="K369" s="11" t="n"/>
      <c r="R369" s="172" t="n"/>
      <c r="S369" s="172" t="n"/>
      <c r="T369" s="172" t="n"/>
      <c r="U369" s="172" t="n"/>
      <c r="V369" s="172" t="n"/>
      <c r="W369" s="172" t="n"/>
      <c r="X369" s="172" t="n"/>
      <c r="Y369" s="173" t="n"/>
      <c r="Z369" s="174" t="n"/>
      <c r="AB369" s="172" t="n"/>
      <c r="AC369" s="172" t="n"/>
      <c r="AD369" s="172" t="n"/>
      <c r="AE369" s="172" t="n"/>
      <c r="AG369" s="172" t="n"/>
      <c r="AI369" s="172" t="n"/>
      <c r="AJ369" s="172" t="n"/>
      <c r="AK369" s="172" t="n"/>
      <c r="AL369" s="172" t="n"/>
      <c r="AM369" s="172" t="n"/>
    </row>
    <row r="370">
      <c r="C370" s="18" t="n"/>
      <c r="D370" s="11" t="n"/>
      <c r="G370" s="11" t="n"/>
      <c r="I370" s="11" t="n"/>
      <c r="J370" s="11" t="n"/>
      <c r="K370" s="11" t="n"/>
      <c r="R370" s="172" t="n"/>
      <c r="S370" s="172" t="n"/>
      <c r="T370" s="172" t="n"/>
      <c r="U370" s="172" t="n"/>
      <c r="V370" s="172" t="n"/>
      <c r="W370" s="172" t="n"/>
      <c r="X370" s="172" t="n"/>
      <c r="Y370" s="173" t="n"/>
      <c r="Z370" s="174" t="n"/>
      <c r="AB370" s="172" t="n"/>
      <c r="AC370" s="172" t="n"/>
      <c r="AD370" s="172" t="n"/>
      <c r="AE370" s="172" t="n"/>
      <c r="AG370" s="172" t="n"/>
      <c r="AI370" s="172" t="n"/>
      <c r="AJ370" s="172" t="n"/>
      <c r="AK370" s="172" t="n"/>
      <c r="AL370" s="172" t="n"/>
      <c r="AM370" s="172" t="n"/>
    </row>
    <row r="371">
      <c r="C371" s="18" t="n"/>
      <c r="D371" s="11" t="n"/>
      <c r="G371" s="11" t="n"/>
      <c r="I371" s="11" t="n"/>
      <c r="J371" s="11" t="n"/>
      <c r="K371" s="11" t="n"/>
      <c r="R371" s="172" t="n"/>
      <c r="S371" s="172" t="n"/>
      <c r="T371" s="172" t="n"/>
      <c r="U371" s="172" t="n"/>
      <c r="V371" s="172" t="n"/>
      <c r="W371" s="172" t="n"/>
      <c r="X371" s="172" t="n"/>
      <c r="Y371" s="173" t="n"/>
      <c r="Z371" s="174" t="n"/>
      <c r="AB371" s="172" t="n"/>
      <c r="AC371" s="172" t="n"/>
      <c r="AD371" s="172" t="n"/>
      <c r="AE371" s="172" t="n"/>
      <c r="AG371" s="172" t="n"/>
      <c r="AI371" s="172" t="n"/>
      <c r="AJ371" s="172" t="n"/>
      <c r="AK371" s="172" t="n"/>
      <c r="AL371" s="172" t="n"/>
      <c r="AM371" s="172" t="n"/>
    </row>
    <row r="372">
      <c r="C372" s="18" t="n"/>
      <c r="D372" s="11" t="n"/>
      <c r="G372" s="11" t="n"/>
      <c r="I372" s="11" t="n"/>
      <c r="J372" s="11" t="n"/>
      <c r="K372" s="11" t="n"/>
      <c r="R372" s="172" t="n"/>
      <c r="S372" s="172" t="n"/>
      <c r="T372" s="172" t="n"/>
      <c r="U372" s="172" t="n"/>
      <c r="V372" s="172" t="n"/>
      <c r="W372" s="172" t="n"/>
      <c r="X372" s="172" t="n"/>
      <c r="Y372" s="173" t="n"/>
      <c r="Z372" s="174" t="n"/>
      <c r="AB372" s="172" t="n"/>
      <c r="AC372" s="172" t="n"/>
      <c r="AD372" s="172" t="n"/>
      <c r="AE372" s="172" t="n"/>
      <c r="AG372" s="172" t="n"/>
      <c r="AI372" s="172" t="n"/>
      <c r="AJ372" s="172" t="n"/>
      <c r="AK372" s="172" t="n"/>
      <c r="AL372" s="172" t="n"/>
      <c r="AM372" s="172" t="n"/>
    </row>
    <row r="373">
      <c r="C373" s="18" t="n"/>
      <c r="D373" s="11" t="n"/>
      <c r="G373" s="11" t="n"/>
      <c r="I373" s="11" t="n"/>
      <c r="J373" s="11" t="n"/>
      <c r="K373" s="11" t="n"/>
      <c r="R373" s="172" t="n"/>
      <c r="S373" s="172" t="n"/>
      <c r="T373" s="172" t="n"/>
      <c r="U373" s="172" t="n"/>
      <c r="V373" s="172" t="n"/>
      <c r="W373" s="172" t="n"/>
      <c r="X373" s="172" t="n"/>
      <c r="Y373" s="173" t="n"/>
      <c r="Z373" s="174" t="n"/>
      <c r="AB373" s="172" t="n"/>
      <c r="AC373" s="172" t="n"/>
      <c r="AD373" s="172" t="n"/>
      <c r="AE373" s="172" t="n"/>
      <c r="AG373" s="172" t="n"/>
      <c r="AI373" s="172" t="n"/>
      <c r="AJ373" s="172" t="n"/>
      <c r="AK373" s="172" t="n"/>
      <c r="AL373" s="172" t="n"/>
      <c r="AM373" s="172" t="n"/>
    </row>
    <row r="374">
      <c r="C374" s="18" t="n"/>
      <c r="D374" s="11" t="n"/>
      <c r="G374" s="11" t="n"/>
      <c r="I374" s="11" t="n"/>
      <c r="J374" s="11" t="n"/>
      <c r="K374" s="11" t="n"/>
      <c r="R374" s="172" t="n"/>
      <c r="S374" s="172" t="n"/>
      <c r="T374" s="172" t="n"/>
      <c r="U374" s="172" t="n"/>
      <c r="V374" s="172" t="n"/>
      <c r="W374" s="172" t="n"/>
      <c r="X374" s="172" t="n"/>
      <c r="Y374" s="173" t="n"/>
      <c r="Z374" s="174" t="n"/>
      <c r="AB374" s="172" t="n"/>
      <c r="AC374" s="172" t="n"/>
      <c r="AD374" s="172" t="n"/>
      <c r="AE374" s="172" t="n"/>
      <c r="AG374" s="172" t="n"/>
      <c r="AI374" s="172" t="n"/>
      <c r="AJ374" s="172" t="n"/>
      <c r="AK374" s="172" t="n"/>
      <c r="AL374" s="172" t="n"/>
      <c r="AM374" s="172" t="n"/>
    </row>
    <row r="375">
      <c r="C375" s="18" t="n"/>
      <c r="D375" s="11" t="n"/>
      <c r="G375" s="11" t="n"/>
      <c r="I375" s="11" t="n"/>
      <c r="J375" s="11" t="n"/>
      <c r="K375" s="11" t="n"/>
      <c r="R375" s="172" t="n"/>
      <c r="S375" s="172" t="n"/>
      <c r="T375" s="172" t="n"/>
      <c r="U375" s="172" t="n"/>
      <c r="V375" s="172" t="n"/>
      <c r="W375" s="172" t="n"/>
      <c r="X375" s="172" t="n"/>
      <c r="Y375" s="173" t="n"/>
      <c r="Z375" s="174" t="n"/>
      <c r="AB375" s="172" t="n"/>
      <c r="AC375" s="172" t="n"/>
      <c r="AD375" s="172" t="n"/>
      <c r="AE375" s="172" t="n"/>
      <c r="AG375" s="172" t="n"/>
      <c r="AI375" s="172" t="n"/>
      <c r="AJ375" s="172" t="n"/>
      <c r="AK375" s="172" t="n"/>
      <c r="AL375" s="172" t="n"/>
      <c r="AM375" s="172" t="n"/>
    </row>
    <row r="376">
      <c r="C376" s="18" t="n"/>
      <c r="D376" s="11" t="n"/>
      <c r="G376" s="11" t="n"/>
      <c r="I376" s="11" t="n"/>
      <c r="J376" s="11" t="n"/>
      <c r="K376" s="11" t="n"/>
      <c r="R376" s="172" t="n"/>
      <c r="S376" s="172" t="n"/>
      <c r="T376" s="172" t="n"/>
      <c r="U376" s="172" t="n"/>
      <c r="V376" s="172" t="n"/>
      <c r="W376" s="172" t="n"/>
      <c r="X376" s="172" t="n"/>
      <c r="Y376" s="173" t="n"/>
      <c r="Z376" s="174" t="n"/>
      <c r="AB376" s="172" t="n"/>
      <c r="AC376" s="172" t="n"/>
      <c r="AD376" s="172" t="n"/>
      <c r="AE376" s="172" t="n"/>
      <c r="AG376" s="172" t="n"/>
      <c r="AI376" s="172" t="n"/>
      <c r="AJ376" s="172" t="n"/>
      <c r="AK376" s="172" t="n"/>
      <c r="AL376" s="172" t="n"/>
      <c r="AM376" s="172" t="n"/>
    </row>
    <row r="377">
      <c r="C377" s="18" t="n"/>
      <c r="D377" s="11" t="n"/>
      <c r="G377" s="11" t="n"/>
      <c r="I377" s="11" t="n"/>
      <c r="J377" s="11" t="n"/>
      <c r="K377" s="11" t="n"/>
      <c r="R377" s="172" t="n"/>
      <c r="S377" s="172" t="n"/>
      <c r="T377" s="172" t="n"/>
      <c r="U377" s="172" t="n"/>
      <c r="V377" s="172" t="n"/>
      <c r="W377" s="172" t="n"/>
      <c r="X377" s="172" t="n"/>
      <c r="Y377" s="173" t="n"/>
      <c r="Z377" s="174" t="n"/>
      <c r="AB377" s="172" t="n"/>
      <c r="AC377" s="172" t="n"/>
      <c r="AD377" s="172" t="n"/>
      <c r="AE377" s="172" t="n"/>
      <c r="AG377" s="172" t="n"/>
      <c r="AI377" s="172" t="n"/>
      <c r="AJ377" s="172" t="n"/>
      <c r="AK377" s="172" t="n"/>
      <c r="AL377" s="172" t="n"/>
      <c r="AM377" s="172" t="n"/>
    </row>
    <row r="378">
      <c r="C378" s="18" t="n"/>
      <c r="D378" s="11" t="n"/>
      <c r="G378" s="11" t="n"/>
      <c r="I378" s="11" t="n"/>
      <c r="J378" s="11" t="n"/>
      <c r="K378" s="11" t="n"/>
      <c r="R378" s="172" t="n"/>
      <c r="S378" s="172" t="n"/>
      <c r="T378" s="172" t="n"/>
      <c r="U378" s="172" t="n"/>
      <c r="V378" s="172" t="n"/>
      <c r="W378" s="172" t="n"/>
      <c r="X378" s="172" t="n"/>
      <c r="Y378" s="173" t="n"/>
      <c r="Z378" s="174" t="n"/>
      <c r="AB378" s="172" t="n"/>
      <c r="AC378" s="172" t="n"/>
      <c r="AD378" s="172" t="n"/>
      <c r="AE378" s="172" t="n"/>
      <c r="AG378" s="172" t="n"/>
      <c r="AI378" s="172" t="n"/>
      <c r="AJ378" s="172" t="n"/>
      <c r="AK378" s="172" t="n"/>
      <c r="AL378" s="172" t="n"/>
      <c r="AM378" s="172" t="n"/>
    </row>
    <row r="379">
      <c r="C379" s="18" t="n"/>
      <c r="D379" s="11" t="n"/>
      <c r="G379" s="11" t="n"/>
      <c r="I379" s="11" t="n"/>
      <c r="J379" s="11" t="n"/>
      <c r="K379" s="11" t="n"/>
      <c r="R379" s="172" t="n"/>
      <c r="S379" s="172" t="n"/>
      <c r="T379" s="172" t="n"/>
      <c r="U379" s="172" t="n"/>
      <c r="V379" s="172" t="n"/>
      <c r="W379" s="172" t="n"/>
      <c r="X379" s="172" t="n"/>
      <c r="Y379" s="173" t="n"/>
      <c r="Z379" s="174" t="n"/>
      <c r="AB379" s="172" t="n"/>
      <c r="AC379" s="172" t="n"/>
      <c r="AD379" s="172" t="n"/>
      <c r="AE379" s="172" t="n"/>
      <c r="AG379" s="172" t="n"/>
      <c r="AI379" s="172" t="n"/>
      <c r="AJ379" s="172" t="n"/>
      <c r="AK379" s="172" t="n"/>
      <c r="AL379" s="172" t="n"/>
      <c r="AM379" s="172" t="n"/>
    </row>
    <row r="380">
      <c r="C380" s="18" t="n"/>
      <c r="D380" s="11" t="n"/>
      <c r="G380" s="11" t="n"/>
      <c r="I380" s="11" t="n"/>
      <c r="J380" s="11" t="n"/>
      <c r="K380" s="11" t="n"/>
      <c r="R380" s="172" t="n"/>
      <c r="S380" s="172" t="n"/>
      <c r="T380" s="172" t="n"/>
      <c r="U380" s="172" t="n"/>
      <c r="V380" s="172" t="n"/>
      <c r="W380" s="172" t="n"/>
      <c r="X380" s="172" t="n"/>
      <c r="Y380" s="173" t="n"/>
      <c r="Z380" s="174" t="n"/>
      <c r="AB380" s="172" t="n"/>
      <c r="AC380" s="172" t="n"/>
      <c r="AD380" s="172" t="n"/>
      <c r="AE380" s="172" t="n"/>
      <c r="AG380" s="172" t="n"/>
      <c r="AI380" s="172" t="n"/>
      <c r="AJ380" s="172" t="n"/>
      <c r="AK380" s="172" t="n"/>
      <c r="AL380" s="172" t="n"/>
      <c r="AM380" s="172" t="n"/>
      <c r="AO380" s="175" t="n"/>
    </row>
    <row r="381">
      <c r="C381" s="18" t="n"/>
      <c r="D381" s="11" t="n"/>
      <c r="G381" s="11" t="n"/>
      <c r="I381" s="11" t="n"/>
      <c r="J381" s="11" t="n"/>
      <c r="K381" s="11" t="n"/>
      <c r="R381" s="172" t="n"/>
      <c r="S381" s="172" t="n"/>
      <c r="T381" s="172" t="n"/>
      <c r="U381" s="172" t="n"/>
      <c r="V381" s="172" t="n"/>
      <c r="W381" s="172" t="n"/>
      <c r="X381" s="172" t="n"/>
      <c r="Y381" s="173" t="n"/>
      <c r="Z381" s="174" t="n"/>
      <c r="AB381" s="172" t="n"/>
      <c r="AC381" s="172" t="n"/>
      <c r="AD381" s="172" t="n"/>
      <c r="AE381" s="172" t="n"/>
      <c r="AG381" s="172" t="n"/>
      <c r="AI381" s="172" t="n"/>
      <c r="AJ381" s="172" t="n"/>
      <c r="AK381" s="172" t="n"/>
      <c r="AL381" s="172" t="n"/>
      <c r="AM381" s="172" t="n"/>
    </row>
    <row r="382">
      <c r="C382" s="18" t="n"/>
      <c r="D382" s="11" t="n"/>
      <c r="G382" s="11" t="n"/>
      <c r="I382" s="11" t="n"/>
      <c r="J382" s="11" t="n"/>
      <c r="K382" s="11" t="n"/>
      <c r="R382" s="172" t="n"/>
      <c r="S382" s="172" t="n"/>
      <c r="T382" s="172" t="n"/>
      <c r="U382" s="172" t="n"/>
      <c r="V382" s="172" t="n"/>
      <c r="W382" s="172" t="n"/>
      <c r="X382" s="172" t="n"/>
      <c r="Y382" s="173" t="n"/>
      <c r="Z382" s="174" t="n"/>
      <c r="AB382" s="172" t="n"/>
      <c r="AC382" s="172" t="n"/>
      <c r="AD382" s="172" t="n"/>
      <c r="AE382" s="172" t="n"/>
      <c r="AG382" s="172" t="n"/>
      <c r="AI382" s="172" t="n"/>
      <c r="AJ382" s="172" t="n"/>
      <c r="AK382" s="172" t="n"/>
      <c r="AL382" s="172" t="n"/>
      <c r="AM382" s="172" t="n"/>
    </row>
    <row r="383">
      <c r="C383" s="18" t="n"/>
      <c r="D383" s="11" t="n"/>
      <c r="G383" s="11" t="n"/>
      <c r="I383" s="11" t="n"/>
      <c r="J383" s="11" t="n"/>
      <c r="K383" s="11" t="n"/>
      <c r="R383" s="172" t="n"/>
      <c r="S383" s="172" t="n"/>
      <c r="T383" s="172" t="n"/>
      <c r="U383" s="172" t="n"/>
      <c r="V383" s="172" t="n"/>
      <c r="W383" s="172" t="n"/>
      <c r="X383" s="172" t="n"/>
      <c r="Y383" s="173" t="n"/>
      <c r="Z383" s="174" t="n"/>
      <c r="AB383" s="172" t="n"/>
      <c r="AC383" s="172" t="n"/>
      <c r="AD383" s="172" t="n"/>
      <c r="AE383" s="172" t="n"/>
      <c r="AG383" s="172" t="n"/>
      <c r="AI383" s="172" t="n"/>
      <c r="AJ383" s="172" t="n"/>
      <c r="AK383" s="172" t="n"/>
      <c r="AL383" s="172" t="n"/>
      <c r="AM383" s="172" t="n"/>
    </row>
    <row r="384">
      <c r="C384" s="18" t="n"/>
      <c r="D384" s="11" t="n"/>
      <c r="G384" s="11" t="n"/>
      <c r="I384" s="11" t="n"/>
      <c r="J384" s="11" t="n"/>
      <c r="K384" s="11" t="n"/>
      <c r="R384" s="172" t="n"/>
      <c r="S384" s="172" t="n"/>
      <c r="T384" s="172" t="n"/>
      <c r="U384" s="172" t="n"/>
      <c r="V384" s="172" t="n"/>
      <c r="W384" s="172" t="n"/>
      <c r="X384" s="172" t="n"/>
      <c r="Y384" s="173" t="n"/>
      <c r="Z384" s="174" t="n"/>
      <c r="AB384" s="172" t="n"/>
      <c r="AC384" s="172" t="n"/>
      <c r="AD384" s="172" t="n"/>
      <c r="AE384" s="172" t="n"/>
      <c r="AG384" s="172" t="n"/>
      <c r="AI384" s="172" t="n"/>
      <c r="AJ384" s="172" t="n"/>
      <c r="AK384" s="172" t="n"/>
      <c r="AL384" s="172" t="n"/>
      <c r="AM384" s="172" t="n"/>
    </row>
    <row r="385">
      <c r="C385" s="18" t="n"/>
      <c r="D385" s="11" t="n"/>
      <c r="G385" s="11" t="n"/>
      <c r="I385" s="11" t="n"/>
      <c r="J385" s="11" t="n"/>
      <c r="K385" s="11" t="n"/>
      <c r="R385" s="172" t="n"/>
      <c r="S385" s="172" t="n"/>
      <c r="T385" s="172" t="n"/>
      <c r="U385" s="172" t="n"/>
      <c r="V385" s="172" t="n"/>
      <c r="W385" s="172" t="n"/>
      <c r="X385" s="172" t="n"/>
      <c r="Y385" s="173" t="n"/>
      <c r="Z385" s="174" t="n"/>
      <c r="AB385" s="172" t="n"/>
      <c r="AC385" s="172" t="n"/>
      <c r="AD385" s="172" t="n"/>
      <c r="AE385" s="172" t="n"/>
      <c r="AG385" s="172" t="n"/>
      <c r="AI385" s="172" t="n"/>
      <c r="AJ385" s="172" t="n"/>
      <c r="AK385" s="172" t="n"/>
      <c r="AL385" s="172" t="n"/>
      <c r="AM385" s="172" t="n"/>
    </row>
    <row r="386">
      <c r="C386" s="18" t="n"/>
      <c r="D386" s="11" t="n"/>
      <c r="G386" s="11" t="n"/>
      <c r="I386" s="11" t="n"/>
      <c r="J386" s="11" t="n"/>
      <c r="K386" s="11" t="n"/>
      <c r="R386" s="172" t="n"/>
      <c r="S386" s="172" t="n"/>
      <c r="T386" s="172" t="n"/>
      <c r="U386" s="172" t="n"/>
      <c r="V386" s="172" t="n"/>
      <c r="W386" s="172" t="n"/>
      <c r="X386" s="172" t="n"/>
      <c r="Y386" s="173" t="n"/>
      <c r="Z386" s="174" t="n"/>
      <c r="AB386" s="172" t="n"/>
      <c r="AC386" s="172" t="n"/>
      <c r="AD386" s="172" t="n"/>
      <c r="AE386" s="172" t="n"/>
      <c r="AG386" s="172" t="n"/>
      <c r="AI386" s="172" t="n"/>
      <c r="AJ386" s="172" t="n"/>
      <c r="AK386" s="172" t="n"/>
      <c r="AL386" s="172" t="n"/>
      <c r="AM386" s="172" t="n"/>
    </row>
    <row r="387">
      <c r="C387" s="18" t="n"/>
      <c r="D387" s="11" t="n"/>
      <c r="G387" s="11" t="n"/>
      <c r="I387" s="11" t="n"/>
      <c r="J387" s="11" t="n"/>
      <c r="K387" s="11" t="n"/>
      <c r="R387" s="172" t="n"/>
      <c r="S387" s="172" t="n"/>
      <c r="T387" s="172" t="n"/>
      <c r="U387" s="172" t="n"/>
      <c r="V387" s="172" t="n"/>
      <c r="W387" s="172" t="n"/>
      <c r="X387" s="172" t="n"/>
      <c r="Y387" s="173" t="n"/>
      <c r="Z387" s="174" t="n"/>
      <c r="AB387" s="172" t="n"/>
      <c r="AC387" s="172" t="n"/>
      <c r="AD387" s="172" t="n"/>
      <c r="AE387" s="172" t="n"/>
      <c r="AG387" s="172" t="n"/>
      <c r="AI387" s="172" t="n"/>
      <c r="AJ387" s="172" t="n"/>
      <c r="AK387" s="172" t="n"/>
      <c r="AL387" s="172" t="n"/>
      <c r="AM387" s="172" t="n"/>
    </row>
    <row r="388">
      <c r="C388" s="18" t="n"/>
      <c r="D388" s="11" t="n"/>
      <c r="G388" s="11" t="n"/>
      <c r="I388" s="11" t="n"/>
      <c r="J388" s="11" t="n"/>
      <c r="K388" s="11" t="n"/>
      <c r="R388" s="172" t="n"/>
      <c r="S388" s="172" t="n"/>
      <c r="T388" s="172" t="n"/>
      <c r="U388" s="172" t="n"/>
      <c r="V388" s="172" t="n"/>
      <c r="W388" s="172" t="n"/>
      <c r="X388" s="172" t="n"/>
      <c r="Y388" s="173" t="n"/>
      <c r="Z388" s="174" t="n"/>
      <c r="AB388" s="172" t="n"/>
      <c r="AC388" s="172" t="n"/>
      <c r="AD388" s="172" t="n"/>
      <c r="AE388" s="172" t="n"/>
      <c r="AG388" s="172" t="n"/>
      <c r="AI388" s="172" t="n"/>
      <c r="AJ388" s="172" t="n"/>
      <c r="AK388" s="172" t="n"/>
      <c r="AL388" s="176" t="n"/>
      <c r="AM388" s="172" t="n"/>
    </row>
    <row r="389">
      <c r="C389" s="18" t="n"/>
      <c r="D389" s="11" t="n"/>
      <c r="G389" s="11" t="n"/>
      <c r="I389" s="11" t="n"/>
      <c r="J389" s="11" t="n"/>
      <c r="K389" s="11" t="n"/>
      <c r="R389" s="172" t="n"/>
      <c r="S389" s="172" t="n"/>
      <c r="T389" s="172" t="n"/>
      <c r="U389" s="172" t="n"/>
      <c r="V389" s="172" t="n"/>
      <c r="W389" s="172" t="n"/>
      <c r="X389" s="172" t="n"/>
      <c r="Y389" s="173" t="n"/>
      <c r="Z389" s="174" t="n"/>
      <c r="AB389" s="172" t="n"/>
      <c r="AC389" s="172" t="n"/>
      <c r="AD389" s="172" t="n"/>
      <c r="AE389" s="172" t="n"/>
      <c r="AG389" s="172" t="n"/>
      <c r="AI389" s="172" t="n"/>
      <c r="AJ389" s="172" t="n"/>
      <c r="AK389" s="172" t="n"/>
      <c r="AL389" s="172" t="n"/>
      <c r="AM389" s="172" t="n"/>
    </row>
    <row r="390">
      <c r="C390" s="18" t="n"/>
      <c r="D390" s="11" t="n"/>
      <c r="G390" s="11" t="n"/>
      <c r="I390" s="11" t="n"/>
      <c r="J390" s="11" t="n"/>
      <c r="K390" s="11" t="n"/>
      <c r="R390" s="172" t="n"/>
      <c r="S390" s="172" t="n"/>
      <c r="T390" s="172" t="n"/>
      <c r="U390" s="172" t="n"/>
      <c r="V390" s="172" t="n"/>
      <c r="W390" s="172" t="n"/>
      <c r="X390" s="172" t="n"/>
      <c r="Y390" s="173" t="n"/>
      <c r="Z390" s="174" t="n"/>
      <c r="AB390" s="172" t="n"/>
      <c r="AC390" s="172" t="n"/>
      <c r="AD390" s="172" t="n"/>
      <c r="AE390" s="172" t="n"/>
      <c r="AG390" s="172" t="n"/>
      <c r="AI390" s="172" t="n"/>
      <c r="AJ390" s="172" t="n"/>
      <c r="AK390" s="172" t="n"/>
      <c r="AL390" s="172" t="n"/>
      <c r="AM390" s="172" t="n"/>
    </row>
    <row r="391">
      <c r="C391" s="18" t="n"/>
      <c r="D391" s="11" t="n"/>
      <c r="G391" s="11" t="n"/>
      <c r="I391" s="11" t="n"/>
      <c r="J391" s="11" t="n"/>
      <c r="K391" s="11" t="n"/>
      <c r="R391" s="172" t="n"/>
      <c r="S391" s="172" t="n"/>
      <c r="T391" s="172" t="n"/>
      <c r="U391" s="172" t="n"/>
      <c r="V391" s="172" t="n"/>
      <c r="W391" s="172" t="n"/>
      <c r="X391" s="172" t="n"/>
      <c r="Y391" s="173" t="n"/>
      <c r="Z391" s="174" t="n"/>
      <c r="AB391" s="172" t="n"/>
      <c r="AC391" s="172" t="n"/>
      <c r="AD391" s="172" t="n"/>
      <c r="AE391" s="172" t="n"/>
      <c r="AG391" s="172" t="n"/>
      <c r="AI391" s="172" t="n"/>
      <c r="AJ391" s="172" t="n"/>
      <c r="AK391" s="172" t="n"/>
      <c r="AL391" s="172" t="n"/>
      <c r="AM391" s="172" t="n"/>
    </row>
    <row r="392">
      <c r="C392" s="18" t="n"/>
      <c r="D392" s="11" t="n"/>
      <c r="G392" s="11" t="n"/>
      <c r="I392" s="11" t="n"/>
      <c r="J392" s="11" t="n"/>
      <c r="K392" s="11" t="n"/>
      <c r="R392" s="172" t="n"/>
      <c r="S392" s="172" t="n"/>
      <c r="T392" s="172" t="n"/>
      <c r="U392" s="172" t="n"/>
      <c r="V392" s="172" t="n"/>
      <c r="W392" s="172" t="n"/>
      <c r="X392" s="172" t="n"/>
      <c r="Y392" s="173" t="n"/>
      <c r="Z392" s="174" t="n"/>
      <c r="AB392" s="172" t="n"/>
      <c r="AC392" s="172" t="n"/>
      <c r="AD392" s="172" t="n"/>
      <c r="AE392" s="172" t="n"/>
      <c r="AG392" s="172" t="n"/>
      <c r="AI392" s="172" t="n"/>
      <c r="AJ392" s="172" t="n"/>
      <c r="AK392" s="172" t="n"/>
      <c r="AL392" s="172" t="n"/>
      <c r="AM392" s="172" t="n"/>
    </row>
    <row r="393">
      <c r="C393" s="18" t="n"/>
      <c r="D393" s="11" t="n"/>
      <c r="G393" s="11" t="n"/>
      <c r="I393" s="11" t="n"/>
      <c r="J393" s="11" t="n"/>
      <c r="K393" s="11" t="n"/>
      <c r="R393" s="172" t="n"/>
      <c r="S393" s="172" t="n"/>
      <c r="T393" s="172" t="n"/>
      <c r="U393" s="172" t="n"/>
      <c r="V393" s="172" t="n"/>
      <c r="W393" s="172" t="n"/>
      <c r="X393" s="172" t="n"/>
      <c r="Y393" s="173" t="n"/>
      <c r="Z393" s="174" t="n"/>
      <c r="AB393" s="172" t="n"/>
      <c r="AC393" s="172" t="n"/>
      <c r="AD393" s="172" t="n"/>
      <c r="AE393" s="172" t="n"/>
      <c r="AG393" s="172" t="n"/>
      <c r="AI393" s="172" t="n"/>
      <c r="AJ393" s="172" t="n"/>
      <c r="AK393" s="172" t="n"/>
      <c r="AL393" s="176" t="n"/>
      <c r="AM393" s="176" t="n"/>
    </row>
    <row r="394">
      <c r="C394" s="18" t="n"/>
      <c r="D394" s="11" t="n"/>
      <c r="G394" s="11" t="n"/>
      <c r="I394" s="11" t="n"/>
      <c r="J394" s="11" t="n"/>
      <c r="K394" s="11" t="n"/>
      <c r="R394" s="172" t="n"/>
      <c r="S394" s="172" t="n"/>
      <c r="T394" s="172" t="n"/>
      <c r="U394" s="172" t="n"/>
      <c r="V394" s="172" t="n"/>
      <c r="W394" s="172" t="n"/>
      <c r="X394" s="172" t="n"/>
      <c r="Y394" s="173" t="n"/>
      <c r="Z394" s="174" t="n"/>
      <c r="AB394" s="172" t="n"/>
      <c r="AC394" s="172" t="n"/>
      <c r="AD394" s="172" t="n"/>
      <c r="AE394" s="172" t="n"/>
      <c r="AG394" s="172" t="n"/>
      <c r="AI394" s="172" t="n"/>
      <c r="AJ394" s="172" t="n"/>
      <c r="AK394" s="172" t="n"/>
      <c r="AL394" s="176" t="n"/>
      <c r="AM394" s="176" t="n"/>
    </row>
    <row r="395">
      <c r="C395" s="18" t="n"/>
      <c r="D395" s="11" t="n"/>
      <c r="G395" s="11" t="n"/>
      <c r="I395" s="11" t="n"/>
      <c r="J395" s="11" t="n"/>
      <c r="K395" s="11" t="n"/>
      <c r="R395" s="172" t="n"/>
      <c r="S395" s="172" t="n"/>
      <c r="T395" s="172" t="n"/>
      <c r="U395" s="172" t="n"/>
      <c r="V395" s="172" t="n"/>
      <c r="W395" s="172" t="n"/>
      <c r="X395" s="172" t="n"/>
      <c r="Y395" s="173" t="n"/>
      <c r="Z395" s="174" t="n"/>
      <c r="AB395" s="172" t="n"/>
      <c r="AC395" s="172" t="n"/>
      <c r="AD395" s="172" t="n"/>
      <c r="AE395" s="172" t="n"/>
      <c r="AG395" s="172" t="n"/>
      <c r="AI395" s="172" t="n"/>
      <c r="AJ395" s="172" t="n"/>
      <c r="AK395" s="172" t="n"/>
      <c r="AL395" s="172" t="n"/>
      <c r="AM395" s="172" t="n"/>
    </row>
    <row r="396">
      <c r="C396" s="18" t="n"/>
      <c r="D396" s="11" t="n"/>
      <c r="G396" s="11" t="n"/>
      <c r="I396" s="11" t="n"/>
      <c r="J396" s="11" t="n"/>
      <c r="K396" s="11" t="n"/>
      <c r="R396" s="172" t="n"/>
      <c r="S396" s="172" t="n"/>
      <c r="T396" s="172" t="n"/>
      <c r="U396" s="172" t="n"/>
      <c r="V396" s="172" t="n"/>
      <c r="W396" s="172" t="n"/>
      <c r="X396" s="172" t="n"/>
      <c r="Y396" s="173" t="n"/>
      <c r="Z396" s="174" t="n"/>
      <c r="AB396" s="172" t="n"/>
      <c r="AC396" s="172" t="n"/>
      <c r="AD396" s="172" t="n"/>
      <c r="AE396" s="172" t="n"/>
      <c r="AG396" s="172" t="n"/>
      <c r="AI396" s="172" t="n"/>
      <c r="AJ396" s="172" t="n"/>
      <c r="AK396" s="172" t="n"/>
      <c r="AL396" s="172" t="n"/>
      <c r="AM396" s="172" t="n"/>
    </row>
    <row r="397">
      <c r="C397" s="18" t="n"/>
      <c r="D397" s="11" t="n"/>
      <c r="G397" s="11" t="n"/>
      <c r="I397" s="11" t="n"/>
      <c r="J397" s="11" t="n"/>
      <c r="K397" s="11" t="n"/>
      <c r="R397" s="172" t="n"/>
      <c r="S397" s="172" t="n"/>
      <c r="T397" s="172" t="n"/>
      <c r="U397" s="172" t="n"/>
      <c r="V397" s="172" t="n"/>
      <c r="W397" s="172" t="n"/>
      <c r="X397" s="172" t="n"/>
      <c r="Y397" s="173" t="n"/>
      <c r="Z397" s="174" t="n"/>
      <c r="AB397" s="172" t="n"/>
      <c r="AC397" s="172" t="n"/>
      <c r="AD397" s="172" t="n"/>
      <c r="AE397" s="172" t="n"/>
      <c r="AG397" s="172" t="n"/>
      <c r="AI397" s="172" t="n"/>
      <c r="AJ397" s="172" t="n"/>
      <c r="AK397" s="172" t="n"/>
      <c r="AL397" s="172" t="n"/>
      <c r="AM397" s="172" t="n"/>
    </row>
    <row r="398">
      <c r="C398" s="18" t="n"/>
      <c r="D398" s="11" t="n"/>
      <c r="G398" s="11" t="n"/>
      <c r="I398" s="11" t="n"/>
      <c r="J398" s="11" t="n"/>
      <c r="K398" s="11" t="n"/>
      <c r="R398" s="172" t="n"/>
      <c r="S398" s="172" t="n"/>
      <c r="T398" s="172" t="n"/>
      <c r="U398" s="172" t="n"/>
      <c r="V398" s="172" t="n"/>
      <c r="W398" s="172" t="n"/>
      <c r="X398" s="172" t="n"/>
      <c r="Y398" s="173" t="n"/>
      <c r="Z398" s="174" t="n"/>
      <c r="AB398" s="172" t="n"/>
      <c r="AC398" s="172" t="n"/>
      <c r="AD398" s="172" t="n"/>
      <c r="AE398" s="172" t="n"/>
      <c r="AG398" s="172" t="n"/>
      <c r="AI398" s="172" t="n"/>
      <c r="AJ398" s="172" t="n"/>
      <c r="AK398" s="172" t="n"/>
      <c r="AL398" s="172" t="n"/>
      <c r="AM398" s="172" t="n"/>
    </row>
    <row r="399">
      <c r="C399" s="18" t="n"/>
      <c r="D399" s="11" t="n"/>
      <c r="G399" s="11" t="n"/>
      <c r="I399" s="11" t="n"/>
      <c r="J399" s="11" t="n"/>
      <c r="K399" s="11" t="n"/>
      <c r="R399" s="172" t="n"/>
      <c r="S399" s="172" t="n"/>
      <c r="T399" s="172" t="n"/>
      <c r="U399" s="172" t="n"/>
      <c r="V399" s="172" t="n"/>
      <c r="W399" s="172" t="n"/>
      <c r="X399" s="172" t="n"/>
      <c r="Y399" s="173" t="n"/>
      <c r="Z399" s="174" t="n"/>
      <c r="AB399" s="172" t="n"/>
      <c r="AC399" s="172" t="n"/>
      <c r="AD399" s="172" t="n"/>
      <c r="AE399" s="172" t="n"/>
      <c r="AG399" s="172" t="n"/>
      <c r="AI399" s="172" t="n"/>
      <c r="AJ399" s="172" t="n"/>
      <c r="AK399" s="172" t="n"/>
      <c r="AL399" s="172" t="n"/>
      <c r="AM399" s="172" t="n"/>
    </row>
    <row r="400">
      <c r="C400" s="18" t="n"/>
      <c r="D400" s="11" t="n"/>
      <c r="G400" s="11" t="n"/>
      <c r="I400" s="11" t="n"/>
      <c r="J400" s="11" t="n"/>
      <c r="K400" s="11" t="n"/>
      <c r="R400" s="172" t="n"/>
      <c r="S400" s="172" t="n"/>
      <c r="T400" s="172" t="n"/>
      <c r="U400" s="172" t="n"/>
      <c r="V400" s="172" t="n"/>
      <c r="W400" s="172" t="n"/>
      <c r="X400" s="172" t="n"/>
      <c r="Y400" s="173" t="n"/>
      <c r="Z400" s="174" t="n"/>
      <c r="AB400" s="172" t="n"/>
      <c r="AC400" s="172" t="n"/>
      <c r="AD400" s="172" t="n"/>
      <c r="AE400" s="172" t="n"/>
      <c r="AG400" s="172" t="n"/>
      <c r="AI400" s="172" t="n"/>
      <c r="AJ400" s="172" t="n"/>
      <c r="AK400" s="172" t="n"/>
      <c r="AL400" s="172" t="n"/>
      <c r="AM400" s="172" t="n"/>
    </row>
    <row r="401">
      <c r="C401" s="18" t="n"/>
      <c r="D401" s="11" t="n"/>
      <c r="G401" s="11" t="n"/>
      <c r="I401" s="11" t="n"/>
      <c r="J401" s="11" t="n"/>
      <c r="K401" s="11" t="n"/>
      <c r="R401" s="172" t="n"/>
      <c r="S401" s="172" t="n"/>
      <c r="T401" s="172" t="n"/>
      <c r="U401" s="172" t="n"/>
      <c r="V401" s="172" t="n"/>
      <c r="W401" s="172" t="n"/>
      <c r="X401" s="172" t="n"/>
      <c r="Y401" s="173" t="n"/>
      <c r="Z401" s="174" t="n"/>
      <c r="AB401" s="172" t="n"/>
      <c r="AC401" s="172" t="n"/>
      <c r="AD401" s="172" t="n"/>
      <c r="AE401" s="172" t="n"/>
      <c r="AG401" s="172" t="n"/>
      <c r="AI401" s="172" t="n"/>
      <c r="AJ401" s="172" t="n"/>
      <c r="AK401" s="172" t="n"/>
      <c r="AL401" s="172" t="n"/>
      <c r="AM401" s="172" t="n"/>
    </row>
    <row r="402">
      <c r="C402" s="18" t="n"/>
      <c r="D402" s="11" t="n"/>
      <c r="G402" s="11" t="n"/>
      <c r="I402" s="11" t="n"/>
      <c r="J402" s="11" t="n"/>
      <c r="K402" s="11" t="n"/>
      <c r="R402" s="172" t="n"/>
      <c r="S402" s="172" t="n"/>
      <c r="T402" s="172" t="n"/>
      <c r="U402" s="172" t="n"/>
      <c r="V402" s="172" t="n"/>
      <c r="W402" s="172" t="n"/>
      <c r="X402" s="172" t="n"/>
      <c r="Y402" s="173" t="n"/>
      <c r="Z402" s="174" t="n"/>
      <c r="AB402" s="172" t="n"/>
      <c r="AC402" s="172" t="n"/>
      <c r="AD402" s="172" t="n"/>
      <c r="AE402" s="172" t="n"/>
      <c r="AG402" s="172" t="n"/>
      <c r="AI402" s="172" t="n"/>
      <c r="AJ402" s="172" t="n"/>
      <c r="AK402" s="172" t="n"/>
      <c r="AL402" s="172" t="n"/>
      <c r="AM402" s="172" t="n"/>
    </row>
    <row r="403">
      <c r="C403" s="18" t="n"/>
      <c r="D403" s="11" t="n"/>
      <c r="G403" s="11" t="n"/>
      <c r="I403" s="11" t="n"/>
      <c r="J403" s="11" t="n"/>
      <c r="K403" s="11" t="n"/>
      <c r="R403" s="172" t="n"/>
      <c r="S403" s="172" t="n"/>
      <c r="T403" s="172" t="n"/>
      <c r="U403" s="172" t="n"/>
      <c r="V403" s="172" t="n"/>
      <c r="W403" s="172" t="n"/>
      <c r="X403" s="172" t="n"/>
      <c r="Y403" s="173" t="n"/>
      <c r="Z403" s="174" t="n"/>
      <c r="AB403" s="172" t="n"/>
      <c r="AC403" s="172" t="n"/>
      <c r="AD403" s="172" t="n"/>
      <c r="AE403" s="172" t="n"/>
      <c r="AG403" s="172" t="n"/>
      <c r="AI403" s="172" t="n"/>
      <c r="AJ403" s="172" t="n"/>
      <c r="AK403" s="172" t="n"/>
      <c r="AL403" s="172" t="n"/>
      <c r="AM403" s="172" t="n"/>
    </row>
    <row r="404">
      <c r="C404" s="18" t="n"/>
      <c r="D404" s="11" t="n"/>
      <c r="G404" s="11" t="n"/>
      <c r="I404" s="11" t="n"/>
      <c r="J404" s="11" t="n"/>
      <c r="K404" s="11" t="n"/>
      <c r="R404" s="172" t="n"/>
      <c r="S404" s="172" t="n"/>
      <c r="T404" s="172" t="n"/>
      <c r="U404" s="172" t="n"/>
      <c r="V404" s="172" t="n"/>
      <c r="W404" s="172" t="n"/>
      <c r="X404" s="172" t="n"/>
      <c r="Y404" s="173" t="n"/>
      <c r="Z404" s="174" t="n"/>
      <c r="AB404" s="172" t="n"/>
      <c r="AC404" s="172" t="n"/>
      <c r="AD404" s="172" t="n"/>
      <c r="AE404" s="172" t="n"/>
      <c r="AG404" s="172" t="n"/>
      <c r="AI404" s="172" t="n"/>
      <c r="AJ404" s="172" t="n"/>
      <c r="AK404" s="172" t="n"/>
      <c r="AL404" s="172" t="n"/>
      <c r="AM404" s="172" t="n"/>
    </row>
    <row r="405">
      <c r="C405" s="18" t="n"/>
      <c r="D405" s="11" t="n"/>
      <c r="G405" s="11" t="n"/>
      <c r="I405" s="11" t="n"/>
      <c r="J405" s="11" t="n"/>
      <c r="K405" s="11" t="n"/>
      <c r="R405" s="172" t="n"/>
      <c r="S405" s="172" t="n"/>
      <c r="T405" s="172" t="n"/>
      <c r="U405" s="172" t="n"/>
      <c r="V405" s="172" t="n"/>
      <c r="W405" s="172" t="n"/>
      <c r="X405" s="172" t="n"/>
      <c r="Y405" s="173" t="n"/>
      <c r="Z405" s="174" t="n"/>
      <c r="AB405" s="172" t="n"/>
      <c r="AC405" s="172" t="n"/>
      <c r="AD405" s="172" t="n"/>
      <c r="AE405" s="172" t="n"/>
      <c r="AG405" s="172" t="n"/>
      <c r="AI405" s="172" t="n"/>
      <c r="AJ405" s="172" t="n"/>
      <c r="AK405" s="172" t="n"/>
      <c r="AL405" s="172" t="n"/>
      <c r="AM405" s="172" t="n"/>
    </row>
    <row r="406">
      <c r="C406" s="18" t="n"/>
      <c r="D406" s="11" t="n"/>
      <c r="G406" s="11" t="n"/>
      <c r="I406" s="11" t="n"/>
      <c r="J406" s="11" t="n"/>
      <c r="K406" s="11" t="n"/>
      <c r="R406" s="172" t="n"/>
      <c r="S406" s="172" t="n"/>
      <c r="T406" s="172" t="n"/>
      <c r="U406" s="172" t="n"/>
      <c r="V406" s="172" t="n"/>
      <c r="W406" s="172" t="n"/>
      <c r="X406" s="172" t="n"/>
      <c r="Y406" s="173" t="n"/>
      <c r="Z406" s="174" t="n"/>
      <c r="AB406" s="172" t="n"/>
      <c r="AC406" s="172" t="n"/>
      <c r="AD406" s="172" t="n"/>
      <c r="AE406" s="172" t="n"/>
      <c r="AG406" s="172" t="n"/>
      <c r="AI406" s="172" t="n"/>
      <c r="AJ406" s="172" t="n"/>
      <c r="AK406" s="172" t="n"/>
      <c r="AL406" s="172" t="n"/>
      <c r="AM406" s="172" t="n"/>
    </row>
    <row r="407">
      <c r="C407" s="18" t="n"/>
      <c r="D407" s="11" t="n"/>
      <c r="G407" s="11" t="n"/>
      <c r="I407" s="11" t="n"/>
      <c r="J407" s="11" t="n"/>
      <c r="K407" s="11" t="n"/>
      <c r="R407" s="172" t="n"/>
      <c r="S407" s="172" t="n"/>
      <c r="T407" s="172" t="n"/>
      <c r="U407" s="172" t="n"/>
      <c r="V407" s="172" t="n"/>
      <c r="W407" s="172" t="n"/>
      <c r="X407" s="172" t="n"/>
      <c r="Y407" s="173" t="n"/>
      <c r="Z407" s="174" t="n"/>
      <c r="AB407" s="172" t="n"/>
      <c r="AC407" s="172" t="n"/>
      <c r="AD407" s="172" t="n"/>
      <c r="AE407" s="172" t="n"/>
      <c r="AG407" s="172" t="n"/>
      <c r="AI407" s="172" t="n"/>
      <c r="AJ407" s="172" t="n"/>
      <c r="AK407" s="172" t="n"/>
      <c r="AL407" s="172" t="n"/>
      <c r="AM407" s="172" t="n"/>
    </row>
    <row r="408">
      <c r="C408" s="18" t="n"/>
      <c r="D408" s="11" t="n"/>
      <c r="G408" s="11" t="n"/>
      <c r="I408" s="11" t="n"/>
      <c r="J408" s="11" t="n"/>
      <c r="K408" s="11" t="n"/>
      <c r="R408" s="172" t="n"/>
      <c r="S408" s="172" t="n"/>
      <c r="T408" s="172" t="n"/>
      <c r="U408" s="172" t="n"/>
      <c r="V408" s="172" t="n"/>
      <c r="W408" s="172" t="n"/>
      <c r="X408" s="172" t="n"/>
      <c r="Y408" s="173" t="n"/>
      <c r="Z408" s="174" t="n"/>
      <c r="AB408" s="172" t="n"/>
      <c r="AC408" s="172" t="n"/>
      <c r="AD408" s="172" t="n"/>
      <c r="AE408" s="172" t="n"/>
      <c r="AG408" s="172" t="n"/>
      <c r="AI408" s="172" t="n"/>
      <c r="AJ408" s="172" t="n"/>
      <c r="AK408" s="172" t="n"/>
      <c r="AL408" s="172" t="n"/>
      <c r="AM408" s="172" t="n"/>
    </row>
    <row r="409">
      <c r="C409" s="18" t="n"/>
      <c r="D409" s="11" t="n"/>
      <c r="G409" s="11" t="n"/>
      <c r="I409" s="11" t="n"/>
      <c r="J409" s="11" t="n"/>
      <c r="K409" s="11" t="n"/>
      <c r="R409" s="172" t="n"/>
      <c r="S409" s="172" t="n"/>
      <c r="T409" s="172" t="n"/>
      <c r="U409" s="172" t="n"/>
      <c r="V409" s="172" t="n"/>
      <c r="W409" s="172" t="n"/>
      <c r="X409" s="172" t="n"/>
      <c r="Y409" s="173" t="n"/>
      <c r="Z409" s="174" t="n"/>
      <c r="AB409" s="172" t="n"/>
      <c r="AC409" s="172" t="n"/>
      <c r="AD409" s="172" t="n"/>
      <c r="AE409" s="172" t="n"/>
      <c r="AG409" s="172" t="n"/>
      <c r="AI409" s="172" t="n"/>
      <c r="AJ409" s="172" t="n"/>
      <c r="AK409" s="172" t="n"/>
      <c r="AL409" s="172" t="n"/>
      <c r="AM409" s="172" t="n"/>
    </row>
    <row r="410">
      <c r="C410" s="18" t="n"/>
      <c r="D410" s="11" t="n"/>
      <c r="G410" s="11" t="n"/>
      <c r="I410" s="11" t="n"/>
      <c r="J410" s="11" t="n"/>
      <c r="K410" s="11" t="n"/>
      <c r="R410" s="172" t="n"/>
      <c r="S410" s="172" t="n"/>
      <c r="T410" s="172" t="n"/>
      <c r="U410" s="172" t="n"/>
      <c r="V410" s="172" t="n"/>
      <c r="W410" s="172" t="n"/>
      <c r="X410" s="172" t="n"/>
      <c r="Y410" s="173" t="n"/>
      <c r="Z410" s="174" t="n"/>
      <c r="AB410" s="172" t="n"/>
      <c r="AC410" s="172" t="n"/>
      <c r="AD410" s="172" t="n"/>
      <c r="AE410" s="172" t="n"/>
      <c r="AG410" s="172" t="n"/>
      <c r="AI410" s="172" t="n"/>
      <c r="AJ410" s="172" t="n"/>
      <c r="AK410" s="172" t="n"/>
      <c r="AL410" s="172" t="n"/>
      <c r="AM410" s="172" t="n"/>
    </row>
    <row r="411">
      <c r="C411" s="18" t="n"/>
      <c r="D411" s="11" t="n"/>
      <c r="G411" s="11" t="n"/>
      <c r="I411" s="11" t="n"/>
      <c r="J411" s="11" t="n"/>
      <c r="K411" s="11" t="n"/>
      <c r="R411" s="172" t="n"/>
      <c r="S411" s="172" t="n"/>
      <c r="T411" s="172" t="n"/>
      <c r="U411" s="172" t="n"/>
      <c r="V411" s="172" t="n"/>
      <c r="W411" s="172" t="n"/>
      <c r="X411" s="172" t="n"/>
      <c r="Y411" s="173" t="n"/>
      <c r="Z411" s="174" t="n"/>
      <c r="AB411" s="172" t="n"/>
      <c r="AC411" s="172" t="n"/>
      <c r="AD411" s="172" t="n"/>
      <c r="AE411" s="172" t="n"/>
      <c r="AG411" s="172" t="n"/>
      <c r="AI411" s="172" t="n"/>
      <c r="AJ411" s="172" t="n"/>
      <c r="AK411" s="172" t="n"/>
      <c r="AL411" s="172" t="n"/>
      <c r="AM411" s="172" t="n"/>
    </row>
    <row r="412">
      <c r="C412" s="18" t="n"/>
      <c r="D412" s="11" t="n"/>
      <c r="G412" s="11" t="n"/>
      <c r="I412" s="11" t="n"/>
      <c r="J412" s="11" t="n"/>
      <c r="K412" s="11" t="n"/>
      <c r="R412" s="172" t="n"/>
      <c r="S412" s="172" t="n"/>
      <c r="T412" s="172" t="n"/>
      <c r="U412" s="172" t="n"/>
      <c r="V412" s="172" t="n"/>
      <c r="W412" s="172" t="n"/>
      <c r="X412" s="172" t="n"/>
      <c r="Y412" s="173" t="n"/>
      <c r="Z412" s="174" t="n"/>
      <c r="AB412" s="172" t="n"/>
      <c r="AC412" s="172" t="n"/>
      <c r="AD412" s="172" t="n"/>
      <c r="AE412" s="172" t="n"/>
      <c r="AG412" s="172" t="n"/>
      <c r="AI412" s="172" t="n"/>
      <c r="AJ412" s="172" t="n"/>
      <c r="AK412" s="172" t="n"/>
      <c r="AL412" s="172" t="n"/>
      <c r="AM412" s="172" t="n"/>
    </row>
    <row r="413">
      <c r="C413" s="18" t="n"/>
      <c r="D413" s="11" t="n"/>
      <c r="G413" s="11" t="n"/>
      <c r="I413" s="11" t="n"/>
      <c r="J413" s="11" t="n"/>
      <c r="K413" s="11" t="n"/>
      <c r="R413" s="172" t="n"/>
      <c r="S413" s="172" t="n"/>
      <c r="T413" s="172" t="n"/>
      <c r="U413" s="172" t="n"/>
      <c r="V413" s="172" t="n"/>
      <c r="W413" s="172" t="n"/>
      <c r="X413" s="172" t="n"/>
      <c r="Y413" s="173" t="n"/>
      <c r="Z413" s="174" t="n"/>
      <c r="AB413" s="172" t="n"/>
      <c r="AC413" s="172" t="n"/>
      <c r="AD413" s="172" t="n"/>
      <c r="AE413" s="172" t="n"/>
      <c r="AG413" s="172" t="n"/>
      <c r="AI413" s="172" t="n"/>
      <c r="AJ413" s="172" t="n"/>
      <c r="AK413" s="172" t="n"/>
      <c r="AL413" s="172" t="n"/>
      <c r="AM413" s="172" t="n"/>
      <c r="AO413" s="175" t="n"/>
    </row>
    <row r="414">
      <c r="C414" s="18" t="n"/>
      <c r="D414" s="11" t="n"/>
      <c r="G414" s="11" t="n"/>
      <c r="I414" s="11" t="n"/>
      <c r="J414" s="11" t="n"/>
      <c r="K414" s="11" t="n"/>
      <c r="R414" s="172" t="n"/>
      <c r="S414" s="172" t="n"/>
      <c r="T414" s="172" t="n"/>
      <c r="U414" s="172" t="n"/>
      <c r="V414" s="172" t="n"/>
      <c r="W414" s="172" t="n"/>
      <c r="X414" s="172" t="n"/>
      <c r="Y414" s="173" t="n"/>
      <c r="Z414" s="174" t="n"/>
      <c r="AB414" s="172" t="n"/>
      <c r="AC414" s="172" t="n"/>
      <c r="AD414" s="172" t="n"/>
      <c r="AE414" s="172" t="n"/>
      <c r="AG414" s="172" t="n"/>
      <c r="AI414" s="172" t="n"/>
      <c r="AJ414" s="172" t="n"/>
      <c r="AK414" s="172" t="n"/>
      <c r="AL414" s="172" t="n"/>
      <c r="AM414" s="172" t="n"/>
    </row>
    <row r="415">
      <c r="C415" s="18" t="n"/>
      <c r="D415" s="11" t="n"/>
      <c r="G415" s="11" t="n"/>
      <c r="I415" s="11" t="n"/>
      <c r="J415" s="11" t="n"/>
      <c r="K415" s="11" t="n"/>
      <c r="R415" s="172" t="n"/>
      <c r="S415" s="172" t="n"/>
      <c r="T415" s="172" t="n"/>
      <c r="U415" s="172" t="n"/>
      <c r="V415" s="172" t="n"/>
      <c r="W415" s="172" t="n"/>
      <c r="X415" s="172" t="n"/>
      <c r="Y415" s="173" t="n"/>
      <c r="Z415" s="174" t="n"/>
      <c r="AB415" s="172" t="n"/>
      <c r="AC415" s="172" t="n"/>
      <c r="AD415" s="172" t="n"/>
      <c r="AE415" s="172" t="n"/>
      <c r="AG415" s="172" t="n"/>
      <c r="AI415" s="172" t="n"/>
      <c r="AJ415" s="172" t="n"/>
      <c r="AK415" s="172" t="n"/>
      <c r="AL415" s="172" t="n"/>
      <c r="AM415" s="172" t="n"/>
    </row>
    <row r="416">
      <c r="C416" s="18" t="n"/>
      <c r="D416" s="11" t="n"/>
      <c r="G416" s="11" t="n"/>
      <c r="I416" s="11" t="n"/>
      <c r="J416" s="11" t="n"/>
      <c r="K416" s="11" t="n"/>
      <c r="R416" s="172" t="n"/>
      <c r="S416" s="172" t="n"/>
      <c r="T416" s="172" t="n"/>
      <c r="U416" s="172" t="n"/>
      <c r="V416" s="172" t="n"/>
      <c r="W416" s="172" t="n"/>
      <c r="X416" s="172" t="n"/>
      <c r="Y416" s="173" t="n"/>
      <c r="Z416" s="174" t="n"/>
      <c r="AB416" s="172" t="n"/>
      <c r="AC416" s="172" t="n"/>
      <c r="AD416" s="172" t="n"/>
      <c r="AE416" s="172" t="n"/>
      <c r="AG416" s="172" t="n"/>
      <c r="AI416" s="172" t="n"/>
      <c r="AJ416" s="172" t="n"/>
      <c r="AK416" s="172" t="n"/>
      <c r="AL416" s="172" t="n"/>
      <c r="AM416" s="172" t="n"/>
    </row>
    <row r="417">
      <c r="C417" s="18" t="n"/>
      <c r="D417" s="11" t="n"/>
      <c r="G417" s="11" t="n"/>
      <c r="I417" s="11" t="n"/>
      <c r="J417" s="11" t="n"/>
      <c r="K417" s="11" t="n"/>
      <c r="R417" s="172" t="n"/>
      <c r="S417" s="172" t="n"/>
      <c r="T417" s="172" t="n"/>
      <c r="U417" s="172" t="n"/>
      <c r="V417" s="172" t="n"/>
      <c r="W417" s="172" t="n"/>
      <c r="X417" s="172" t="n"/>
      <c r="Y417" s="173" t="n"/>
      <c r="Z417" s="174" t="n"/>
      <c r="AB417" s="172" t="n"/>
      <c r="AC417" s="172" t="n"/>
      <c r="AD417" s="172" t="n"/>
      <c r="AE417" s="172" t="n"/>
      <c r="AG417" s="172" t="n"/>
      <c r="AI417" s="172" t="n"/>
      <c r="AJ417" s="172" t="n"/>
      <c r="AK417" s="172" t="n"/>
      <c r="AL417" s="172" t="n"/>
      <c r="AM417" s="172" t="n"/>
    </row>
    <row r="418">
      <c r="C418" s="18" t="n"/>
      <c r="D418" s="11" t="n"/>
      <c r="G418" s="11" t="n"/>
      <c r="I418" s="11" t="n"/>
      <c r="J418" s="11" t="n"/>
      <c r="K418" s="11" t="n"/>
      <c r="R418" s="172" t="n"/>
      <c r="S418" s="172" t="n"/>
      <c r="T418" s="172" t="n"/>
      <c r="U418" s="172" t="n"/>
      <c r="V418" s="172" t="n"/>
      <c r="W418" s="172" t="n"/>
      <c r="X418" s="172" t="n"/>
      <c r="Y418" s="173" t="n"/>
      <c r="Z418" s="174" t="n"/>
      <c r="AB418" s="172" t="n"/>
      <c r="AC418" s="172" t="n"/>
      <c r="AD418" s="172" t="n"/>
      <c r="AE418" s="172" t="n"/>
      <c r="AG418" s="172" t="n"/>
      <c r="AI418" s="172" t="n"/>
      <c r="AJ418" s="172" t="n"/>
      <c r="AK418" s="172" t="n"/>
      <c r="AL418" s="172" t="n"/>
      <c r="AM418" s="172" t="n"/>
    </row>
    <row r="419">
      <c r="C419" s="18" t="n"/>
      <c r="D419" s="11" t="n"/>
      <c r="G419" s="11" t="n"/>
      <c r="I419" s="11" t="n"/>
      <c r="J419" s="11" t="n"/>
      <c r="K419" s="11" t="n"/>
      <c r="R419" s="172" t="n"/>
      <c r="S419" s="172" t="n"/>
      <c r="T419" s="172" t="n"/>
      <c r="U419" s="172" t="n"/>
      <c r="V419" s="172" t="n"/>
      <c r="W419" s="172" t="n"/>
      <c r="X419" s="172" t="n"/>
      <c r="Y419" s="173" t="n"/>
      <c r="Z419" s="174" t="n"/>
      <c r="AB419" s="172" t="n"/>
      <c r="AC419" s="172" t="n"/>
      <c r="AD419" s="172" t="n"/>
      <c r="AE419" s="172" t="n"/>
      <c r="AG419" s="172" t="n"/>
      <c r="AI419" s="172" t="n"/>
      <c r="AJ419" s="172" t="n"/>
      <c r="AK419" s="172" t="n"/>
      <c r="AL419" s="172" t="n"/>
      <c r="AM419" s="172" t="n"/>
    </row>
    <row r="420">
      <c r="C420" s="18" t="n"/>
      <c r="D420" s="11" t="n"/>
      <c r="G420" s="11" t="n"/>
      <c r="I420" s="11" t="n"/>
      <c r="J420" s="11" t="n"/>
      <c r="K420" s="11" t="n"/>
      <c r="R420" s="172" t="n"/>
      <c r="S420" s="172" t="n"/>
      <c r="T420" s="172" t="n"/>
      <c r="U420" s="172" t="n"/>
      <c r="V420" s="172" t="n"/>
      <c r="W420" s="172" t="n"/>
      <c r="X420" s="172" t="n"/>
      <c r="Y420" s="173" t="n"/>
      <c r="Z420" s="174" t="n"/>
      <c r="AB420" s="172" t="n"/>
      <c r="AC420" s="172" t="n"/>
      <c r="AD420" s="172" t="n"/>
      <c r="AE420" s="172" t="n"/>
      <c r="AG420" s="172" t="n"/>
      <c r="AI420" s="172" t="n"/>
      <c r="AJ420" s="172" t="n"/>
      <c r="AK420" s="172" t="n"/>
      <c r="AL420" s="172" t="n"/>
      <c r="AM420" s="172" t="n"/>
    </row>
    <row r="421">
      <c r="C421" s="18" t="n"/>
      <c r="D421" s="11" t="n"/>
      <c r="G421" s="11" t="n"/>
      <c r="I421" s="11" t="n"/>
      <c r="J421" s="11" t="n"/>
      <c r="K421" s="11" t="n"/>
      <c r="R421" s="172" t="n"/>
      <c r="S421" s="172" t="n"/>
      <c r="T421" s="172" t="n"/>
      <c r="U421" s="172" t="n"/>
      <c r="V421" s="172" t="n"/>
      <c r="W421" s="172" t="n"/>
      <c r="X421" s="172" t="n"/>
      <c r="Y421" s="173" t="n"/>
      <c r="Z421" s="174" t="n"/>
      <c r="AB421" s="172" t="n"/>
      <c r="AC421" s="172" t="n"/>
      <c r="AD421" s="172" t="n"/>
      <c r="AE421" s="172" t="n"/>
      <c r="AG421" s="172" t="n"/>
      <c r="AI421" s="172" t="n"/>
      <c r="AJ421" s="172" t="n"/>
      <c r="AK421" s="172" t="n"/>
      <c r="AL421" s="172" t="n"/>
      <c r="AM421" s="172" t="n"/>
    </row>
    <row r="422">
      <c r="C422" s="18" t="n"/>
      <c r="D422" s="11" t="n"/>
      <c r="G422" s="11" t="n"/>
      <c r="I422" s="11" t="n"/>
      <c r="J422" s="11" t="n"/>
      <c r="K422" s="11" t="n"/>
      <c r="R422" s="172" t="n"/>
      <c r="S422" s="172" t="n"/>
      <c r="T422" s="172" t="n"/>
      <c r="U422" s="172" t="n"/>
      <c r="V422" s="172" t="n"/>
      <c r="W422" s="172" t="n"/>
      <c r="X422" s="172" t="n"/>
      <c r="Y422" s="173" t="n"/>
      <c r="Z422" s="174" t="n"/>
      <c r="AB422" s="172" t="n"/>
      <c r="AC422" s="172" t="n"/>
      <c r="AD422" s="172" t="n"/>
      <c r="AE422" s="172" t="n"/>
      <c r="AG422" s="172" t="n"/>
      <c r="AI422" s="172" t="n"/>
      <c r="AJ422" s="172" t="n"/>
      <c r="AK422" s="172" t="n"/>
      <c r="AL422" s="172" t="n"/>
      <c r="AM422" s="172" t="n"/>
    </row>
    <row r="423">
      <c r="C423" s="18" t="n"/>
      <c r="D423" s="11" t="n"/>
      <c r="G423" s="11" t="n"/>
      <c r="I423" s="11" t="n"/>
      <c r="J423" s="11" t="n"/>
      <c r="K423" s="11" t="n"/>
      <c r="R423" s="172" t="n"/>
      <c r="S423" s="172" t="n"/>
      <c r="T423" s="172" t="n"/>
      <c r="U423" s="172" t="n"/>
      <c r="V423" s="172" t="n"/>
      <c r="W423" s="172" t="n"/>
      <c r="X423" s="172" t="n"/>
      <c r="Y423" s="173" t="n"/>
      <c r="Z423" s="174" t="n"/>
      <c r="AB423" s="172" t="n"/>
      <c r="AC423" s="172" t="n"/>
      <c r="AD423" s="172" t="n"/>
      <c r="AE423" s="172" t="n"/>
      <c r="AG423" s="172" t="n"/>
      <c r="AI423" s="172" t="n"/>
      <c r="AJ423" s="172" t="n"/>
      <c r="AK423" s="172" t="n"/>
      <c r="AL423" s="172" t="n"/>
      <c r="AM423" s="172" t="n"/>
    </row>
    <row r="424">
      <c r="C424" s="18" t="n"/>
      <c r="D424" s="11" t="n"/>
      <c r="G424" s="11" t="n"/>
      <c r="I424" s="11" t="n"/>
      <c r="J424" s="11" t="n"/>
      <c r="K424" s="11" t="n"/>
      <c r="R424" s="172" t="n"/>
      <c r="S424" s="172" t="n"/>
      <c r="T424" s="172" t="n"/>
      <c r="U424" s="172" t="n"/>
      <c r="V424" s="172" t="n"/>
      <c r="W424" s="172" t="n"/>
      <c r="X424" s="172" t="n"/>
      <c r="Y424" s="173" t="n"/>
      <c r="Z424" s="174" t="n"/>
      <c r="AB424" s="172" t="n"/>
      <c r="AC424" s="172" t="n"/>
      <c r="AD424" s="172" t="n"/>
      <c r="AE424" s="172" t="n"/>
      <c r="AG424" s="172" t="n"/>
      <c r="AI424" s="172" t="n"/>
      <c r="AJ424" s="172" t="n"/>
      <c r="AK424" s="172" t="n"/>
      <c r="AL424" s="172" t="n"/>
      <c r="AM424" s="172" t="n"/>
    </row>
    <row r="425">
      <c r="C425" s="18" t="n"/>
      <c r="D425" s="11" t="n"/>
      <c r="G425" s="11" t="n"/>
      <c r="I425" s="11" t="n"/>
      <c r="J425" s="11" t="n"/>
      <c r="K425" s="11" t="n"/>
      <c r="R425" s="172" t="n"/>
      <c r="S425" s="172" t="n"/>
      <c r="T425" s="172" t="n"/>
      <c r="U425" s="172" t="n"/>
      <c r="V425" s="172" t="n"/>
      <c r="W425" s="172" t="n"/>
      <c r="X425" s="172" t="n"/>
      <c r="Y425" s="173" t="n"/>
      <c r="Z425" s="174" t="n"/>
      <c r="AB425" s="172" t="n"/>
      <c r="AC425" s="172" t="n"/>
      <c r="AD425" s="172" t="n"/>
      <c r="AE425" s="172" t="n"/>
      <c r="AG425" s="172" t="n"/>
      <c r="AI425" s="172" t="n"/>
      <c r="AJ425" s="172" t="n"/>
      <c r="AK425" s="172" t="n"/>
      <c r="AL425" s="172" t="n"/>
      <c r="AM425" s="172" t="n"/>
    </row>
    <row r="426">
      <c r="C426" s="18" t="n"/>
      <c r="D426" s="11" t="n"/>
      <c r="G426" s="11" t="n"/>
      <c r="I426" s="11" t="n"/>
      <c r="J426" s="11" t="n"/>
      <c r="K426" s="11" t="n"/>
      <c r="R426" s="172" t="n"/>
      <c r="S426" s="172" t="n"/>
      <c r="T426" s="172" t="n"/>
      <c r="U426" s="172" t="n"/>
      <c r="V426" s="172" t="n"/>
      <c r="W426" s="172" t="n"/>
      <c r="X426" s="172" t="n"/>
      <c r="Y426" s="173" t="n"/>
      <c r="Z426" s="174" t="n"/>
      <c r="AB426" s="172" t="n"/>
      <c r="AC426" s="172" t="n"/>
      <c r="AD426" s="172" t="n"/>
      <c r="AE426" s="172" t="n"/>
      <c r="AG426" s="172" t="n"/>
      <c r="AI426" s="172" t="n"/>
      <c r="AJ426" s="172" t="n"/>
      <c r="AK426" s="172" t="n"/>
      <c r="AL426" s="172" t="n"/>
      <c r="AM426" s="172" t="n"/>
    </row>
    <row r="427">
      <c r="C427" s="18" t="n"/>
      <c r="D427" s="11" t="n"/>
      <c r="G427" s="11" t="n"/>
      <c r="I427" s="11" t="n"/>
      <c r="J427" s="11" t="n"/>
      <c r="K427" s="11" t="n"/>
      <c r="R427" s="172" t="n"/>
      <c r="S427" s="172" t="n"/>
      <c r="T427" s="172" t="n"/>
      <c r="U427" s="172" t="n"/>
      <c r="V427" s="172" t="n"/>
      <c r="W427" s="172" t="n"/>
      <c r="X427" s="172" t="n"/>
      <c r="Y427" s="173" t="n"/>
      <c r="Z427" s="174" t="n"/>
      <c r="AB427" s="172" t="n"/>
      <c r="AC427" s="172" t="n"/>
      <c r="AD427" s="172" t="n"/>
      <c r="AE427" s="172" t="n"/>
      <c r="AG427" s="172" t="n"/>
      <c r="AI427" s="172" t="n"/>
      <c r="AJ427" s="172" t="n"/>
      <c r="AK427" s="172" t="n"/>
      <c r="AL427" s="172" t="n"/>
      <c r="AM427" s="172" t="n"/>
    </row>
    <row r="428">
      <c r="C428" s="18" t="n"/>
      <c r="D428" s="11" t="n"/>
      <c r="G428" s="11" t="n"/>
      <c r="I428" s="11" t="n"/>
      <c r="J428" s="11" t="n"/>
      <c r="K428" s="11" t="n"/>
      <c r="R428" s="172" t="n"/>
      <c r="S428" s="172" t="n"/>
      <c r="T428" s="172" t="n"/>
      <c r="U428" s="172" t="n"/>
      <c r="V428" s="172" t="n"/>
      <c r="W428" s="172" t="n"/>
      <c r="X428" s="172" t="n"/>
      <c r="Y428" s="173" t="n"/>
      <c r="Z428" s="174" t="n"/>
      <c r="AB428" s="172" t="n"/>
      <c r="AC428" s="172" t="n"/>
      <c r="AD428" s="172" t="n"/>
      <c r="AE428" s="172" t="n"/>
      <c r="AG428" s="172" t="n"/>
      <c r="AI428" s="172" t="n"/>
      <c r="AJ428" s="172" t="n"/>
      <c r="AK428" s="172" t="n"/>
      <c r="AL428" s="172" t="n"/>
      <c r="AM428" s="172" t="n"/>
    </row>
    <row r="429">
      <c r="C429" s="18" t="n"/>
      <c r="D429" s="11" t="n"/>
      <c r="G429" s="11" t="n"/>
      <c r="I429" s="11" t="n"/>
      <c r="J429" s="11" t="n"/>
      <c r="K429" s="11" t="n"/>
      <c r="R429" s="172" t="n"/>
      <c r="S429" s="172" t="n"/>
      <c r="T429" s="172" t="n"/>
      <c r="U429" s="172" t="n"/>
      <c r="V429" s="172" t="n"/>
      <c r="W429" s="172" t="n"/>
      <c r="X429" s="172" t="n"/>
      <c r="Y429" s="173" t="n"/>
      <c r="Z429" s="174" t="n"/>
      <c r="AB429" s="172" t="n"/>
      <c r="AC429" s="172" t="n"/>
      <c r="AD429" s="172" t="n"/>
      <c r="AE429" s="172" t="n"/>
      <c r="AG429" s="172" t="n"/>
      <c r="AI429" s="172" t="n"/>
      <c r="AJ429" s="172" t="n"/>
      <c r="AK429" s="172" t="n"/>
      <c r="AL429" s="172" t="n"/>
      <c r="AM429" s="172" t="n"/>
    </row>
    <row r="430">
      <c r="C430" s="18" t="n"/>
      <c r="D430" s="11" t="n"/>
      <c r="G430" s="11" t="n"/>
      <c r="I430" s="11" t="n"/>
      <c r="J430" s="11" t="n"/>
      <c r="K430" s="11" t="n"/>
      <c r="R430" s="172" t="n"/>
      <c r="S430" s="172" t="n"/>
      <c r="T430" s="172" t="n"/>
      <c r="U430" s="172" t="n"/>
      <c r="V430" s="172" t="n"/>
      <c r="W430" s="172" t="n"/>
      <c r="X430" s="172" t="n"/>
      <c r="Y430" s="173" t="n"/>
      <c r="Z430" s="174" t="n"/>
      <c r="AB430" s="172" t="n"/>
      <c r="AC430" s="172" t="n"/>
      <c r="AD430" s="172" t="n"/>
      <c r="AE430" s="172" t="n"/>
      <c r="AG430" s="172" t="n"/>
      <c r="AI430" s="172" t="n"/>
      <c r="AJ430" s="172" t="n"/>
      <c r="AK430" s="172" t="n"/>
      <c r="AL430" s="172" t="n"/>
      <c r="AM430" s="172" t="n"/>
    </row>
    <row r="431">
      <c r="C431" s="18" t="n"/>
      <c r="D431" s="11" t="n"/>
      <c r="G431" s="11" t="n"/>
      <c r="I431" s="11" t="n"/>
      <c r="J431" s="11" t="n"/>
      <c r="K431" s="11" t="n"/>
      <c r="R431" s="172" t="n"/>
      <c r="S431" s="172" t="n"/>
      <c r="T431" s="172" t="n"/>
      <c r="U431" s="172" t="n"/>
      <c r="V431" s="172" t="n"/>
      <c r="W431" s="172" t="n"/>
      <c r="X431" s="172" t="n"/>
      <c r="Y431" s="173" t="n"/>
      <c r="Z431" s="174" t="n"/>
      <c r="AB431" s="172" t="n"/>
      <c r="AC431" s="172" t="n"/>
      <c r="AD431" s="172" t="n"/>
      <c r="AE431" s="172" t="n"/>
      <c r="AG431" s="172" t="n"/>
      <c r="AI431" s="172" t="n"/>
      <c r="AJ431" s="172" t="n"/>
      <c r="AK431" s="172" t="n"/>
      <c r="AL431" s="172" t="n"/>
      <c r="AM431" s="172" t="n"/>
    </row>
    <row r="432">
      <c r="C432" s="18" t="n"/>
      <c r="D432" s="11" t="n"/>
      <c r="G432" s="11" t="n"/>
      <c r="I432" s="11" t="n"/>
      <c r="J432" s="11" t="n"/>
      <c r="K432" s="11" t="n"/>
      <c r="R432" s="172" t="n"/>
      <c r="S432" s="172" t="n"/>
      <c r="T432" s="172" t="n"/>
      <c r="U432" s="172" t="n"/>
      <c r="V432" s="172" t="n"/>
      <c r="W432" s="172" t="n"/>
      <c r="X432" s="172" t="n"/>
      <c r="Y432" s="173" t="n"/>
      <c r="Z432" s="174" t="n"/>
      <c r="AB432" s="172" t="n"/>
      <c r="AC432" s="172" t="n"/>
      <c r="AD432" s="172" t="n"/>
      <c r="AE432" s="172" t="n"/>
      <c r="AG432" s="172" t="n"/>
      <c r="AI432" s="172" t="n"/>
      <c r="AJ432" s="172" t="n"/>
      <c r="AK432" s="172" t="n"/>
      <c r="AL432" s="172" t="n"/>
      <c r="AM432" s="172" t="n"/>
    </row>
    <row r="433">
      <c r="C433" s="18" t="n"/>
      <c r="D433" s="11" t="n"/>
      <c r="G433" s="11" t="n"/>
      <c r="I433" s="11" t="n"/>
      <c r="J433" s="11" t="n"/>
      <c r="K433" s="11" t="n"/>
      <c r="R433" s="172" t="n"/>
      <c r="S433" s="172" t="n"/>
      <c r="T433" s="172" t="n"/>
      <c r="U433" s="172" t="n"/>
      <c r="V433" s="172" t="n"/>
      <c r="W433" s="172" t="n"/>
      <c r="X433" s="172" t="n"/>
      <c r="Y433" s="173" t="n"/>
      <c r="Z433" s="174" t="n"/>
      <c r="AB433" s="172" t="n"/>
      <c r="AC433" s="172" t="n"/>
      <c r="AD433" s="172" t="n"/>
      <c r="AE433" s="172" t="n"/>
      <c r="AG433" s="172" t="n"/>
      <c r="AI433" s="172" t="n"/>
      <c r="AJ433" s="172" t="n"/>
      <c r="AK433" s="172" t="n"/>
      <c r="AL433" s="172" t="n"/>
      <c r="AM433" s="172" t="n"/>
    </row>
    <row r="434">
      <c r="C434" s="18" t="n"/>
      <c r="D434" s="11" t="n"/>
      <c r="G434" s="11" t="n"/>
      <c r="I434" s="11" t="n"/>
      <c r="J434" s="11" t="n"/>
      <c r="K434" s="11" t="n"/>
      <c r="R434" s="172" t="n"/>
      <c r="S434" s="172" t="n"/>
      <c r="T434" s="172" t="n"/>
      <c r="U434" s="172" t="n"/>
      <c r="V434" s="172" t="n"/>
      <c r="W434" s="172" t="n"/>
      <c r="X434" s="172" t="n"/>
      <c r="Y434" s="173" t="n"/>
      <c r="Z434" s="174" t="n"/>
      <c r="AB434" s="172" t="n"/>
      <c r="AC434" s="172" t="n"/>
      <c r="AD434" s="172" t="n"/>
      <c r="AE434" s="172" t="n"/>
      <c r="AG434" s="172" t="n"/>
      <c r="AI434" s="172" t="n"/>
      <c r="AJ434" s="172" t="n"/>
      <c r="AK434" s="172" t="n"/>
      <c r="AL434" s="172" t="n"/>
      <c r="AM434" s="172" t="n"/>
    </row>
    <row r="435">
      <c r="C435" s="18" t="n"/>
      <c r="D435" s="11" t="n"/>
      <c r="G435" s="11" t="n"/>
      <c r="I435" s="11" t="n"/>
      <c r="J435" s="11" t="n"/>
      <c r="K435" s="11" t="n"/>
      <c r="R435" s="172" t="n"/>
      <c r="S435" s="172" t="n"/>
      <c r="T435" s="172" t="n"/>
      <c r="U435" s="172" t="n"/>
      <c r="V435" s="172" t="n"/>
      <c r="W435" s="172" t="n"/>
      <c r="X435" s="172" t="n"/>
      <c r="Y435" s="173" t="n"/>
      <c r="Z435" s="174" t="n"/>
      <c r="AB435" s="172" t="n"/>
      <c r="AC435" s="172" t="n"/>
      <c r="AD435" s="172" t="n"/>
      <c r="AE435" s="172" t="n"/>
      <c r="AG435" s="172" t="n"/>
      <c r="AI435" s="172" t="n"/>
      <c r="AJ435" s="172" t="n"/>
      <c r="AK435" s="172" t="n"/>
      <c r="AL435" s="172" t="n"/>
      <c r="AM435" s="172" t="n"/>
    </row>
    <row r="436">
      <c r="C436" s="18" t="n"/>
      <c r="D436" s="11" t="n"/>
      <c r="G436" s="11" t="n"/>
      <c r="I436" s="11" t="n"/>
      <c r="J436" s="11" t="n"/>
      <c r="K436" s="11" t="n"/>
      <c r="R436" s="172" t="n"/>
      <c r="S436" s="172" t="n"/>
      <c r="T436" s="172" t="n"/>
      <c r="U436" s="172" t="n"/>
      <c r="V436" s="172" t="n"/>
      <c r="W436" s="172" t="n"/>
      <c r="X436" s="172" t="n"/>
      <c r="Y436" s="173" t="n"/>
      <c r="Z436" s="174" t="n"/>
      <c r="AB436" s="172" t="n"/>
      <c r="AC436" s="172" t="n"/>
      <c r="AD436" s="172" t="n"/>
      <c r="AE436" s="172" t="n"/>
      <c r="AG436" s="172" t="n"/>
      <c r="AI436" s="172" t="n"/>
      <c r="AJ436" s="172" t="n"/>
      <c r="AK436" s="172" t="n"/>
      <c r="AL436" s="172" t="n"/>
      <c r="AM436" s="172" t="n"/>
    </row>
    <row r="437">
      <c r="C437" s="18" t="n"/>
      <c r="D437" s="11" t="n"/>
      <c r="G437" s="11" t="n"/>
      <c r="I437" s="11" t="n"/>
      <c r="J437" s="11" t="n"/>
      <c r="K437" s="11" t="n"/>
      <c r="R437" s="172" t="n"/>
      <c r="S437" s="172" t="n"/>
      <c r="T437" s="172" t="n"/>
      <c r="U437" s="172" t="n"/>
      <c r="V437" s="172" t="n"/>
      <c r="W437" s="172" t="n"/>
      <c r="X437" s="172" t="n"/>
      <c r="Y437" s="173" t="n"/>
      <c r="Z437" s="174" t="n"/>
      <c r="AB437" s="172" t="n"/>
      <c r="AC437" s="172" t="n"/>
      <c r="AD437" s="172" t="n"/>
      <c r="AE437" s="172" t="n"/>
      <c r="AG437" s="172" t="n"/>
      <c r="AI437" s="172" t="n"/>
      <c r="AJ437" s="172" t="n"/>
      <c r="AK437" s="172" t="n"/>
      <c r="AL437" s="172" t="n"/>
      <c r="AM437" s="172" t="n"/>
    </row>
    <row r="438">
      <c r="C438" s="18" t="n"/>
      <c r="D438" s="11" t="n"/>
      <c r="G438" s="11" t="n"/>
      <c r="I438" s="11" t="n"/>
      <c r="J438" s="11" t="n"/>
      <c r="K438" s="11" t="n"/>
      <c r="R438" s="172" t="n"/>
      <c r="S438" s="172" t="n"/>
      <c r="T438" s="172" t="n"/>
      <c r="U438" s="172" t="n"/>
      <c r="V438" s="172" t="n"/>
      <c r="W438" s="172" t="n"/>
      <c r="X438" s="172" t="n"/>
      <c r="Y438" s="173" t="n"/>
      <c r="Z438" s="174" t="n"/>
      <c r="AB438" s="172" t="n"/>
      <c r="AC438" s="172" t="n"/>
      <c r="AD438" s="172" t="n"/>
      <c r="AE438" s="172" t="n"/>
      <c r="AG438" s="172" t="n"/>
      <c r="AI438" s="172" t="n"/>
      <c r="AJ438" s="172" t="n"/>
      <c r="AK438" s="172" t="n"/>
      <c r="AL438" s="172" t="n"/>
      <c r="AM438" s="172" t="n"/>
    </row>
    <row r="439">
      <c r="C439" s="18" t="n"/>
      <c r="D439" s="11" t="n"/>
      <c r="G439" s="11" t="n"/>
      <c r="I439" s="11" t="n"/>
      <c r="J439" s="11" t="n"/>
      <c r="K439" s="11" t="n"/>
      <c r="R439" s="172" t="n"/>
      <c r="S439" s="172" t="n"/>
      <c r="T439" s="172" t="n"/>
      <c r="U439" s="172" t="n"/>
      <c r="V439" s="172" t="n"/>
      <c r="W439" s="172" t="n"/>
      <c r="X439" s="172" t="n"/>
      <c r="Y439" s="173" t="n"/>
      <c r="Z439" s="174" t="n"/>
      <c r="AB439" s="172" t="n"/>
      <c r="AC439" s="172" t="n"/>
      <c r="AD439" s="172" t="n"/>
      <c r="AE439" s="172" t="n"/>
      <c r="AG439" s="172" t="n"/>
      <c r="AI439" s="172" t="n"/>
      <c r="AJ439" s="172" t="n"/>
      <c r="AK439" s="172" t="n"/>
      <c r="AL439" s="172" t="n"/>
      <c r="AM439" s="172" t="n"/>
    </row>
    <row r="440">
      <c r="C440" s="18" t="n"/>
      <c r="D440" s="11" t="n"/>
      <c r="G440" s="11" t="n"/>
      <c r="I440" s="11" t="n"/>
      <c r="J440" s="11" t="n"/>
      <c r="K440" s="11" t="n"/>
      <c r="R440" s="172" t="n"/>
      <c r="S440" s="172" t="n"/>
      <c r="T440" s="172" t="n"/>
      <c r="U440" s="172" t="n"/>
      <c r="V440" s="172" t="n"/>
      <c r="W440" s="172" t="n"/>
      <c r="X440" s="172" t="n"/>
      <c r="Y440" s="173" t="n"/>
      <c r="Z440" s="174" t="n"/>
      <c r="AB440" s="172" t="n"/>
      <c r="AC440" s="172" t="n"/>
      <c r="AD440" s="172" t="n"/>
      <c r="AE440" s="172" t="n"/>
      <c r="AG440" s="172" t="n"/>
      <c r="AI440" s="172" t="n"/>
      <c r="AJ440" s="172" t="n"/>
      <c r="AK440" s="172" t="n"/>
      <c r="AL440" s="172" t="n"/>
      <c r="AM440" s="172" t="n"/>
    </row>
    <row r="441">
      <c r="C441" s="18" t="n"/>
      <c r="D441" s="11" t="n"/>
      <c r="G441" s="11" t="n"/>
      <c r="I441" s="11" t="n"/>
      <c r="J441" s="11" t="n"/>
      <c r="K441" s="11" t="n"/>
      <c r="R441" s="172" t="n"/>
      <c r="S441" s="172" t="n"/>
      <c r="T441" s="172" t="n"/>
      <c r="U441" s="172" t="n"/>
      <c r="V441" s="172" t="n"/>
      <c r="W441" s="172" t="n"/>
      <c r="X441" s="172" t="n"/>
      <c r="Y441" s="173" t="n"/>
      <c r="Z441" s="174" t="n"/>
      <c r="AB441" s="172" t="n"/>
      <c r="AC441" s="172" t="n"/>
      <c r="AD441" s="172" t="n"/>
      <c r="AE441" s="172" t="n"/>
      <c r="AG441" s="172" t="n"/>
      <c r="AI441" s="172" t="n"/>
      <c r="AJ441" s="172" t="n"/>
      <c r="AK441" s="172" t="n"/>
      <c r="AL441" s="172" t="n"/>
      <c r="AM441" s="172" t="n"/>
    </row>
    <row r="442">
      <c r="C442" s="18" t="n"/>
      <c r="D442" s="11" t="n"/>
      <c r="G442" s="11" t="n"/>
      <c r="I442" s="11" t="n"/>
      <c r="J442" s="11" t="n"/>
      <c r="K442" s="11" t="n"/>
      <c r="R442" s="172" t="n"/>
      <c r="S442" s="172" t="n"/>
      <c r="T442" s="172" t="n"/>
      <c r="U442" s="172" t="n"/>
      <c r="V442" s="172" t="n"/>
      <c r="W442" s="172" t="n"/>
      <c r="X442" s="172" t="n"/>
      <c r="Y442" s="173" t="n"/>
      <c r="Z442" s="174" t="n"/>
      <c r="AB442" s="172" t="n"/>
      <c r="AC442" s="172" t="n"/>
      <c r="AD442" s="172" t="n"/>
      <c r="AE442" s="172" t="n"/>
      <c r="AG442" s="172" t="n"/>
      <c r="AI442" s="172" t="n"/>
      <c r="AJ442" s="172" t="n"/>
      <c r="AK442" s="172" t="n"/>
      <c r="AL442" s="172" t="n"/>
      <c r="AM442" s="172" t="n"/>
    </row>
    <row r="443">
      <c r="C443" s="18" t="n"/>
      <c r="D443" s="11" t="n"/>
      <c r="G443" s="11" t="n"/>
      <c r="I443" s="11" t="n"/>
      <c r="J443" s="11" t="n"/>
      <c r="K443" s="11" t="n"/>
      <c r="R443" s="172" t="n"/>
      <c r="S443" s="172" t="n"/>
      <c r="T443" s="172" t="n"/>
      <c r="U443" s="172" t="n"/>
      <c r="V443" s="172" t="n"/>
      <c r="W443" s="172" t="n"/>
      <c r="X443" s="172" t="n"/>
      <c r="Y443" s="173" t="n"/>
      <c r="Z443" s="174" t="n"/>
      <c r="AB443" s="172" t="n"/>
      <c r="AC443" s="172" t="n"/>
      <c r="AD443" s="172" t="n"/>
      <c r="AE443" s="172" t="n"/>
      <c r="AG443" s="172" t="n"/>
      <c r="AI443" s="172" t="n"/>
      <c r="AJ443" s="172" t="n"/>
      <c r="AK443" s="172" t="n"/>
      <c r="AL443" s="172" t="n"/>
      <c r="AM443" s="172" t="n"/>
    </row>
    <row r="444">
      <c r="C444" s="18" t="n"/>
      <c r="D444" s="11" t="n"/>
      <c r="G444" s="11" t="n"/>
      <c r="I444" s="11" t="n"/>
      <c r="J444" s="11" t="n"/>
      <c r="K444" s="11" t="n"/>
      <c r="R444" s="172" t="n"/>
      <c r="S444" s="172" t="n"/>
      <c r="T444" s="172" t="n"/>
      <c r="U444" s="172" t="n"/>
      <c r="V444" s="172" t="n"/>
      <c r="W444" s="172" t="n"/>
      <c r="X444" s="172" t="n"/>
      <c r="Y444" s="173" t="n"/>
      <c r="Z444" s="174" t="n"/>
      <c r="AB444" s="172" t="n"/>
      <c r="AC444" s="172" t="n"/>
      <c r="AD444" s="172" t="n"/>
      <c r="AE444" s="172" t="n"/>
      <c r="AG444" s="172" t="n"/>
      <c r="AI444" s="172" t="n"/>
      <c r="AJ444" s="172" t="n"/>
      <c r="AK444" s="172" t="n"/>
      <c r="AL444" s="172" t="n"/>
      <c r="AM444" s="172" t="n"/>
    </row>
    <row r="445">
      <c r="C445" s="18" t="n"/>
      <c r="D445" s="11" t="n"/>
      <c r="G445" s="11" t="n"/>
      <c r="I445" s="11" t="n"/>
      <c r="J445" s="11" t="n"/>
      <c r="K445" s="11" t="n"/>
      <c r="R445" s="172" t="n"/>
      <c r="S445" s="172" t="n"/>
      <c r="T445" s="172" t="n"/>
      <c r="U445" s="172" t="n"/>
      <c r="V445" s="172" t="n"/>
      <c r="W445" s="172" t="n"/>
      <c r="X445" s="172" t="n"/>
      <c r="Y445" s="173" t="n"/>
      <c r="Z445" s="174" t="n"/>
      <c r="AB445" s="172" t="n"/>
      <c r="AC445" s="172" t="n"/>
      <c r="AD445" s="172" t="n"/>
      <c r="AE445" s="172" t="n"/>
      <c r="AG445" s="172" t="n"/>
      <c r="AI445" s="172" t="n"/>
      <c r="AJ445" s="172" t="n"/>
      <c r="AK445" s="172" t="n"/>
      <c r="AL445" s="172" t="n"/>
      <c r="AM445" s="172" t="n"/>
    </row>
    <row r="446">
      <c r="C446" s="18" t="n"/>
      <c r="D446" s="11" t="n"/>
      <c r="G446" s="11" t="n"/>
      <c r="I446" s="11" t="n"/>
      <c r="J446" s="11" t="n"/>
      <c r="K446" s="11" t="n"/>
      <c r="R446" s="172" t="n"/>
      <c r="S446" s="172" t="n"/>
      <c r="T446" s="172" t="n"/>
      <c r="U446" s="172" t="n"/>
      <c r="V446" s="172" t="n"/>
      <c r="W446" s="172" t="n"/>
      <c r="X446" s="172" t="n"/>
      <c r="Y446" s="173" t="n"/>
      <c r="Z446" s="174" t="n"/>
      <c r="AB446" s="172" t="n"/>
      <c r="AC446" s="172" t="n"/>
      <c r="AD446" s="172" t="n"/>
      <c r="AE446" s="172" t="n"/>
      <c r="AG446" s="172" t="n"/>
      <c r="AI446" s="172" t="n"/>
      <c r="AJ446" s="172" t="n"/>
      <c r="AK446" s="172" t="n"/>
      <c r="AL446" s="172" t="n"/>
      <c r="AM446" s="172" t="n"/>
    </row>
    <row r="447">
      <c r="C447" s="18" t="n"/>
      <c r="D447" s="11" t="n"/>
      <c r="G447" s="11" t="n"/>
      <c r="I447" s="11" t="n"/>
      <c r="J447" s="11" t="n"/>
      <c r="K447" s="11" t="n"/>
      <c r="R447" s="172" t="n"/>
      <c r="S447" s="172" t="n"/>
      <c r="T447" s="172" t="n"/>
      <c r="U447" s="172" t="n"/>
      <c r="V447" s="172" t="n"/>
      <c r="W447" s="172" t="n"/>
      <c r="X447" s="172" t="n"/>
      <c r="Y447" s="173" t="n"/>
      <c r="Z447" s="174" t="n"/>
      <c r="AB447" s="172" t="n"/>
      <c r="AC447" s="172" t="n"/>
      <c r="AD447" s="172" t="n"/>
      <c r="AE447" s="172" t="n"/>
      <c r="AG447" s="172" t="n"/>
      <c r="AI447" s="172" t="n"/>
      <c r="AJ447" s="172" t="n"/>
      <c r="AK447" s="172" t="n"/>
      <c r="AL447" s="172" t="n"/>
      <c r="AM447" s="172" t="n"/>
    </row>
    <row r="448">
      <c r="C448" s="18" t="n"/>
      <c r="D448" s="11" t="n"/>
      <c r="G448" s="11" t="n"/>
      <c r="I448" s="11" t="n"/>
      <c r="J448" s="11" t="n"/>
      <c r="K448" s="11" t="n"/>
      <c r="R448" s="172" t="n"/>
      <c r="S448" s="172" t="n"/>
      <c r="T448" s="172" t="n"/>
      <c r="U448" s="172" t="n"/>
      <c r="V448" s="172" t="n"/>
      <c r="W448" s="172" t="n"/>
      <c r="X448" s="172" t="n"/>
      <c r="Y448" s="173" t="n"/>
      <c r="Z448" s="174" t="n"/>
      <c r="AB448" s="172" t="n"/>
      <c r="AC448" s="172" t="n"/>
      <c r="AD448" s="172" t="n"/>
      <c r="AE448" s="172" t="n"/>
      <c r="AG448" s="172" t="n"/>
      <c r="AI448" s="172" t="n"/>
      <c r="AJ448" s="172" t="n"/>
      <c r="AK448" s="172" t="n"/>
      <c r="AL448" s="172" t="n"/>
      <c r="AM448" s="172" t="n"/>
    </row>
    <row r="449">
      <c r="C449" s="18" t="n"/>
      <c r="D449" s="11" t="n"/>
      <c r="G449" s="11" t="n"/>
      <c r="I449" s="11" t="n"/>
      <c r="J449" s="11" t="n"/>
      <c r="K449" s="11" t="n"/>
      <c r="R449" s="172" t="n"/>
      <c r="S449" s="172" t="n"/>
      <c r="T449" s="172" t="n"/>
      <c r="U449" s="172" t="n"/>
      <c r="V449" s="172" t="n"/>
      <c r="W449" s="172" t="n"/>
      <c r="X449" s="172" t="n"/>
      <c r="Y449" s="173" t="n"/>
      <c r="Z449" s="174" t="n"/>
      <c r="AB449" s="172" t="n"/>
      <c r="AC449" s="172" t="n"/>
      <c r="AD449" s="172" t="n"/>
      <c r="AE449" s="172" t="n"/>
      <c r="AG449" s="172" t="n"/>
      <c r="AI449" s="172" t="n"/>
      <c r="AJ449" s="172" t="n"/>
      <c r="AK449" s="172" t="n"/>
      <c r="AL449" s="172" t="n"/>
      <c r="AM449" s="172" t="n"/>
    </row>
    <row r="450">
      <c r="C450" s="18" t="n"/>
      <c r="D450" s="11" t="n"/>
      <c r="G450" s="11" t="n"/>
      <c r="I450" s="11" t="n"/>
      <c r="J450" s="11" t="n"/>
      <c r="K450" s="11" t="n"/>
      <c r="R450" s="172" t="n"/>
      <c r="S450" s="172" t="n"/>
      <c r="T450" s="172" t="n"/>
      <c r="U450" s="172" t="n"/>
      <c r="V450" s="172" t="n"/>
      <c r="W450" s="172" t="n"/>
      <c r="X450" s="172" t="n"/>
      <c r="Y450" s="173" t="n"/>
      <c r="Z450" s="174" t="n"/>
      <c r="AB450" s="172" t="n"/>
      <c r="AC450" s="172" t="n"/>
      <c r="AD450" s="172" t="n"/>
      <c r="AE450" s="172" t="n"/>
      <c r="AG450" s="172" t="n"/>
      <c r="AI450" s="172" t="n"/>
      <c r="AJ450" s="172" t="n"/>
      <c r="AK450" s="172" t="n"/>
      <c r="AL450" s="172" t="n"/>
      <c r="AM450" s="172" t="n"/>
      <c r="AO450" s="175" t="n"/>
    </row>
    <row r="451">
      <c r="C451" s="18" t="n"/>
      <c r="D451" s="11" t="n"/>
      <c r="G451" s="11" t="n"/>
      <c r="I451" s="11" t="n"/>
      <c r="J451" s="11" t="n"/>
      <c r="K451" s="11" t="n"/>
      <c r="R451" s="172" t="n"/>
      <c r="S451" s="172" t="n"/>
      <c r="T451" s="172" t="n"/>
      <c r="U451" s="172" t="n"/>
      <c r="V451" s="172" t="n"/>
      <c r="W451" s="172" t="n"/>
      <c r="X451" s="172" t="n"/>
      <c r="Y451" s="173" t="n"/>
      <c r="Z451" s="174" t="n"/>
      <c r="AB451" s="172" t="n"/>
      <c r="AC451" s="172" t="n"/>
      <c r="AD451" s="172" t="n"/>
      <c r="AE451" s="172" t="n"/>
      <c r="AG451" s="172" t="n"/>
      <c r="AI451" s="172" t="n"/>
      <c r="AJ451" s="172" t="n"/>
      <c r="AK451" s="172" t="n"/>
      <c r="AL451" s="172" t="n"/>
      <c r="AM451" s="172" t="n"/>
    </row>
    <row r="452">
      <c r="C452" s="18" t="n"/>
      <c r="D452" s="11" t="n"/>
      <c r="G452" s="11" t="n"/>
      <c r="I452" s="11" t="n"/>
      <c r="J452" s="11" t="n"/>
      <c r="K452" s="11" t="n"/>
      <c r="R452" s="172" t="n"/>
      <c r="S452" s="172" t="n"/>
      <c r="T452" s="172" t="n"/>
      <c r="U452" s="172" t="n"/>
      <c r="V452" s="172" t="n"/>
      <c r="W452" s="172" t="n"/>
      <c r="X452" s="172" t="n"/>
      <c r="Y452" s="173" t="n"/>
      <c r="Z452" s="174" t="n"/>
      <c r="AB452" s="172" t="n"/>
      <c r="AC452" s="172" t="n"/>
      <c r="AD452" s="172" t="n"/>
      <c r="AE452" s="172" t="n"/>
      <c r="AG452" s="172" t="n"/>
      <c r="AI452" s="172" t="n"/>
      <c r="AJ452" s="172" t="n"/>
      <c r="AK452" s="172" t="n"/>
      <c r="AL452" s="172" t="n"/>
      <c r="AM452" s="172" t="n"/>
    </row>
    <row r="453">
      <c r="C453" s="18" t="n"/>
      <c r="D453" s="11" t="n"/>
      <c r="G453" s="11" t="n"/>
      <c r="I453" s="11" t="n"/>
      <c r="J453" s="11" t="n"/>
      <c r="K453" s="11" t="n"/>
      <c r="R453" s="172" t="n"/>
      <c r="S453" s="172" t="n"/>
      <c r="T453" s="172" t="n"/>
      <c r="U453" s="172" t="n"/>
      <c r="V453" s="172" t="n"/>
      <c r="W453" s="172" t="n"/>
      <c r="X453" s="172" t="n"/>
      <c r="Y453" s="173" t="n"/>
      <c r="Z453" s="174" t="n"/>
      <c r="AB453" s="172" t="n"/>
      <c r="AC453" s="172" t="n"/>
      <c r="AD453" s="172" t="n"/>
      <c r="AE453" s="172" t="n"/>
      <c r="AG453" s="172" t="n"/>
      <c r="AI453" s="172" t="n"/>
      <c r="AJ453" s="172" t="n"/>
      <c r="AK453" s="172" t="n"/>
      <c r="AL453" s="172" t="n"/>
      <c r="AM453" s="172" t="n"/>
    </row>
    <row r="454">
      <c r="C454" s="18" t="n"/>
      <c r="D454" s="11" t="n"/>
      <c r="G454" s="11" t="n"/>
      <c r="I454" s="11" t="n"/>
      <c r="J454" s="11" t="n"/>
      <c r="K454" s="11" t="n"/>
      <c r="R454" s="172" t="n"/>
      <c r="S454" s="172" t="n"/>
      <c r="T454" s="172" t="n"/>
      <c r="U454" s="172" t="n"/>
      <c r="V454" s="172" t="n"/>
      <c r="W454" s="172" t="n"/>
      <c r="X454" s="172" t="n"/>
      <c r="Y454" s="173" t="n"/>
      <c r="Z454" s="174" t="n"/>
      <c r="AB454" s="172" t="n"/>
      <c r="AC454" s="172" t="n"/>
      <c r="AD454" s="172" t="n"/>
      <c r="AE454" s="172" t="n"/>
      <c r="AG454" s="172" t="n"/>
      <c r="AI454" s="172" t="n"/>
      <c r="AJ454" s="172" t="n"/>
      <c r="AK454" s="172" t="n"/>
      <c r="AL454" s="172" t="n"/>
      <c r="AM454" s="172" t="n"/>
    </row>
    <row r="455">
      <c r="C455" s="18" t="n"/>
      <c r="D455" s="11" t="n"/>
      <c r="G455" s="11" t="n"/>
      <c r="I455" s="11" t="n"/>
      <c r="J455" s="11" t="n"/>
      <c r="K455" s="11" t="n"/>
      <c r="R455" s="172" t="n"/>
      <c r="S455" s="172" t="n"/>
      <c r="T455" s="172" t="n"/>
      <c r="U455" s="172" t="n"/>
      <c r="V455" s="172" t="n"/>
      <c r="W455" s="172" t="n"/>
      <c r="X455" s="172" t="n"/>
      <c r="Y455" s="173" t="n"/>
      <c r="Z455" s="174" t="n"/>
      <c r="AB455" s="172" t="n"/>
      <c r="AC455" s="172" t="n"/>
      <c r="AD455" s="172" t="n"/>
      <c r="AE455" s="172" t="n"/>
      <c r="AG455" s="172" t="n"/>
      <c r="AI455" s="172" t="n"/>
      <c r="AJ455" s="172" t="n"/>
      <c r="AK455" s="172" t="n"/>
      <c r="AL455" s="172" t="n"/>
      <c r="AM455" s="172" t="n"/>
    </row>
    <row r="456">
      <c r="C456" s="18" t="n"/>
      <c r="D456" s="11" t="n"/>
      <c r="G456" s="11" t="n"/>
      <c r="I456" s="11" t="n"/>
      <c r="J456" s="11" t="n"/>
      <c r="K456" s="11" t="n"/>
      <c r="R456" s="172" t="n"/>
      <c r="S456" s="172" t="n"/>
      <c r="T456" s="172" t="n"/>
      <c r="U456" s="172" t="n"/>
      <c r="V456" s="172" t="n"/>
      <c r="W456" s="172" t="n"/>
      <c r="X456" s="172" t="n"/>
      <c r="Y456" s="173" t="n"/>
      <c r="Z456" s="174" t="n"/>
      <c r="AB456" s="172" t="n"/>
      <c r="AC456" s="172" t="n"/>
      <c r="AD456" s="172" t="n"/>
      <c r="AE456" s="172" t="n"/>
      <c r="AG456" s="172" t="n"/>
      <c r="AI456" s="172" t="n"/>
      <c r="AJ456" s="172" t="n"/>
      <c r="AK456" s="172" t="n"/>
      <c r="AL456" s="172" t="n"/>
      <c r="AM456" s="172" t="n"/>
    </row>
    <row r="457">
      <c r="C457" s="18" t="n"/>
      <c r="D457" s="11" t="n"/>
      <c r="G457" s="11" t="n"/>
      <c r="I457" s="11" t="n"/>
      <c r="J457" s="11" t="n"/>
      <c r="K457" s="11" t="n"/>
      <c r="R457" s="172" t="n"/>
      <c r="S457" s="172" t="n"/>
      <c r="T457" s="172" t="n"/>
      <c r="U457" s="172" t="n"/>
      <c r="V457" s="172" t="n"/>
      <c r="W457" s="172" t="n"/>
      <c r="X457" s="172" t="n"/>
      <c r="Y457" s="173" t="n"/>
      <c r="Z457" s="174" t="n"/>
      <c r="AB457" s="172" t="n"/>
      <c r="AC457" s="172" t="n"/>
      <c r="AD457" s="172" t="n"/>
      <c r="AE457" s="172" t="n"/>
      <c r="AG457" s="172" t="n"/>
      <c r="AI457" s="172" t="n"/>
      <c r="AJ457" s="172" t="n"/>
      <c r="AK457" s="172" t="n"/>
      <c r="AL457" s="172" t="n"/>
      <c r="AM457" s="172" t="n"/>
    </row>
    <row r="458">
      <c r="C458" s="18" t="n"/>
      <c r="D458" s="11" t="n"/>
      <c r="G458" s="11" t="n"/>
      <c r="I458" s="11" t="n"/>
      <c r="J458" s="11" t="n"/>
      <c r="K458" s="11" t="n"/>
      <c r="R458" s="172" t="n"/>
      <c r="S458" s="172" t="n"/>
      <c r="T458" s="172" t="n"/>
      <c r="U458" s="172" t="n"/>
      <c r="V458" s="172" t="n"/>
      <c r="W458" s="172" t="n"/>
      <c r="X458" s="172" t="n"/>
      <c r="Y458" s="173" t="n"/>
      <c r="Z458" s="174" t="n"/>
      <c r="AB458" s="172" t="n"/>
      <c r="AC458" s="172" t="n"/>
      <c r="AD458" s="172" t="n"/>
      <c r="AE458" s="172" t="n"/>
      <c r="AG458" s="172" t="n"/>
      <c r="AI458" s="172" t="n"/>
      <c r="AJ458" s="172" t="n"/>
      <c r="AK458" s="172" t="n"/>
      <c r="AL458" s="172" t="n"/>
      <c r="AM458" s="172" t="n"/>
    </row>
    <row r="459">
      <c r="C459" s="18" t="n"/>
      <c r="D459" s="11" t="n"/>
      <c r="G459" s="11" t="n"/>
      <c r="I459" s="11" t="n"/>
      <c r="J459" s="11" t="n"/>
      <c r="K459" s="11" t="n"/>
      <c r="R459" s="172" t="n"/>
      <c r="S459" s="172" t="n"/>
      <c r="T459" s="172" t="n"/>
      <c r="U459" s="172" t="n"/>
      <c r="V459" s="172" t="n"/>
      <c r="W459" s="172" t="n"/>
      <c r="X459" s="172" t="n"/>
      <c r="Y459" s="173" t="n"/>
      <c r="Z459" s="174" t="n"/>
      <c r="AB459" s="172" t="n"/>
      <c r="AC459" s="172" t="n"/>
      <c r="AD459" s="172" t="n"/>
      <c r="AE459" s="172" t="n"/>
      <c r="AG459" s="172" t="n"/>
      <c r="AI459" s="172" t="n"/>
      <c r="AJ459" s="172" t="n"/>
      <c r="AK459" s="172" t="n"/>
      <c r="AL459" s="172" t="n"/>
      <c r="AM459" s="172" t="n"/>
    </row>
    <row r="460">
      <c r="C460" s="18" t="n"/>
      <c r="D460" s="11" t="n"/>
      <c r="G460" s="11" t="n"/>
      <c r="I460" s="11" t="n"/>
      <c r="J460" s="11" t="n"/>
      <c r="K460" s="11" t="n"/>
      <c r="R460" s="172" t="n"/>
      <c r="S460" s="172" t="n"/>
      <c r="T460" s="172" t="n"/>
      <c r="U460" s="172" t="n"/>
      <c r="V460" s="172" t="n"/>
      <c r="W460" s="172" t="n"/>
      <c r="X460" s="172" t="n"/>
      <c r="Y460" s="173" t="n"/>
      <c r="Z460" s="174" t="n"/>
      <c r="AB460" s="172" t="n"/>
      <c r="AC460" s="172" t="n"/>
      <c r="AD460" s="172" t="n"/>
      <c r="AE460" s="172" t="n"/>
      <c r="AG460" s="172" t="n"/>
      <c r="AI460" s="172" t="n"/>
      <c r="AJ460" s="172" t="n"/>
      <c r="AK460" s="172" t="n"/>
      <c r="AL460" s="172" t="n"/>
      <c r="AM460" s="172" t="n"/>
    </row>
    <row r="461">
      <c r="C461" s="18" t="n"/>
      <c r="D461" s="11" t="n"/>
      <c r="G461" s="11" t="n"/>
      <c r="I461" s="11" t="n"/>
      <c r="J461" s="11" t="n"/>
      <c r="K461" s="11" t="n"/>
      <c r="R461" s="172" t="n"/>
      <c r="S461" s="172" t="n"/>
      <c r="T461" s="172" t="n"/>
      <c r="U461" s="172" t="n"/>
      <c r="V461" s="172" t="n"/>
      <c r="W461" s="172" t="n"/>
      <c r="X461" s="172" t="n"/>
      <c r="Y461" s="173" t="n"/>
      <c r="Z461" s="174" t="n"/>
      <c r="AB461" s="172" t="n"/>
      <c r="AC461" s="172" t="n"/>
      <c r="AD461" s="172" t="n"/>
      <c r="AE461" s="172" t="n"/>
      <c r="AG461" s="172" t="n"/>
      <c r="AI461" s="172" t="n"/>
      <c r="AJ461" s="172" t="n"/>
      <c r="AK461" s="172" t="n"/>
      <c r="AL461" s="172" t="n"/>
      <c r="AM461" s="172" t="n"/>
    </row>
    <row r="462">
      <c r="C462" s="18" t="n"/>
      <c r="D462" s="11" t="n"/>
      <c r="G462" s="11" t="n"/>
      <c r="I462" s="11" t="n"/>
      <c r="J462" s="11" t="n"/>
      <c r="K462" s="11" t="n"/>
      <c r="R462" s="172" t="n"/>
      <c r="S462" s="172" t="n"/>
      <c r="T462" s="172" t="n"/>
      <c r="U462" s="172" t="n"/>
      <c r="V462" s="172" t="n"/>
      <c r="W462" s="172" t="n"/>
      <c r="X462" s="172" t="n"/>
      <c r="Y462" s="173" t="n"/>
      <c r="Z462" s="174" t="n"/>
      <c r="AB462" s="172" t="n"/>
      <c r="AC462" s="172" t="n"/>
      <c r="AD462" s="172" t="n"/>
      <c r="AE462" s="172" t="n"/>
      <c r="AG462" s="172" t="n"/>
      <c r="AI462" s="172" t="n"/>
      <c r="AJ462" s="172" t="n"/>
      <c r="AK462" s="172" t="n"/>
      <c r="AL462" s="172" t="n"/>
      <c r="AM462" s="172" t="n"/>
    </row>
    <row r="463">
      <c r="C463" s="18" t="n"/>
      <c r="D463" s="11" t="n"/>
      <c r="G463" s="11" t="n"/>
      <c r="I463" s="11" t="n"/>
      <c r="J463" s="11" t="n"/>
      <c r="K463" s="11" t="n"/>
      <c r="R463" s="172" t="n"/>
      <c r="S463" s="172" t="n"/>
      <c r="T463" s="172" t="n"/>
      <c r="U463" s="172" t="n"/>
      <c r="V463" s="172" t="n"/>
      <c r="W463" s="172" t="n"/>
      <c r="X463" s="172" t="n"/>
      <c r="Y463" s="173" t="n"/>
      <c r="Z463" s="174" t="n"/>
      <c r="AB463" s="172" t="n"/>
      <c r="AC463" s="172" t="n"/>
      <c r="AD463" s="172" t="n"/>
      <c r="AE463" s="172" t="n"/>
      <c r="AG463" s="172" t="n"/>
      <c r="AI463" s="172" t="n"/>
      <c r="AJ463" s="172" t="n"/>
      <c r="AK463" s="172" t="n"/>
      <c r="AL463" s="172" t="n"/>
      <c r="AM463" s="172" t="n"/>
    </row>
    <row r="464">
      <c r="C464" s="18" t="n"/>
      <c r="D464" s="11" t="n"/>
      <c r="G464" s="11" t="n"/>
      <c r="I464" s="11" t="n"/>
      <c r="J464" s="11" t="n"/>
      <c r="K464" s="11" t="n"/>
      <c r="R464" s="172" t="n"/>
      <c r="S464" s="172" t="n"/>
      <c r="T464" s="172" t="n"/>
      <c r="U464" s="172" t="n"/>
      <c r="V464" s="172" t="n"/>
      <c r="W464" s="172" t="n"/>
      <c r="X464" s="172" t="n"/>
      <c r="Y464" s="173" t="n"/>
      <c r="Z464" s="174" t="n"/>
      <c r="AB464" s="172" t="n"/>
      <c r="AC464" s="172" t="n"/>
      <c r="AD464" s="172" t="n"/>
      <c r="AE464" s="172" t="n"/>
      <c r="AG464" s="172" t="n"/>
      <c r="AI464" s="172" t="n"/>
      <c r="AJ464" s="172" t="n"/>
      <c r="AK464" s="172" t="n"/>
      <c r="AL464" s="172" t="n"/>
      <c r="AM464" s="172" t="n"/>
    </row>
    <row r="465">
      <c r="C465" s="18" t="n"/>
      <c r="D465" s="11" t="n"/>
      <c r="G465" s="11" t="n"/>
      <c r="I465" s="11" t="n"/>
      <c r="J465" s="11" t="n"/>
      <c r="K465" s="11" t="n"/>
      <c r="R465" s="172" t="n"/>
      <c r="S465" s="172" t="n"/>
      <c r="T465" s="172" t="n"/>
      <c r="U465" s="172" t="n"/>
      <c r="V465" s="172" t="n"/>
      <c r="W465" s="172" t="n"/>
      <c r="X465" s="172" t="n"/>
      <c r="Y465" s="173" t="n"/>
      <c r="Z465" s="174" t="n"/>
      <c r="AB465" s="172" t="n"/>
      <c r="AC465" s="172" t="n"/>
      <c r="AD465" s="172" t="n"/>
      <c r="AE465" s="172" t="n"/>
      <c r="AG465" s="172" t="n"/>
      <c r="AI465" s="172" t="n"/>
      <c r="AJ465" s="172" t="n"/>
      <c r="AK465" s="172" t="n"/>
      <c r="AL465" s="172" t="n"/>
      <c r="AM465" s="172" t="n"/>
    </row>
    <row r="466">
      <c r="C466" s="18" t="n"/>
      <c r="D466" s="11" t="n"/>
      <c r="G466" s="11" t="n"/>
      <c r="I466" s="11" t="n"/>
      <c r="J466" s="11" t="n"/>
      <c r="K466" s="11" t="n"/>
      <c r="R466" s="172" t="n"/>
      <c r="S466" s="172" t="n"/>
      <c r="T466" s="172" t="n"/>
      <c r="U466" s="172" t="n"/>
      <c r="V466" s="172" t="n"/>
      <c r="W466" s="172" t="n"/>
      <c r="X466" s="172" t="n"/>
      <c r="Y466" s="173" t="n"/>
      <c r="Z466" s="174" t="n"/>
      <c r="AB466" s="172" t="n"/>
      <c r="AC466" s="172" t="n"/>
      <c r="AD466" s="172" t="n"/>
      <c r="AE466" s="172" t="n"/>
      <c r="AG466" s="172" t="n"/>
      <c r="AI466" s="172" t="n"/>
      <c r="AJ466" s="172" t="n"/>
      <c r="AK466" s="172" t="n"/>
      <c r="AL466" s="176" t="n"/>
      <c r="AM466" s="172" t="n"/>
    </row>
    <row r="467">
      <c r="C467" s="18" t="n"/>
      <c r="D467" s="11" t="n"/>
      <c r="G467" s="11" t="n"/>
      <c r="I467" s="11" t="n"/>
      <c r="J467" s="11" t="n"/>
      <c r="K467" s="11" t="n"/>
      <c r="R467" s="172" t="n"/>
      <c r="S467" s="172" t="n"/>
      <c r="T467" s="172" t="n"/>
      <c r="U467" s="172" t="n"/>
      <c r="V467" s="172" t="n"/>
      <c r="W467" s="172" t="n"/>
      <c r="X467" s="172" t="n"/>
      <c r="Y467" s="173" t="n"/>
      <c r="Z467" s="174" t="n"/>
      <c r="AB467" s="172" t="n"/>
      <c r="AC467" s="172" t="n"/>
      <c r="AD467" s="172" t="n"/>
      <c r="AE467" s="172" t="n"/>
      <c r="AG467" s="172" t="n"/>
      <c r="AI467" s="172" t="n"/>
      <c r="AJ467" s="172" t="n"/>
      <c r="AK467" s="172" t="n"/>
      <c r="AL467" s="176" t="n"/>
      <c r="AM467" s="172" t="n"/>
    </row>
    <row r="468">
      <c r="C468" s="18" t="n"/>
      <c r="D468" s="11" t="n"/>
      <c r="G468" s="11" t="n"/>
      <c r="I468" s="11" t="n"/>
      <c r="J468" s="11" t="n"/>
      <c r="K468" s="11" t="n"/>
      <c r="R468" s="172" t="n"/>
      <c r="S468" s="172" t="n"/>
      <c r="T468" s="172" t="n"/>
      <c r="U468" s="172" t="n"/>
      <c r="V468" s="172" t="n"/>
      <c r="W468" s="172" t="n"/>
      <c r="X468" s="172" t="n"/>
      <c r="Y468" s="173" t="n"/>
      <c r="Z468" s="174" t="n"/>
      <c r="AB468" s="172" t="n"/>
      <c r="AC468" s="172" t="n"/>
      <c r="AD468" s="172" t="n"/>
      <c r="AE468" s="172" t="n"/>
      <c r="AG468" s="172" t="n"/>
      <c r="AI468" s="172" t="n"/>
      <c r="AJ468" s="172" t="n"/>
      <c r="AK468" s="172" t="n"/>
      <c r="AL468" s="172" t="n"/>
      <c r="AM468" s="172" t="n"/>
    </row>
    <row r="469">
      <c r="C469" s="18" t="n"/>
      <c r="D469" s="11" t="n"/>
      <c r="G469" s="11" t="n"/>
      <c r="I469" s="11" t="n"/>
      <c r="J469" s="11" t="n"/>
      <c r="K469" s="11" t="n"/>
      <c r="R469" s="172" t="n"/>
      <c r="S469" s="172" t="n"/>
      <c r="T469" s="172" t="n"/>
      <c r="U469" s="172" t="n"/>
      <c r="V469" s="172" t="n"/>
      <c r="W469" s="172" t="n"/>
      <c r="X469" s="172" t="n"/>
      <c r="Y469" s="173" t="n"/>
      <c r="Z469" s="174" t="n"/>
      <c r="AB469" s="172" t="n"/>
      <c r="AC469" s="172" t="n"/>
      <c r="AD469" s="172" t="n"/>
      <c r="AE469" s="172" t="n"/>
      <c r="AG469" s="172" t="n"/>
      <c r="AI469" s="172" t="n"/>
      <c r="AJ469" s="172" t="n"/>
      <c r="AK469" s="172" t="n"/>
      <c r="AL469" s="172" t="n"/>
      <c r="AM469" s="172" t="n"/>
    </row>
    <row r="470">
      <c r="C470" s="18" t="n"/>
      <c r="D470" s="11" t="n"/>
      <c r="G470" s="11" t="n"/>
      <c r="I470" s="11" t="n"/>
      <c r="J470" s="11" t="n"/>
      <c r="K470" s="11" t="n"/>
      <c r="R470" s="172" t="n"/>
      <c r="S470" s="172" t="n"/>
      <c r="T470" s="172" t="n"/>
      <c r="U470" s="172" t="n"/>
      <c r="V470" s="172" t="n"/>
      <c r="W470" s="172" t="n"/>
      <c r="X470" s="172" t="n"/>
      <c r="Y470" s="173" t="n"/>
      <c r="Z470" s="174" t="n"/>
      <c r="AB470" s="172" t="n"/>
      <c r="AC470" s="172" t="n"/>
      <c r="AD470" s="172" t="n"/>
      <c r="AE470" s="172" t="n"/>
      <c r="AG470" s="172" t="n"/>
      <c r="AI470" s="172" t="n"/>
      <c r="AJ470" s="172" t="n"/>
      <c r="AK470" s="172" t="n"/>
      <c r="AL470" s="172" t="n"/>
      <c r="AM470" s="172" t="n"/>
    </row>
    <row r="471">
      <c r="C471" s="18" t="n"/>
      <c r="D471" s="11" t="n"/>
      <c r="G471" s="11" t="n"/>
      <c r="I471" s="11" t="n"/>
      <c r="J471" s="11" t="n"/>
      <c r="K471" s="11" t="n"/>
      <c r="R471" s="172" t="n"/>
      <c r="S471" s="172" t="n"/>
      <c r="T471" s="172" t="n"/>
      <c r="U471" s="172" t="n"/>
      <c r="V471" s="172" t="n"/>
      <c r="W471" s="172" t="n"/>
      <c r="X471" s="172" t="n"/>
      <c r="Y471" s="173" t="n"/>
      <c r="Z471" s="174" t="n"/>
      <c r="AB471" s="172" t="n"/>
      <c r="AC471" s="172" t="n"/>
      <c r="AD471" s="172" t="n"/>
      <c r="AE471" s="172" t="n"/>
      <c r="AG471" s="172" t="n"/>
      <c r="AI471" s="172" t="n"/>
      <c r="AJ471" s="172" t="n"/>
      <c r="AK471" s="172" t="n"/>
      <c r="AL471" s="176" t="n"/>
      <c r="AM471" s="172" t="n"/>
    </row>
    <row r="472">
      <c r="C472" s="18" t="n"/>
      <c r="D472" s="11" t="n"/>
      <c r="G472" s="11" t="n"/>
      <c r="I472" s="11" t="n"/>
      <c r="J472" s="11" t="n"/>
      <c r="K472" s="11" t="n"/>
      <c r="R472" s="172" t="n"/>
      <c r="S472" s="172" t="n"/>
      <c r="T472" s="172" t="n"/>
      <c r="U472" s="172" t="n"/>
      <c r="V472" s="172" t="n"/>
      <c r="W472" s="172" t="n"/>
      <c r="X472" s="172" t="n"/>
      <c r="Y472" s="173" t="n"/>
      <c r="Z472" s="174" t="n"/>
      <c r="AB472" s="172" t="n"/>
      <c r="AC472" s="172" t="n"/>
      <c r="AD472" s="172" t="n"/>
      <c r="AE472" s="172" t="n"/>
      <c r="AG472" s="172" t="n"/>
      <c r="AI472" s="172" t="n"/>
      <c r="AJ472" s="172" t="n"/>
      <c r="AK472" s="172" t="n"/>
      <c r="AL472" s="176" t="n"/>
      <c r="AM472" s="172" t="n"/>
    </row>
    <row r="473">
      <c r="C473" s="18" t="n"/>
      <c r="D473" s="11" t="n"/>
      <c r="G473" s="11" t="n"/>
      <c r="I473" s="11" t="n"/>
      <c r="J473" s="11" t="n"/>
      <c r="K473" s="11" t="n"/>
      <c r="R473" s="172" t="n"/>
      <c r="S473" s="172" t="n"/>
      <c r="T473" s="172" t="n"/>
      <c r="U473" s="172" t="n"/>
      <c r="V473" s="172" t="n"/>
      <c r="W473" s="172" t="n"/>
      <c r="X473" s="172" t="n"/>
      <c r="Y473" s="173" t="n"/>
      <c r="Z473" s="174" t="n"/>
      <c r="AB473" s="172" t="n"/>
      <c r="AC473" s="172" t="n"/>
      <c r="AD473" s="172" t="n"/>
      <c r="AE473" s="172" t="n"/>
      <c r="AG473" s="172" t="n"/>
      <c r="AI473" s="172" t="n"/>
      <c r="AJ473" s="172" t="n"/>
      <c r="AK473" s="172" t="n"/>
      <c r="AL473" s="176" t="n"/>
      <c r="AM473" s="172" t="n"/>
    </row>
    <row r="474">
      <c r="C474" s="18" t="n"/>
      <c r="D474" s="11" t="n"/>
      <c r="G474" s="11" t="n"/>
      <c r="I474" s="11" t="n"/>
      <c r="J474" s="11" t="n"/>
      <c r="K474" s="11" t="n"/>
      <c r="R474" s="172" t="n"/>
      <c r="S474" s="172" t="n"/>
      <c r="T474" s="172" t="n"/>
      <c r="U474" s="172" t="n"/>
      <c r="V474" s="172" t="n"/>
      <c r="W474" s="172" t="n"/>
      <c r="X474" s="172" t="n"/>
      <c r="Y474" s="173" t="n"/>
      <c r="Z474" s="174" t="n"/>
      <c r="AB474" s="172" t="n"/>
      <c r="AC474" s="172" t="n"/>
      <c r="AD474" s="172" t="n"/>
      <c r="AE474" s="172" t="n"/>
      <c r="AG474" s="172" t="n"/>
      <c r="AI474" s="172" t="n"/>
      <c r="AJ474" s="172" t="n"/>
      <c r="AK474" s="172" t="n"/>
      <c r="AL474" s="172" t="n"/>
      <c r="AM474" s="172" t="n"/>
    </row>
    <row r="475">
      <c r="C475" s="18" t="n"/>
      <c r="D475" s="11" t="n"/>
      <c r="G475" s="11" t="n"/>
      <c r="I475" s="11" t="n"/>
      <c r="J475" s="11" t="n"/>
      <c r="K475" s="11" t="n"/>
      <c r="R475" s="172" t="n"/>
      <c r="S475" s="172" t="n"/>
      <c r="T475" s="172" t="n"/>
      <c r="U475" s="172" t="n"/>
      <c r="V475" s="172" t="n"/>
      <c r="W475" s="172" t="n"/>
      <c r="X475" s="172" t="n"/>
      <c r="Y475" s="173" t="n"/>
      <c r="Z475" s="174" t="n"/>
      <c r="AB475" s="172" t="n"/>
      <c r="AC475" s="172" t="n"/>
      <c r="AD475" s="172" t="n"/>
      <c r="AE475" s="172" t="n"/>
      <c r="AG475" s="172" t="n"/>
      <c r="AI475" s="172" t="n"/>
      <c r="AJ475" s="172" t="n"/>
      <c r="AK475" s="172" t="n"/>
      <c r="AL475" s="172" t="n"/>
      <c r="AM475" s="172" t="n"/>
    </row>
    <row r="476">
      <c r="C476" s="18" t="n"/>
      <c r="D476" s="11" t="n"/>
      <c r="G476" s="11" t="n"/>
      <c r="I476" s="11" t="n"/>
      <c r="J476" s="11" t="n"/>
      <c r="K476" s="11" t="n"/>
      <c r="R476" s="172" t="n"/>
      <c r="S476" s="172" t="n"/>
      <c r="T476" s="172" t="n"/>
      <c r="U476" s="172" t="n"/>
      <c r="V476" s="172" t="n"/>
      <c r="W476" s="172" t="n"/>
      <c r="X476" s="172" t="n"/>
      <c r="Y476" s="173" t="n"/>
      <c r="Z476" s="174" t="n"/>
      <c r="AB476" s="172" t="n"/>
      <c r="AC476" s="172" t="n"/>
      <c r="AD476" s="172" t="n"/>
      <c r="AE476" s="172" t="n"/>
      <c r="AG476" s="172" t="n"/>
      <c r="AI476" s="172" t="n"/>
      <c r="AJ476" s="172" t="n"/>
      <c r="AK476" s="172" t="n"/>
      <c r="AL476" s="172" t="n"/>
      <c r="AM476" s="172" t="n"/>
    </row>
    <row r="477">
      <c r="C477" s="18" t="n"/>
      <c r="D477" s="11" t="n"/>
      <c r="G477" s="11" t="n"/>
      <c r="I477" s="11" t="n"/>
      <c r="J477" s="11" t="n"/>
      <c r="K477" s="11" t="n"/>
      <c r="R477" s="172" t="n"/>
      <c r="S477" s="172" t="n"/>
      <c r="T477" s="172" t="n"/>
      <c r="U477" s="172" t="n"/>
      <c r="V477" s="172" t="n"/>
      <c r="W477" s="172" t="n"/>
      <c r="X477" s="172" t="n"/>
      <c r="Y477" s="173" t="n"/>
      <c r="Z477" s="174" t="n"/>
      <c r="AB477" s="172" t="n"/>
      <c r="AC477" s="172" t="n"/>
      <c r="AD477" s="172" t="n"/>
      <c r="AE477" s="172" t="n"/>
      <c r="AG477" s="172" t="n"/>
      <c r="AI477" s="172" t="n"/>
      <c r="AJ477" s="172" t="n"/>
      <c r="AK477" s="172" t="n"/>
      <c r="AL477" s="172" t="n"/>
      <c r="AM477" s="172" t="n"/>
    </row>
    <row r="478">
      <c r="C478" s="18" t="n"/>
      <c r="D478" s="11" t="n"/>
      <c r="G478" s="11" t="n"/>
      <c r="I478" s="11" t="n"/>
      <c r="J478" s="11" t="n"/>
      <c r="K478" s="11" t="n"/>
      <c r="R478" s="172" t="n"/>
      <c r="S478" s="172" t="n"/>
      <c r="T478" s="172" t="n"/>
      <c r="U478" s="172" t="n"/>
      <c r="V478" s="172" t="n"/>
      <c r="W478" s="172" t="n"/>
      <c r="X478" s="172" t="n"/>
      <c r="Y478" s="173" t="n"/>
      <c r="Z478" s="174" t="n"/>
      <c r="AB478" s="172" t="n"/>
      <c r="AC478" s="172" t="n"/>
      <c r="AD478" s="172" t="n"/>
      <c r="AE478" s="172" t="n"/>
      <c r="AG478" s="172" t="n"/>
      <c r="AI478" s="172" t="n"/>
      <c r="AJ478" s="172" t="n"/>
      <c r="AK478" s="172" t="n"/>
      <c r="AL478" s="172" t="n"/>
      <c r="AM478" s="172" t="n"/>
    </row>
    <row r="479">
      <c r="C479" s="18" t="n"/>
      <c r="D479" s="11" t="n"/>
      <c r="G479" s="11" t="n"/>
      <c r="I479" s="11" t="n"/>
      <c r="J479" s="11" t="n"/>
      <c r="K479" s="11" t="n"/>
      <c r="R479" s="172" t="n"/>
      <c r="S479" s="172" t="n"/>
      <c r="T479" s="172" t="n"/>
      <c r="U479" s="172" t="n"/>
      <c r="V479" s="172" t="n"/>
      <c r="W479" s="172" t="n"/>
      <c r="X479" s="172" t="n"/>
      <c r="Y479" s="173" t="n"/>
      <c r="Z479" s="174" t="n"/>
      <c r="AB479" s="172" t="n"/>
      <c r="AC479" s="172" t="n"/>
      <c r="AD479" s="172" t="n"/>
      <c r="AE479" s="172" t="n"/>
      <c r="AG479" s="172" t="n"/>
      <c r="AI479" s="172" t="n"/>
      <c r="AJ479" s="172" t="n"/>
      <c r="AK479" s="172" t="n"/>
      <c r="AL479" s="172" t="n"/>
      <c r="AM479" s="172" t="n"/>
    </row>
    <row r="480">
      <c r="C480" s="18" t="n"/>
      <c r="D480" s="11" t="n"/>
      <c r="G480" s="11" t="n"/>
      <c r="I480" s="11" t="n"/>
      <c r="J480" s="11" t="n"/>
      <c r="K480" s="11" t="n"/>
      <c r="R480" s="172" t="n"/>
      <c r="S480" s="172" t="n"/>
      <c r="T480" s="172" t="n"/>
      <c r="U480" s="172" t="n"/>
      <c r="V480" s="172" t="n"/>
      <c r="W480" s="172" t="n"/>
      <c r="X480" s="172" t="n"/>
      <c r="Y480" s="173" t="n"/>
      <c r="Z480" s="174" t="n"/>
      <c r="AB480" s="172" t="n"/>
      <c r="AC480" s="172" t="n"/>
      <c r="AD480" s="172" t="n"/>
      <c r="AE480" s="172" t="n"/>
      <c r="AG480" s="172" t="n"/>
      <c r="AI480" s="172" t="n"/>
      <c r="AJ480" s="172" t="n"/>
      <c r="AK480" s="172" t="n"/>
      <c r="AL480" s="172" t="n"/>
      <c r="AM480" s="172" t="n"/>
    </row>
    <row r="481">
      <c r="C481" s="18" t="n"/>
      <c r="D481" s="11" t="n"/>
      <c r="G481" s="11" t="n"/>
      <c r="I481" s="11" t="n"/>
      <c r="J481" s="11" t="n"/>
      <c r="K481" s="11" t="n"/>
      <c r="R481" s="172" t="n"/>
      <c r="S481" s="172" t="n"/>
      <c r="T481" s="172" t="n"/>
      <c r="U481" s="172" t="n"/>
      <c r="V481" s="172" t="n"/>
      <c r="W481" s="172" t="n"/>
      <c r="X481" s="172" t="n"/>
      <c r="Y481" s="173" t="n"/>
      <c r="Z481" s="174" t="n"/>
      <c r="AB481" s="172" t="n"/>
      <c r="AC481" s="172" t="n"/>
      <c r="AD481" s="172" t="n"/>
      <c r="AE481" s="172" t="n"/>
      <c r="AG481" s="172" t="n"/>
      <c r="AI481" s="172" t="n"/>
      <c r="AJ481" s="172" t="n"/>
      <c r="AK481" s="172" t="n"/>
      <c r="AL481" s="172" t="n"/>
      <c r="AM481" s="172" t="n"/>
    </row>
    <row r="482">
      <c r="C482" s="18" t="n"/>
      <c r="D482" s="11" t="n"/>
      <c r="G482" s="11" t="n"/>
      <c r="I482" s="11" t="n"/>
      <c r="J482" s="11" t="n"/>
      <c r="K482" s="11" t="n"/>
      <c r="R482" s="172" t="n"/>
      <c r="S482" s="172" t="n"/>
      <c r="T482" s="172" t="n"/>
      <c r="U482" s="172" t="n"/>
      <c r="V482" s="172" t="n"/>
      <c r="W482" s="172" t="n"/>
      <c r="X482" s="172" t="n"/>
      <c r="Y482" s="173" t="n"/>
      <c r="Z482" s="174" t="n"/>
      <c r="AB482" s="172" t="n"/>
      <c r="AC482" s="172" t="n"/>
      <c r="AD482" s="172" t="n"/>
      <c r="AE482" s="172" t="n"/>
      <c r="AG482" s="172" t="n"/>
      <c r="AI482" s="172" t="n"/>
      <c r="AJ482" s="172" t="n"/>
      <c r="AK482" s="172" t="n"/>
      <c r="AL482" s="172" t="n"/>
      <c r="AM482" s="172" t="n"/>
    </row>
    <row r="483">
      <c r="C483" s="18" t="n"/>
      <c r="D483" s="11" t="n"/>
      <c r="G483" s="11" t="n"/>
      <c r="I483" s="11" t="n"/>
      <c r="J483" s="11" t="n"/>
      <c r="K483" s="11" t="n"/>
      <c r="R483" s="172" t="n"/>
      <c r="S483" s="172" t="n"/>
      <c r="T483" s="172" t="n"/>
      <c r="U483" s="172" t="n"/>
      <c r="V483" s="172" t="n"/>
      <c r="W483" s="172" t="n"/>
      <c r="X483" s="172" t="n"/>
      <c r="Y483" s="173" t="n"/>
      <c r="Z483" s="174" t="n"/>
      <c r="AB483" s="172" t="n"/>
      <c r="AC483" s="172" t="n"/>
      <c r="AD483" s="172" t="n"/>
      <c r="AE483" s="172" t="n"/>
      <c r="AG483" s="172" t="n"/>
      <c r="AI483" s="172" t="n"/>
      <c r="AJ483" s="172" t="n"/>
      <c r="AK483" s="172" t="n"/>
      <c r="AL483" s="172" t="n"/>
      <c r="AM483" s="172" t="n"/>
    </row>
    <row r="484">
      <c r="C484" s="18" t="n"/>
      <c r="D484" s="11" t="n"/>
      <c r="G484" s="11" t="n"/>
      <c r="I484" s="11" t="n"/>
      <c r="J484" s="11" t="n"/>
      <c r="K484" s="11" t="n"/>
      <c r="R484" s="172" t="n"/>
      <c r="S484" s="172" t="n"/>
      <c r="T484" s="172" t="n"/>
      <c r="U484" s="172" t="n"/>
      <c r="V484" s="172" t="n"/>
      <c r="W484" s="172" t="n"/>
      <c r="X484" s="172" t="n"/>
      <c r="Y484" s="173" t="n"/>
      <c r="Z484" s="174" t="n"/>
      <c r="AB484" s="172" t="n"/>
      <c r="AC484" s="172" t="n"/>
      <c r="AD484" s="172" t="n"/>
      <c r="AE484" s="172" t="n"/>
      <c r="AG484" s="172" t="n"/>
      <c r="AI484" s="172" t="n"/>
      <c r="AJ484" s="172" t="n"/>
      <c r="AK484" s="172" t="n"/>
      <c r="AL484" s="172" t="n"/>
      <c r="AM484" s="172" t="n"/>
    </row>
    <row r="485">
      <c r="C485" s="18" t="n"/>
      <c r="D485" s="11" t="n"/>
      <c r="G485" s="11" t="n"/>
      <c r="I485" s="11" t="n"/>
      <c r="J485" s="11" t="n"/>
      <c r="K485" s="11" t="n"/>
      <c r="R485" s="172" t="n"/>
      <c r="S485" s="172" t="n"/>
      <c r="T485" s="172" t="n"/>
      <c r="U485" s="172" t="n"/>
      <c r="V485" s="172" t="n"/>
      <c r="W485" s="172" t="n"/>
      <c r="X485" s="172" t="n"/>
      <c r="Y485" s="173" t="n"/>
      <c r="Z485" s="174" t="n"/>
      <c r="AB485" s="172" t="n"/>
      <c r="AC485" s="172" t="n"/>
      <c r="AD485" s="172" t="n"/>
      <c r="AE485" s="172" t="n"/>
      <c r="AG485" s="172" t="n"/>
      <c r="AI485" s="172" t="n"/>
      <c r="AJ485" s="172" t="n"/>
      <c r="AK485" s="172" t="n"/>
      <c r="AL485" s="172" t="n"/>
      <c r="AM485" s="172" t="n"/>
    </row>
    <row r="486">
      <c r="C486" s="18" t="n"/>
      <c r="D486" s="11" t="n"/>
      <c r="G486" s="11" t="n"/>
      <c r="I486" s="11" t="n"/>
      <c r="J486" s="11" t="n"/>
      <c r="K486" s="11" t="n"/>
      <c r="R486" s="172" t="n"/>
      <c r="S486" s="172" t="n"/>
      <c r="T486" s="172" t="n"/>
      <c r="U486" s="172" t="n"/>
      <c r="V486" s="172" t="n"/>
      <c r="W486" s="172" t="n"/>
      <c r="X486" s="172" t="n"/>
      <c r="Y486" s="173" t="n"/>
      <c r="Z486" s="174" t="n"/>
      <c r="AB486" s="172" t="n"/>
      <c r="AC486" s="172" t="n"/>
      <c r="AD486" s="172" t="n"/>
      <c r="AE486" s="172" t="n"/>
      <c r="AG486" s="172" t="n"/>
      <c r="AI486" s="172" t="n"/>
      <c r="AJ486" s="172" t="n"/>
      <c r="AK486" s="172" t="n"/>
      <c r="AL486" s="172" t="n"/>
      <c r="AM486" s="172" t="n"/>
    </row>
    <row r="487">
      <c r="C487" s="18" t="n"/>
      <c r="D487" s="11" t="n"/>
      <c r="G487" s="11" t="n"/>
      <c r="I487" s="11" t="n"/>
      <c r="J487" s="11" t="n"/>
      <c r="K487" s="11" t="n"/>
      <c r="R487" s="172" t="n"/>
      <c r="S487" s="172" t="n"/>
      <c r="T487" s="172" t="n"/>
      <c r="U487" s="172" t="n"/>
      <c r="V487" s="172" t="n"/>
      <c r="W487" s="172" t="n"/>
      <c r="X487" s="172" t="n"/>
      <c r="Y487" s="173" t="n"/>
      <c r="Z487" s="174" t="n"/>
      <c r="AB487" s="172" t="n"/>
      <c r="AC487" s="172" t="n"/>
      <c r="AD487" s="172" t="n"/>
      <c r="AE487" s="172" t="n"/>
      <c r="AG487" s="172" t="n"/>
      <c r="AI487" s="172" t="n"/>
      <c r="AJ487" s="172" t="n"/>
      <c r="AK487" s="172" t="n"/>
      <c r="AL487" s="172" t="n"/>
      <c r="AM487" s="172" t="n"/>
    </row>
    <row r="488">
      <c r="C488" s="18" t="n"/>
      <c r="D488" s="11" t="n"/>
      <c r="G488" s="11" t="n"/>
      <c r="I488" s="11" t="n"/>
      <c r="J488" s="11" t="n"/>
      <c r="K488" s="11" t="n"/>
      <c r="R488" s="172" t="n"/>
      <c r="S488" s="172" t="n"/>
      <c r="T488" s="172" t="n"/>
      <c r="U488" s="172" t="n"/>
      <c r="V488" s="172" t="n"/>
      <c r="W488" s="172" t="n"/>
      <c r="X488" s="172" t="n"/>
      <c r="Y488" s="173" t="n"/>
      <c r="Z488" s="174" t="n"/>
      <c r="AB488" s="172" t="n"/>
      <c r="AC488" s="172" t="n"/>
      <c r="AD488" s="172" t="n"/>
      <c r="AE488" s="172" t="n"/>
      <c r="AG488" s="172" t="n"/>
      <c r="AI488" s="172" t="n"/>
      <c r="AJ488" s="172" t="n"/>
      <c r="AK488" s="172" t="n"/>
      <c r="AL488" s="172" t="n"/>
      <c r="AM488" s="172" t="n"/>
    </row>
    <row r="489">
      <c r="C489" s="18" t="n"/>
      <c r="D489" s="11" t="n"/>
      <c r="G489" s="11" t="n"/>
      <c r="I489" s="11" t="n"/>
      <c r="J489" s="11" t="n"/>
      <c r="K489" s="11" t="n"/>
      <c r="R489" s="172" t="n"/>
      <c r="S489" s="172" t="n"/>
      <c r="T489" s="172" t="n"/>
      <c r="U489" s="172" t="n"/>
      <c r="V489" s="172" t="n"/>
      <c r="W489" s="172" t="n"/>
      <c r="X489" s="172" t="n"/>
      <c r="Y489" s="173" t="n"/>
      <c r="Z489" s="174" t="n"/>
      <c r="AB489" s="172" t="n"/>
      <c r="AC489" s="172" t="n"/>
      <c r="AD489" s="172" t="n"/>
      <c r="AE489" s="172" t="n"/>
      <c r="AG489" s="172" t="n"/>
      <c r="AI489" s="172" t="n"/>
      <c r="AJ489" s="172" t="n"/>
      <c r="AK489" s="172" t="n"/>
      <c r="AL489" s="172" t="n"/>
      <c r="AM489" s="172" t="n"/>
    </row>
    <row r="490">
      <c r="C490" s="18" t="n"/>
      <c r="D490" s="11" t="n"/>
      <c r="G490" s="11" t="n"/>
      <c r="I490" s="11" t="n"/>
      <c r="J490" s="11" t="n"/>
      <c r="K490" s="11" t="n"/>
      <c r="R490" s="172" t="n"/>
      <c r="S490" s="172" t="n"/>
      <c r="T490" s="172" t="n"/>
      <c r="U490" s="172" t="n"/>
      <c r="V490" s="172" t="n"/>
      <c r="W490" s="172" t="n"/>
      <c r="X490" s="172" t="n"/>
      <c r="Y490" s="173" t="n"/>
      <c r="Z490" s="174" t="n"/>
      <c r="AB490" s="172" t="n"/>
      <c r="AC490" s="172" t="n"/>
      <c r="AD490" s="172" t="n"/>
      <c r="AE490" s="172" t="n"/>
      <c r="AG490" s="172" t="n"/>
      <c r="AI490" s="172" t="n"/>
      <c r="AJ490" s="172" t="n"/>
      <c r="AK490" s="172" t="n"/>
      <c r="AL490" s="172" t="n"/>
      <c r="AM490" s="172" t="n"/>
    </row>
    <row r="491">
      <c r="C491" s="18" t="n"/>
      <c r="D491" s="11" t="n"/>
      <c r="G491" s="11" t="n"/>
      <c r="I491" s="11" t="n"/>
      <c r="J491" s="11" t="n"/>
      <c r="K491" s="11" t="n"/>
      <c r="R491" s="172" t="n"/>
      <c r="S491" s="172" t="n"/>
      <c r="T491" s="172" t="n"/>
      <c r="U491" s="172" t="n"/>
      <c r="V491" s="172" t="n"/>
      <c r="W491" s="172" t="n"/>
      <c r="X491" s="172" t="n"/>
      <c r="Y491" s="173" t="n"/>
      <c r="Z491" s="174" t="n"/>
      <c r="AB491" s="172" t="n"/>
      <c r="AC491" s="172" t="n"/>
      <c r="AD491" s="172" t="n"/>
      <c r="AE491" s="172" t="n"/>
      <c r="AG491" s="172" t="n"/>
      <c r="AI491" s="172" t="n"/>
      <c r="AJ491" s="172" t="n"/>
      <c r="AK491" s="172" t="n"/>
      <c r="AL491" s="172" t="n"/>
      <c r="AM491" s="172" t="n"/>
    </row>
    <row r="492">
      <c r="C492" s="18" t="n"/>
      <c r="D492" s="11" t="n"/>
      <c r="G492" s="11" t="n"/>
      <c r="I492" s="11" t="n"/>
      <c r="J492" s="11" t="n"/>
      <c r="K492" s="11" t="n"/>
      <c r="R492" s="172" t="n"/>
      <c r="S492" s="172" t="n"/>
      <c r="T492" s="172" t="n"/>
      <c r="U492" s="172" t="n"/>
      <c r="V492" s="172" t="n"/>
      <c r="W492" s="172" t="n"/>
      <c r="X492" s="172" t="n"/>
      <c r="Y492" s="173" t="n"/>
      <c r="Z492" s="174" t="n"/>
      <c r="AB492" s="172" t="n"/>
      <c r="AC492" s="172" t="n"/>
      <c r="AD492" s="172" t="n"/>
      <c r="AE492" s="172" t="n"/>
      <c r="AG492" s="172" t="n"/>
      <c r="AI492" s="172" t="n"/>
      <c r="AJ492" s="172" t="n"/>
      <c r="AK492" s="172" t="n"/>
      <c r="AL492" s="172" t="n"/>
      <c r="AM492" s="172" t="n"/>
    </row>
    <row r="493">
      <c r="C493" s="18" t="n"/>
      <c r="D493" s="11" t="n"/>
      <c r="G493" s="11" t="n"/>
      <c r="I493" s="11" t="n"/>
      <c r="J493" s="11" t="n"/>
      <c r="K493" s="11" t="n"/>
      <c r="R493" s="172" t="n"/>
      <c r="S493" s="172" t="n"/>
      <c r="T493" s="172" t="n"/>
      <c r="U493" s="172" t="n"/>
      <c r="V493" s="172" t="n"/>
      <c r="W493" s="172" t="n"/>
      <c r="X493" s="172" t="n"/>
      <c r="Y493" s="173" t="n"/>
      <c r="Z493" s="174" t="n"/>
      <c r="AB493" s="172" t="n"/>
      <c r="AC493" s="172" t="n"/>
      <c r="AD493" s="172" t="n"/>
      <c r="AE493" s="172" t="n"/>
      <c r="AG493" s="172" t="n"/>
      <c r="AI493" s="172" t="n"/>
      <c r="AJ493" s="172" t="n"/>
      <c r="AK493" s="172" t="n"/>
      <c r="AL493" s="176" t="n"/>
      <c r="AM493" s="172" t="n"/>
    </row>
    <row r="494">
      <c r="C494" s="18" t="n"/>
      <c r="D494" s="11" t="n"/>
      <c r="G494" s="11" t="n"/>
      <c r="I494" s="11" t="n"/>
      <c r="J494" s="11" t="n"/>
      <c r="K494" s="11" t="n"/>
      <c r="R494" s="172" t="n"/>
      <c r="S494" s="172" t="n"/>
      <c r="T494" s="172" t="n"/>
      <c r="U494" s="172" t="n"/>
      <c r="V494" s="172" t="n"/>
      <c r="W494" s="172" t="n"/>
      <c r="X494" s="172" t="n"/>
      <c r="Y494" s="173" t="n"/>
      <c r="Z494" s="174" t="n"/>
      <c r="AB494" s="172" t="n"/>
      <c r="AC494" s="172" t="n"/>
      <c r="AD494" s="172" t="n"/>
      <c r="AE494" s="172" t="n"/>
      <c r="AG494" s="172" t="n"/>
      <c r="AI494" s="172" t="n"/>
      <c r="AJ494" s="172" t="n"/>
      <c r="AK494" s="172" t="n"/>
      <c r="AL494" s="172" t="n"/>
      <c r="AM494" s="172" t="n"/>
    </row>
    <row r="495">
      <c r="C495" s="18" t="n"/>
      <c r="D495" s="11" t="n"/>
      <c r="G495" s="11" t="n"/>
      <c r="I495" s="11" t="n"/>
      <c r="J495" s="11" t="n"/>
      <c r="K495" s="11" t="n"/>
      <c r="R495" s="172" t="n"/>
      <c r="S495" s="172" t="n"/>
      <c r="T495" s="172" t="n"/>
      <c r="U495" s="172" t="n"/>
      <c r="V495" s="172" t="n"/>
      <c r="W495" s="172" t="n"/>
      <c r="X495" s="172" t="n"/>
      <c r="Y495" s="173" t="n"/>
      <c r="Z495" s="174" t="n"/>
      <c r="AB495" s="172" t="n"/>
      <c r="AC495" s="172" t="n"/>
      <c r="AD495" s="172" t="n"/>
      <c r="AE495" s="172" t="n"/>
      <c r="AG495" s="172" t="n"/>
      <c r="AI495" s="172" t="n"/>
      <c r="AJ495" s="172" t="n"/>
      <c r="AK495" s="172" t="n"/>
      <c r="AL495" s="172" t="n"/>
      <c r="AM495" s="172" t="n"/>
    </row>
    <row r="496">
      <c r="C496" s="18" t="n"/>
      <c r="D496" s="11" t="n"/>
      <c r="G496" s="11" t="n"/>
      <c r="I496" s="11" t="n"/>
      <c r="J496" s="11" t="n"/>
      <c r="K496" s="11" t="n"/>
      <c r="R496" s="172" t="n"/>
      <c r="S496" s="172" t="n"/>
      <c r="T496" s="172" t="n"/>
      <c r="U496" s="172" t="n"/>
      <c r="V496" s="172" t="n"/>
      <c r="W496" s="172" t="n"/>
      <c r="X496" s="172" t="n"/>
      <c r="Y496" s="173" t="n"/>
      <c r="Z496" s="174" t="n"/>
      <c r="AB496" s="172" t="n"/>
      <c r="AC496" s="172" t="n"/>
      <c r="AD496" s="172" t="n"/>
      <c r="AE496" s="172" t="n"/>
      <c r="AG496" s="172" t="n"/>
      <c r="AI496" s="172" t="n"/>
      <c r="AJ496" s="172" t="n"/>
      <c r="AK496" s="172" t="n"/>
      <c r="AL496" s="172" t="n"/>
      <c r="AM496" s="172" t="n"/>
    </row>
    <row r="497">
      <c r="C497" s="18" t="n"/>
      <c r="D497" s="11" t="n"/>
      <c r="G497" s="11" t="n"/>
      <c r="I497" s="11" t="n"/>
      <c r="J497" s="11" t="n"/>
      <c r="K497" s="11" t="n"/>
      <c r="R497" s="172" t="n"/>
      <c r="S497" s="172" t="n"/>
      <c r="T497" s="172" t="n"/>
      <c r="U497" s="172" t="n"/>
      <c r="V497" s="172" t="n"/>
      <c r="W497" s="172" t="n"/>
      <c r="X497" s="172" t="n"/>
      <c r="Y497" s="173" t="n"/>
      <c r="Z497" s="174" t="n"/>
      <c r="AB497" s="172" t="n"/>
      <c r="AC497" s="172" t="n"/>
      <c r="AD497" s="172" t="n"/>
      <c r="AE497" s="172" t="n"/>
      <c r="AG497" s="172" t="n"/>
      <c r="AI497" s="172" t="n"/>
      <c r="AJ497" s="172" t="n"/>
      <c r="AK497" s="172" t="n"/>
      <c r="AL497" s="172" t="n"/>
      <c r="AM497" s="172" t="n"/>
    </row>
    <row r="498">
      <c r="C498" s="18" t="n"/>
      <c r="D498" s="11" t="n"/>
      <c r="G498" s="11" t="n"/>
      <c r="I498" s="11" t="n"/>
      <c r="J498" s="11" t="n"/>
      <c r="K498" s="11" t="n"/>
      <c r="R498" s="172" t="n"/>
      <c r="S498" s="172" t="n"/>
      <c r="T498" s="172" t="n"/>
      <c r="U498" s="172" t="n"/>
      <c r="V498" s="172" t="n"/>
      <c r="W498" s="172" t="n"/>
      <c r="X498" s="172" t="n"/>
      <c r="Y498" s="173" t="n"/>
      <c r="Z498" s="174" t="n"/>
      <c r="AB498" s="172" t="n"/>
      <c r="AC498" s="172" t="n"/>
      <c r="AD498" s="172" t="n"/>
      <c r="AE498" s="172" t="n"/>
      <c r="AG498" s="172" t="n"/>
      <c r="AI498" s="172" t="n"/>
      <c r="AJ498" s="172" t="n"/>
      <c r="AK498" s="172" t="n"/>
      <c r="AL498" s="172" t="n"/>
      <c r="AM498" s="172" t="n"/>
    </row>
    <row r="499">
      <c r="C499" s="18" t="n"/>
      <c r="D499" s="11" t="n"/>
      <c r="G499" s="11" t="n"/>
      <c r="I499" s="11" t="n"/>
      <c r="J499" s="11" t="n"/>
      <c r="K499" s="11" t="n"/>
      <c r="R499" s="172" t="n"/>
      <c r="S499" s="172" t="n"/>
      <c r="T499" s="172" t="n"/>
      <c r="U499" s="172" t="n"/>
      <c r="V499" s="172" t="n"/>
      <c r="W499" s="172" t="n"/>
      <c r="X499" s="172" t="n"/>
      <c r="Y499" s="173" t="n"/>
      <c r="Z499" s="174" t="n"/>
      <c r="AB499" s="172" t="n"/>
      <c r="AC499" s="172" t="n"/>
      <c r="AD499" s="172" t="n"/>
      <c r="AE499" s="172" t="n"/>
      <c r="AG499" s="172" t="n"/>
      <c r="AI499" s="172" t="n"/>
      <c r="AJ499" s="172" t="n"/>
      <c r="AK499" s="172" t="n"/>
      <c r="AL499" s="172" t="n"/>
      <c r="AM499" s="172" t="n"/>
    </row>
    <row r="500">
      <c r="C500" s="18" t="n"/>
      <c r="D500" s="11" t="n"/>
      <c r="G500" s="11" t="n"/>
      <c r="I500" s="11" t="n"/>
      <c r="J500" s="11" t="n"/>
      <c r="K500" s="11" t="n"/>
      <c r="R500" s="172" t="n"/>
      <c r="S500" s="172" t="n"/>
      <c r="T500" s="172" t="n"/>
      <c r="U500" s="172" t="n"/>
      <c r="V500" s="172" t="n"/>
      <c r="W500" s="172" t="n"/>
      <c r="X500" s="172" t="n"/>
      <c r="Y500" s="173" t="n"/>
      <c r="Z500" s="174" t="n"/>
      <c r="AB500" s="172" t="n"/>
      <c r="AC500" s="172" t="n"/>
      <c r="AD500" s="172" t="n"/>
      <c r="AE500" s="172" t="n"/>
      <c r="AG500" s="172" t="n"/>
      <c r="AI500" s="172" t="n"/>
      <c r="AJ500" s="172" t="n"/>
      <c r="AK500" s="172" t="n"/>
      <c r="AL500" s="172" t="n"/>
      <c r="AM500" s="172" t="n"/>
    </row>
    <row r="501">
      <c r="C501" s="18" t="n"/>
      <c r="D501" s="11" t="n"/>
      <c r="G501" s="11" t="n"/>
      <c r="I501" s="11" t="n"/>
      <c r="J501" s="11" t="n"/>
      <c r="K501" s="11" t="n"/>
      <c r="R501" s="172" t="n"/>
      <c r="S501" s="172" t="n"/>
      <c r="T501" s="172" t="n"/>
      <c r="U501" s="172" t="n"/>
      <c r="V501" s="172" t="n"/>
      <c r="W501" s="172" t="n"/>
      <c r="X501" s="172" t="n"/>
      <c r="Y501" s="173" t="n"/>
      <c r="Z501" s="174" t="n"/>
      <c r="AB501" s="172" t="n"/>
      <c r="AC501" s="172" t="n"/>
      <c r="AD501" s="172" t="n"/>
      <c r="AE501" s="172" t="n"/>
      <c r="AG501" s="172" t="n"/>
      <c r="AI501" s="172" t="n"/>
      <c r="AJ501" s="172" t="n"/>
      <c r="AK501" s="172" t="n"/>
      <c r="AL501" s="172" t="n"/>
      <c r="AM501" s="172" t="n"/>
    </row>
    <row r="502">
      <c r="C502" s="18" t="n"/>
      <c r="D502" s="11" t="n"/>
      <c r="G502" s="11" t="n"/>
      <c r="I502" s="11" t="n"/>
      <c r="J502" s="11" t="n"/>
      <c r="K502" s="11" t="n"/>
      <c r="R502" s="172" t="n"/>
      <c r="S502" s="172" t="n"/>
      <c r="T502" s="172" t="n"/>
      <c r="U502" s="172" t="n"/>
      <c r="V502" s="172" t="n"/>
      <c r="W502" s="172" t="n"/>
      <c r="X502" s="172" t="n"/>
      <c r="Y502" s="173" t="n"/>
      <c r="Z502" s="174" t="n"/>
      <c r="AB502" s="172" t="n"/>
      <c r="AC502" s="172" t="n"/>
      <c r="AD502" s="172" t="n"/>
      <c r="AE502" s="172" t="n"/>
      <c r="AG502" s="172" t="n"/>
      <c r="AI502" s="172" t="n"/>
      <c r="AJ502" s="172" t="n"/>
      <c r="AK502" s="172" t="n"/>
      <c r="AL502" s="172" t="n"/>
      <c r="AM502" s="172" t="n"/>
    </row>
    <row r="503">
      <c r="C503" s="18" t="n"/>
      <c r="D503" s="11" t="n"/>
      <c r="G503" s="11" t="n"/>
      <c r="I503" s="11" t="n"/>
      <c r="J503" s="11" t="n"/>
      <c r="K503" s="11" t="n"/>
      <c r="R503" s="172" t="n"/>
      <c r="S503" s="172" t="n"/>
      <c r="T503" s="172" t="n"/>
      <c r="U503" s="172" t="n"/>
      <c r="V503" s="172" t="n"/>
      <c r="W503" s="172" t="n"/>
      <c r="X503" s="172" t="n"/>
      <c r="Y503" s="173" t="n"/>
      <c r="Z503" s="174" t="n"/>
      <c r="AB503" s="172" t="n"/>
      <c r="AC503" s="172" t="n"/>
      <c r="AD503" s="172" t="n"/>
      <c r="AE503" s="172" t="n"/>
      <c r="AG503" s="172" t="n"/>
      <c r="AI503" s="172" t="n"/>
      <c r="AJ503" s="172" t="n"/>
      <c r="AK503" s="172" t="n"/>
      <c r="AL503" s="172" t="n"/>
      <c r="AM503" s="172" t="n"/>
    </row>
    <row r="504">
      <c r="C504" s="18" t="n"/>
      <c r="D504" s="11" t="n"/>
      <c r="G504" s="11" t="n"/>
      <c r="I504" s="11" t="n"/>
      <c r="J504" s="11" t="n"/>
      <c r="K504" s="11" t="n"/>
      <c r="R504" s="172" t="n"/>
      <c r="S504" s="172" t="n"/>
      <c r="T504" s="172" t="n"/>
      <c r="U504" s="172" t="n"/>
      <c r="V504" s="172" t="n"/>
      <c r="W504" s="172" t="n"/>
      <c r="X504" s="172" t="n"/>
      <c r="Y504" s="173" t="n"/>
      <c r="Z504" s="174" t="n"/>
      <c r="AB504" s="172" t="n"/>
      <c r="AC504" s="172" t="n"/>
      <c r="AD504" s="172" t="n"/>
      <c r="AE504" s="172" t="n"/>
      <c r="AG504" s="172" t="n"/>
      <c r="AI504" s="172" t="n"/>
      <c r="AJ504" s="172" t="n"/>
      <c r="AK504" s="172" t="n"/>
      <c r="AL504" s="172" t="n"/>
      <c r="AM504" s="172" t="n"/>
    </row>
    <row r="505">
      <c r="C505" s="18" t="n"/>
      <c r="D505" s="11" t="n"/>
      <c r="G505" s="11" t="n"/>
      <c r="I505" s="11" t="n"/>
      <c r="J505" s="11" t="n"/>
      <c r="K505" s="11" t="n"/>
      <c r="R505" s="172" t="n"/>
      <c r="S505" s="172" t="n"/>
      <c r="T505" s="172" t="n"/>
      <c r="U505" s="172" t="n"/>
      <c r="V505" s="172" t="n"/>
      <c r="W505" s="172" t="n"/>
      <c r="X505" s="172" t="n"/>
      <c r="Y505" s="173" t="n"/>
      <c r="Z505" s="174" t="n"/>
      <c r="AB505" s="172" t="n"/>
      <c r="AC505" s="172" t="n"/>
      <c r="AD505" s="172" t="n"/>
      <c r="AE505" s="172" t="n"/>
      <c r="AG505" s="172" t="n"/>
      <c r="AI505" s="172" t="n"/>
      <c r="AJ505" s="172" t="n"/>
      <c r="AK505" s="172" t="n"/>
      <c r="AL505" s="172" t="n"/>
      <c r="AM505" s="172" t="n"/>
    </row>
    <row r="506">
      <c r="C506" s="18" t="n"/>
      <c r="D506" s="11" t="n"/>
      <c r="G506" s="11" t="n"/>
      <c r="I506" s="11" t="n"/>
      <c r="J506" s="11" t="n"/>
      <c r="K506" s="11" t="n"/>
      <c r="R506" s="172" t="n"/>
      <c r="S506" s="172" t="n"/>
      <c r="T506" s="172" t="n"/>
      <c r="U506" s="172" t="n"/>
      <c r="V506" s="172" t="n"/>
      <c r="W506" s="172" t="n"/>
      <c r="X506" s="172" t="n"/>
      <c r="Y506" s="173" t="n"/>
      <c r="Z506" s="174" t="n"/>
      <c r="AB506" s="172" t="n"/>
      <c r="AC506" s="172" t="n"/>
      <c r="AD506" s="172" t="n"/>
      <c r="AE506" s="172" t="n"/>
      <c r="AG506" s="172" t="n"/>
      <c r="AI506" s="172" t="n"/>
      <c r="AJ506" s="172" t="n"/>
      <c r="AK506" s="172" t="n"/>
      <c r="AL506" s="172" t="n"/>
      <c r="AM506" s="172" t="n"/>
    </row>
    <row r="507">
      <c r="C507" s="18" t="n"/>
      <c r="D507" s="11" t="n"/>
      <c r="G507" s="11" t="n"/>
      <c r="I507" s="11" t="n"/>
      <c r="J507" s="11" t="n"/>
      <c r="K507" s="11" t="n"/>
      <c r="R507" s="172" t="n"/>
      <c r="S507" s="172" t="n"/>
      <c r="T507" s="172" t="n"/>
      <c r="U507" s="172" t="n"/>
      <c r="V507" s="172" t="n"/>
      <c r="W507" s="172" t="n"/>
      <c r="X507" s="172" t="n"/>
      <c r="Y507" s="173" t="n"/>
      <c r="Z507" s="174" t="n"/>
      <c r="AB507" s="172" t="n"/>
      <c r="AC507" s="172" t="n"/>
      <c r="AD507" s="172" t="n"/>
      <c r="AE507" s="172" t="n"/>
      <c r="AG507" s="172" t="n"/>
      <c r="AI507" s="172" t="n"/>
      <c r="AJ507" s="172" t="n"/>
      <c r="AK507" s="172" t="n"/>
      <c r="AL507" s="172" t="n"/>
      <c r="AM507" s="172" t="n"/>
    </row>
    <row r="508">
      <c r="C508" s="18" t="n"/>
      <c r="D508" s="11" t="n"/>
      <c r="G508" s="11" t="n"/>
      <c r="I508" s="11" t="n"/>
      <c r="J508" s="11" t="n"/>
      <c r="K508" s="11" t="n"/>
      <c r="R508" s="172" t="n"/>
      <c r="S508" s="172" t="n"/>
      <c r="T508" s="172" t="n"/>
      <c r="U508" s="172" t="n"/>
      <c r="V508" s="172" t="n"/>
      <c r="W508" s="172" t="n"/>
      <c r="X508" s="172" t="n"/>
      <c r="Y508" s="173" t="n"/>
      <c r="Z508" s="174" t="n"/>
      <c r="AB508" s="172" t="n"/>
      <c r="AC508" s="172" t="n"/>
      <c r="AD508" s="172" t="n"/>
      <c r="AE508" s="172" t="n"/>
      <c r="AG508" s="172" t="n"/>
      <c r="AI508" s="172" t="n"/>
      <c r="AJ508" s="172" t="n"/>
      <c r="AK508" s="172" t="n"/>
      <c r="AL508" s="172" t="n"/>
      <c r="AM508" s="172" t="n"/>
    </row>
    <row r="509">
      <c r="C509" s="18" t="n"/>
      <c r="D509" s="11" t="n"/>
      <c r="G509" s="11" t="n"/>
      <c r="I509" s="11" t="n"/>
      <c r="J509" s="11" t="n"/>
      <c r="K509" s="11" t="n"/>
      <c r="R509" s="172" t="n"/>
      <c r="S509" s="172" t="n"/>
      <c r="T509" s="172" t="n"/>
      <c r="U509" s="172" t="n"/>
      <c r="V509" s="172" t="n"/>
      <c r="W509" s="172" t="n"/>
      <c r="X509" s="172" t="n"/>
      <c r="Y509" s="173" t="n"/>
      <c r="Z509" s="174" t="n"/>
      <c r="AB509" s="172" t="n"/>
      <c r="AC509" s="172" t="n"/>
      <c r="AD509" s="172" t="n"/>
      <c r="AE509" s="172" t="n"/>
      <c r="AG509" s="172" t="n"/>
      <c r="AI509" s="172" t="n"/>
      <c r="AJ509" s="172" t="n"/>
      <c r="AK509" s="172" t="n"/>
      <c r="AL509" s="172" t="n"/>
      <c r="AM509" s="172" t="n"/>
      <c r="AO509" s="175" t="n"/>
    </row>
    <row r="510">
      <c r="C510" s="18" t="n"/>
      <c r="D510" s="11" t="n"/>
      <c r="G510" s="11" t="n"/>
      <c r="I510" s="11" t="n"/>
      <c r="J510" s="11" t="n"/>
      <c r="K510" s="11" t="n"/>
      <c r="R510" s="172" t="n"/>
      <c r="S510" s="172" t="n"/>
      <c r="T510" s="172" t="n"/>
      <c r="U510" s="172" t="n"/>
      <c r="V510" s="172" t="n"/>
      <c r="W510" s="172" t="n"/>
      <c r="X510" s="172" t="n"/>
      <c r="Y510" s="173" t="n"/>
      <c r="Z510" s="174" t="n"/>
      <c r="AB510" s="172" t="n"/>
      <c r="AC510" s="172" t="n"/>
      <c r="AD510" s="172" t="n"/>
      <c r="AE510" s="172" t="n"/>
      <c r="AG510" s="172" t="n"/>
      <c r="AI510" s="172" t="n"/>
      <c r="AJ510" s="172" t="n"/>
      <c r="AK510" s="172" t="n"/>
      <c r="AL510" s="172" t="n"/>
      <c r="AM510" s="172" t="n"/>
      <c r="AO510" s="175" t="n"/>
    </row>
    <row r="514">
      <c r="E514" s="115" t="n"/>
      <c r="F514" s="115" t="n"/>
      <c r="G514" s="115" t="n"/>
      <c r="H514" s="115" t="n"/>
      <c r="I514" s="145" t="n"/>
      <c r="J514" s="115" t="n"/>
      <c r="K514" s="115" t="n"/>
      <c r="L514" s="115" t="n"/>
      <c r="M514" s="115" t="n"/>
      <c r="N514" s="115" t="n"/>
      <c r="O514" s="50" t="n"/>
      <c r="P514" s="115" t="n"/>
      <c r="Q514" s="115" t="n"/>
      <c r="R514" s="115" t="n"/>
      <c r="AJ514" s="181" t="n"/>
    </row>
  </sheetData>
  <pageMargins left="0.511811024" right="0.511811024" top="0.787401575" bottom="0.787401575" header="0.31496062" footer="0.31496062"/>
  <pageSetup orientation="portrait" paperSize="9"/>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outlinePr summaryBelow="1" summaryRight="1"/>
    <pageSetUpPr/>
  </sheetPr>
  <dimension ref="G1:L80"/>
  <sheetViews>
    <sheetView topLeftCell="C1" workbookViewId="0">
      <selection activeCell="L4" sqref="L4"/>
    </sheetView>
  </sheetViews>
  <sheetFormatPr baseColWidth="8" defaultRowHeight="15"/>
  <cols>
    <col width="25.42578125" bestFit="1" customWidth="1" min="7" max="7"/>
    <col width="49.42578125" customWidth="1" style="1" min="8" max="8"/>
    <col width="35.85546875" customWidth="1" min="9" max="9"/>
    <col width="12.28515625" customWidth="1" min="10" max="10"/>
    <col width="12.85546875" customWidth="1" min="11" max="11"/>
    <col width="10.28515625" bestFit="1" customWidth="1" min="12" max="12"/>
    <col width="8.85546875" customWidth="1" style="182" min="40" max="40"/>
  </cols>
  <sheetData>
    <row r="1" ht="15.75" customHeight="1">
      <c r="H1" s="138" t="n">
        <v>45962</v>
      </c>
    </row>
    <row r="2" ht="15.75" customHeight="1">
      <c r="H2" s="170" t="inlineStr">
        <is>
          <t>28.950.783-9</t>
        </is>
      </c>
    </row>
    <row r="3" ht="15.75" customHeight="1">
      <c r="H3" s="170" t="inlineStr">
        <is>
          <t>08.833.844/0004-78</t>
        </is>
      </c>
    </row>
    <row r="4" ht="15.75" customHeight="1">
      <c r="H4" s="170" t="n"/>
    </row>
    <row r="5">
      <c r="G5" t="inlineStr">
        <is>
          <t>nº</t>
        </is>
      </c>
      <c r="H5" t="inlineStr">
        <is>
          <t>CHAVE DE ACESSO</t>
        </is>
      </c>
      <c r="I5" t="inlineStr">
        <is>
          <t>nome</t>
        </is>
      </c>
      <c r="J5" t="inlineStr">
        <is>
          <t>data</t>
        </is>
      </c>
      <c r="K5" t="inlineStr">
        <is>
          <t>icms</t>
        </is>
      </c>
      <c r="L5" s="183">
        <f>SUM(K6:K72)</f>
        <v/>
      </c>
    </row>
    <row r="6">
      <c r="G6" s="148">
        <f>_xlfn.XLOOKUP(H6,RegimeEspecial!D:D,RegimeEspecial!E:E,"não achei",0,1)</f>
        <v/>
      </c>
      <c r="H6" s="148">
        <f t="array" ref="H6:H66">_xlfn.UNIQUE(tabRegEsp[CHAVE DE ACESSO],FALSE)</f>
        <v/>
      </c>
      <c r="I6" s="148">
        <f>_xlfn.XLOOKUP(H6,RegimeEspecial!D:D,RegimeEspecial!F:F,"não achei",0,1)</f>
        <v/>
      </c>
      <c r="J6" s="149">
        <f>_xlfn.XLOOKUP(H6,RegimeEspecial!D:D,RegimeEspecial!C:C,"não achei",0,1)</f>
        <v/>
      </c>
      <c r="K6" s="184">
        <f>SUMIFS(RegimeEspecial!AL:AL,RegimeEspecial!D:D,Planilha1!H6,RegimeEspecial!E:E,Planilha1!G6)</f>
        <v/>
      </c>
      <c r="L6" s="151" t="n"/>
    </row>
    <row r="7">
      <c r="G7" s="148">
        <f>_xlfn.XLOOKUP(H7,RegimeEspecial!D:D,RegimeEspecial!E:E,"não achei",0,1)</f>
        <v/>
      </c>
      <c r="H7" s="146">
        <f/>
        <v/>
      </c>
      <c r="I7" s="148">
        <f>_xlfn.XLOOKUP(H7,RegimeEspecial!D:D,RegimeEspecial!F:F,"não achei",0,1)</f>
        <v/>
      </c>
      <c r="J7" s="149">
        <f>_xlfn.XLOOKUP(H7,RegimeEspecial!D:D,RegimeEspecial!C:C,"não achei",0,1)</f>
        <v/>
      </c>
      <c r="K7" s="184">
        <f>SUMIFS(RegimeEspecial!AL:AL,RegimeEspecial!D:D,Planilha1!H7,RegimeEspecial!E:E,Planilha1!G7)</f>
        <v/>
      </c>
      <c r="L7" s="151" t="n"/>
    </row>
    <row r="8">
      <c r="G8" s="148">
        <f>_xlfn.XLOOKUP(H8,RegimeEspecial!D:D,RegimeEspecial!E:E,"não achei",0,1)</f>
        <v/>
      </c>
      <c r="H8" s="11">
        <f/>
        <v/>
      </c>
      <c r="I8" s="148">
        <f>_xlfn.XLOOKUP(H8,RegimeEspecial!D:D,RegimeEspecial!F:F,"não achei",0,1)</f>
        <v/>
      </c>
      <c r="J8" s="149">
        <f>_xlfn.XLOOKUP(H8,RegimeEspecial!D:D,RegimeEspecial!C:C,"não achei",0,1)</f>
        <v/>
      </c>
      <c r="K8" s="184">
        <f>SUMIFS(RegimeEspecial!AL:AL,RegimeEspecial!D:D,Planilha1!H8,RegimeEspecial!E:E,Planilha1!G8)</f>
        <v/>
      </c>
      <c r="L8" s="151" t="n"/>
    </row>
    <row r="9">
      <c r="G9" s="148">
        <f>_xlfn.XLOOKUP(H9,RegimeEspecial!D:D,RegimeEspecial!E:E,"não achei",0,1)</f>
        <v/>
      </c>
      <c r="H9" s="11">
        <f/>
        <v/>
      </c>
      <c r="I9" s="148">
        <f>_xlfn.XLOOKUP(H9,RegimeEspecial!D:D,RegimeEspecial!F:F,"não achei",0,1)</f>
        <v/>
      </c>
      <c r="J9" s="149">
        <f>_xlfn.XLOOKUP(H9,RegimeEspecial!D:D,RegimeEspecial!C:C,"não achei",0,1)</f>
        <v/>
      </c>
      <c r="K9" s="184">
        <f>SUMIFS(RegimeEspecial!AL:AL,RegimeEspecial!D:D,Planilha1!H9,RegimeEspecial!E:E,Planilha1!G9)</f>
        <v/>
      </c>
      <c r="L9" s="151" t="n"/>
    </row>
    <row r="10">
      <c r="G10" s="148">
        <f>_xlfn.XLOOKUP(H10,RegimeEspecial!D:D,RegimeEspecial!E:E,"não achei",0,1)</f>
        <v/>
      </c>
      <c r="H10" s="11">
        <f/>
        <v/>
      </c>
      <c r="I10" s="148">
        <f>_xlfn.XLOOKUP(H10,RegimeEspecial!D:D,RegimeEspecial!F:F,"não achei",0,1)</f>
        <v/>
      </c>
      <c r="J10" s="149">
        <f>_xlfn.XLOOKUP(H10,RegimeEspecial!D:D,RegimeEspecial!C:C,"não achei",0,1)</f>
        <v/>
      </c>
      <c r="K10" s="184">
        <f>SUMIFS(RegimeEspecial!AL:AL,RegimeEspecial!D:D,Planilha1!H10,RegimeEspecial!E:E,Planilha1!G10)</f>
        <v/>
      </c>
      <c r="L10" s="151" t="n"/>
    </row>
    <row r="11">
      <c r="G11" s="148">
        <f>_xlfn.XLOOKUP(H11,RegimeEspecial!D:D,RegimeEspecial!E:E,"não achei",0,1)</f>
        <v/>
      </c>
      <c r="H11" s="11">
        <f/>
        <v/>
      </c>
      <c r="I11" s="148">
        <f>_xlfn.XLOOKUP(H11,RegimeEspecial!D:D,RegimeEspecial!F:F,"não achei",0,1)</f>
        <v/>
      </c>
      <c r="J11" s="149">
        <f>_xlfn.XLOOKUP(H11,RegimeEspecial!D:D,RegimeEspecial!C:C,"não achei",0,1)</f>
        <v/>
      </c>
      <c r="K11" s="184">
        <f>SUMIFS(RegimeEspecial!AL:AL,RegimeEspecial!D:D,Planilha1!H11,RegimeEspecial!E:E,Planilha1!G11)</f>
        <v/>
      </c>
      <c r="L11" s="151" t="n"/>
    </row>
    <row r="12">
      <c r="G12" s="148">
        <f>_xlfn.XLOOKUP(H12,RegimeEspecial!D:D,RegimeEspecial!E:E,"não achei",0,1)</f>
        <v/>
      </c>
      <c r="H12" s="11">
        <f/>
        <v/>
      </c>
      <c r="I12" s="148">
        <f>_xlfn.XLOOKUP(H12,RegimeEspecial!D:D,RegimeEspecial!F:F,"não achei",0,1)</f>
        <v/>
      </c>
      <c r="J12" s="149">
        <f>_xlfn.XLOOKUP(H12,RegimeEspecial!D:D,RegimeEspecial!C:C,"não achei",0,1)</f>
        <v/>
      </c>
      <c r="K12" s="184">
        <f>SUMIFS(RegimeEspecial!AL:AL,RegimeEspecial!D:D,Planilha1!H12,RegimeEspecial!E:E,Planilha1!G12)</f>
        <v/>
      </c>
      <c r="L12" s="151" t="n"/>
    </row>
    <row r="13">
      <c r="G13" s="148">
        <f>_xlfn.XLOOKUP(H13,RegimeEspecial!D:D,RegimeEspecial!E:E,"não achei",0,1)</f>
        <v/>
      </c>
      <c r="H13" s="11">
        <f/>
        <v/>
      </c>
      <c r="I13" s="148">
        <f>_xlfn.XLOOKUP(H13,RegimeEspecial!D:D,RegimeEspecial!F:F,"não achei",0,1)</f>
        <v/>
      </c>
      <c r="J13" s="149">
        <f>_xlfn.XLOOKUP(H13,RegimeEspecial!D:D,RegimeEspecial!C:C,"não achei",0,1)</f>
        <v/>
      </c>
      <c r="K13" s="184">
        <f>SUMIFS(RegimeEspecial!AL:AL,RegimeEspecial!D:D,Planilha1!H13,RegimeEspecial!E:E,Planilha1!G13)</f>
        <v/>
      </c>
      <c r="L13" s="151" t="n"/>
    </row>
    <row r="14">
      <c r="G14" s="148">
        <f>_xlfn.XLOOKUP(H14,RegimeEspecial!D:D,RegimeEspecial!E:E,"não achei",0,1)</f>
        <v/>
      </c>
      <c r="H14" s="11">
        <f/>
        <v/>
      </c>
      <c r="I14" s="148">
        <f>_xlfn.XLOOKUP(H14,RegimeEspecial!D:D,RegimeEspecial!F:F,"não achei",0,1)</f>
        <v/>
      </c>
      <c r="J14" s="149">
        <f>_xlfn.XLOOKUP(H14,RegimeEspecial!D:D,RegimeEspecial!C:C,"não achei",0,1)</f>
        <v/>
      </c>
      <c r="K14" s="184">
        <f>SUMIFS(RegimeEspecial!AL:AL,RegimeEspecial!D:D,Planilha1!H14,RegimeEspecial!E:E,Planilha1!G14)</f>
        <v/>
      </c>
      <c r="L14" s="151" t="n"/>
    </row>
    <row r="15">
      <c r="G15" s="148">
        <f>_xlfn.XLOOKUP(H15,RegimeEspecial!D:D,RegimeEspecial!E:E,"não achei",0,1)</f>
        <v/>
      </c>
      <c r="H15" s="11">
        <f/>
        <v/>
      </c>
      <c r="I15" s="148">
        <f>_xlfn.XLOOKUP(H15,RegimeEspecial!D:D,RegimeEspecial!F:F,"não achei",0,1)</f>
        <v/>
      </c>
      <c r="J15" s="149">
        <f>_xlfn.XLOOKUP(H15,RegimeEspecial!D:D,RegimeEspecial!C:C,"não achei",0,1)</f>
        <v/>
      </c>
      <c r="K15" s="184">
        <f>SUMIFS(RegimeEspecial!AL:AL,RegimeEspecial!D:D,Planilha1!H15,RegimeEspecial!E:E,Planilha1!G15)</f>
        <v/>
      </c>
      <c r="L15" s="151" t="n"/>
    </row>
    <row r="16">
      <c r="G16" s="148">
        <f>_xlfn.XLOOKUP(H16,RegimeEspecial!D:D,RegimeEspecial!E:E,"não achei",0,1)</f>
        <v/>
      </c>
      <c r="H16" s="11">
        <f/>
        <v/>
      </c>
      <c r="I16" s="148">
        <f>_xlfn.XLOOKUP(H16,RegimeEspecial!D:D,RegimeEspecial!F:F,"não achei",0,1)</f>
        <v/>
      </c>
      <c r="J16" s="149">
        <f>_xlfn.XLOOKUP(H16,RegimeEspecial!D:D,RegimeEspecial!C:C,"não achei",0,1)</f>
        <v/>
      </c>
      <c r="K16" s="184">
        <f>SUMIFS(RegimeEspecial!AL:AL,RegimeEspecial!D:D,Planilha1!H16,RegimeEspecial!E:E,Planilha1!G16)</f>
        <v/>
      </c>
      <c r="L16" s="151" t="n"/>
    </row>
    <row r="17">
      <c r="G17" s="148">
        <f>_xlfn.XLOOKUP(H17,RegimeEspecial!D:D,RegimeEspecial!E:E,"não achei",0,1)</f>
        <v/>
      </c>
      <c r="H17" s="11">
        <f/>
        <v/>
      </c>
      <c r="I17" s="148">
        <f>_xlfn.XLOOKUP(H17,RegimeEspecial!D:D,RegimeEspecial!F:F,"não achei",0,1)</f>
        <v/>
      </c>
      <c r="J17" s="149">
        <f>_xlfn.XLOOKUP(H17,RegimeEspecial!D:D,RegimeEspecial!C:C,"não achei",0,1)</f>
        <v/>
      </c>
      <c r="K17" s="184">
        <f>SUMIFS(RegimeEspecial!AL:AL,RegimeEspecial!D:D,Planilha1!H17,RegimeEspecial!E:E,Planilha1!G17)</f>
        <v/>
      </c>
      <c r="L17" s="151" t="n"/>
    </row>
    <row r="18">
      <c r="G18" s="148">
        <f>_xlfn.XLOOKUP(H18,RegimeEspecial!D:D,RegimeEspecial!E:E,"não achei",0,1)</f>
        <v/>
      </c>
      <c r="H18" s="11">
        <f/>
        <v/>
      </c>
      <c r="I18" s="148">
        <f>_xlfn.XLOOKUP(H18,RegimeEspecial!D:D,RegimeEspecial!F:F,"não achei",0,1)</f>
        <v/>
      </c>
      <c r="J18" s="149">
        <f>_xlfn.XLOOKUP(H18,RegimeEspecial!D:D,RegimeEspecial!C:C,"não achei",0,1)</f>
        <v/>
      </c>
      <c r="K18" s="184">
        <f>SUMIFS(RegimeEspecial!AL:AL,RegimeEspecial!D:D,Planilha1!H18,RegimeEspecial!E:E,Planilha1!G18)</f>
        <v/>
      </c>
      <c r="L18" s="151" t="n"/>
    </row>
    <row r="19">
      <c r="G19" s="148">
        <f>_xlfn.XLOOKUP(H19,RegimeEspecial!D:D,RegimeEspecial!E:E,"não achei",0,1)</f>
        <v/>
      </c>
      <c r="H19" s="11">
        <f/>
        <v/>
      </c>
      <c r="I19" s="148">
        <f>_xlfn.XLOOKUP(H19,RegimeEspecial!D:D,RegimeEspecial!F:F,"não achei",0,1)</f>
        <v/>
      </c>
      <c r="J19" s="149">
        <f>_xlfn.XLOOKUP(H19,RegimeEspecial!D:D,RegimeEspecial!C:C,"não achei",0,1)</f>
        <v/>
      </c>
      <c r="K19" s="184">
        <f>SUMIFS(RegimeEspecial!AL:AL,RegimeEspecial!D:D,Planilha1!H19,RegimeEspecial!E:E,Planilha1!G19)</f>
        <v/>
      </c>
      <c r="L19" s="151" t="n"/>
    </row>
    <row r="20">
      <c r="G20" s="148">
        <f>_xlfn.XLOOKUP(H20,RegimeEspecial!D:D,RegimeEspecial!E:E,"não achei",0,1)</f>
        <v/>
      </c>
      <c r="H20" s="11">
        <f/>
        <v/>
      </c>
      <c r="I20" s="148">
        <f>_xlfn.XLOOKUP(H20,RegimeEspecial!D:D,RegimeEspecial!F:F,"não achei",0,1)</f>
        <v/>
      </c>
      <c r="J20" s="149">
        <f>_xlfn.XLOOKUP(H20,RegimeEspecial!D:D,RegimeEspecial!C:C,"não achei",0,1)</f>
        <v/>
      </c>
      <c r="K20" s="184">
        <f>SUMIFS(RegimeEspecial!AL:AL,RegimeEspecial!D:D,Planilha1!H20,RegimeEspecial!E:E,Planilha1!G20)</f>
        <v/>
      </c>
      <c r="L20" s="151" t="n"/>
    </row>
    <row r="21">
      <c r="G21" s="148">
        <f>_xlfn.XLOOKUP(H21,RegimeEspecial!D:D,RegimeEspecial!E:E,"não achei",0,1)</f>
        <v/>
      </c>
      <c r="H21" s="11">
        <f/>
        <v/>
      </c>
      <c r="I21" s="148">
        <f>_xlfn.XLOOKUP(H21,RegimeEspecial!D:D,RegimeEspecial!F:F,"não achei",0,1)</f>
        <v/>
      </c>
      <c r="J21" s="149">
        <f>_xlfn.XLOOKUP(H21,RegimeEspecial!D:D,RegimeEspecial!C:C,"não achei",0,1)</f>
        <v/>
      </c>
      <c r="K21" s="184">
        <f>SUMIFS(RegimeEspecial!AL:AL,RegimeEspecial!D:D,Planilha1!H21,RegimeEspecial!E:E,Planilha1!G21)</f>
        <v/>
      </c>
      <c r="L21" s="151" t="n"/>
    </row>
    <row r="22">
      <c r="G22" s="148">
        <f>_xlfn.XLOOKUP(H22,RegimeEspecial!D:D,RegimeEspecial!E:E,"não achei",0,1)</f>
        <v/>
      </c>
      <c r="H22" s="11">
        <f/>
        <v/>
      </c>
      <c r="I22" s="148">
        <f>_xlfn.XLOOKUP(H22,RegimeEspecial!D:D,RegimeEspecial!F:F,"não achei",0,1)</f>
        <v/>
      </c>
      <c r="J22" s="149">
        <f>_xlfn.XLOOKUP(H22,RegimeEspecial!D:D,RegimeEspecial!C:C,"não achei",0,1)</f>
        <v/>
      </c>
      <c r="K22" s="184">
        <f>SUMIFS(RegimeEspecial!AL:AL,RegimeEspecial!D:D,Planilha1!H22,RegimeEspecial!E:E,Planilha1!G22)</f>
        <v/>
      </c>
      <c r="L22" s="151" t="n"/>
    </row>
    <row r="23">
      <c r="G23" s="148">
        <f>_xlfn.XLOOKUP(H23,RegimeEspecial!D:D,RegimeEspecial!E:E,"não achei",0,1)</f>
        <v/>
      </c>
      <c r="H23" s="11">
        <f/>
        <v/>
      </c>
      <c r="I23" s="148">
        <f>_xlfn.XLOOKUP(H23,RegimeEspecial!D:D,RegimeEspecial!F:F,"não achei",0,1)</f>
        <v/>
      </c>
      <c r="J23" s="149">
        <f>_xlfn.XLOOKUP(H23,RegimeEspecial!D:D,RegimeEspecial!C:C,"não achei",0,1)</f>
        <v/>
      </c>
      <c r="K23" s="184">
        <f>SUMIFS(RegimeEspecial!AL:AL,RegimeEspecial!D:D,Planilha1!H23,RegimeEspecial!E:E,Planilha1!G23)</f>
        <v/>
      </c>
      <c r="L23" s="151" t="n"/>
    </row>
    <row r="24">
      <c r="G24" s="148">
        <f>_xlfn.XLOOKUP(H24,RegimeEspecial!D:D,RegimeEspecial!E:E,"não achei",0,1)</f>
        <v/>
      </c>
      <c r="H24" s="11">
        <f/>
        <v/>
      </c>
      <c r="I24" s="148">
        <f>_xlfn.XLOOKUP(H24,RegimeEspecial!D:D,RegimeEspecial!F:F,"não achei",0,1)</f>
        <v/>
      </c>
      <c r="J24" s="149">
        <f>_xlfn.XLOOKUP(H24,RegimeEspecial!D:D,RegimeEspecial!C:C,"não achei",0,1)</f>
        <v/>
      </c>
      <c r="K24" s="184">
        <f>SUMIFS(RegimeEspecial!AL:AL,RegimeEspecial!D:D,Planilha1!H24,RegimeEspecial!E:E,Planilha1!G24)</f>
        <v/>
      </c>
      <c r="L24" s="151" t="n"/>
    </row>
    <row r="25">
      <c r="G25" s="148">
        <f>_xlfn.XLOOKUP(H25,RegimeEspecial!D:D,RegimeEspecial!E:E,"não achei",0,1)</f>
        <v/>
      </c>
      <c r="H25" s="11">
        <f/>
        <v/>
      </c>
      <c r="I25" s="148">
        <f>_xlfn.XLOOKUP(H25,RegimeEspecial!D:D,RegimeEspecial!F:F,"não achei",0,1)</f>
        <v/>
      </c>
      <c r="J25" s="149">
        <f>_xlfn.XLOOKUP(H25,RegimeEspecial!D:D,RegimeEspecial!C:C,"não achei",0,1)</f>
        <v/>
      </c>
      <c r="K25" s="184">
        <f>SUMIFS(RegimeEspecial!AL:AL,RegimeEspecial!D:D,Planilha1!H25,RegimeEspecial!E:E,Planilha1!G25)</f>
        <v/>
      </c>
      <c r="L25" s="151" t="n"/>
    </row>
    <row r="26">
      <c r="G26" s="148">
        <f>_xlfn.XLOOKUP(H26,RegimeEspecial!D:D,RegimeEspecial!E:E,"não achei",0,1)</f>
        <v/>
      </c>
      <c r="H26" s="11">
        <f/>
        <v/>
      </c>
      <c r="I26" s="148">
        <f>_xlfn.XLOOKUP(H26,RegimeEspecial!D:D,RegimeEspecial!F:F,"não achei",0,1)</f>
        <v/>
      </c>
      <c r="J26" s="149">
        <f>_xlfn.XLOOKUP(H26,RegimeEspecial!D:D,RegimeEspecial!C:C,"não achei",0,1)</f>
        <v/>
      </c>
      <c r="K26" s="184">
        <f>SUMIFS(RegimeEspecial!AL:AL,RegimeEspecial!D:D,Planilha1!H26,RegimeEspecial!E:E,Planilha1!G26)</f>
        <v/>
      </c>
      <c r="L26" s="151" t="n"/>
    </row>
    <row r="27">
      <c r="G27" s="148">
        <f>_xlfn.XLOOKUP(H27,RegimeEspecial!D:D,RegimeEspecial!E:E,"não achei",0,1)</f>
        <v/>
      </c>
      <c r="H27" s="11">
        <f/>
        <v/>
      </c>
      <c r="I27" s="148">
        <f>_xlfn.XLOOKUP(H27,RegimeEspecial!D:D,RegimeEspecial!F:F,"não achei",0,1)</f>
        <v/>
      </c>
      <c r="J27" s="149">
        <f>_xlfn.XLOOKUP(H27,RegimeEspecial!D:D,RegimeEspecial!C:C,"não achei",0,1)</f>
        <v/>
      </c>
      <c r="K27" s="184">
        <f>SUMIFS(RegimeEspecial!AL:AL,RegimeEspecial!D:D,Planilha1!H27,RegimeEspecial!E:E,Planilha1!G27)</f>
        <v/>
      </c>
      <c r="L27" s="151" t="n"/>
    </row>
    <row r="28">
      <c r="G28" s="148">
        <f>_xlfn.XLOOKUP(H28,RegimeEspecial!D:D,RegimeEspecial!E:E,"não achei",0,1)</f>
        <v/>
      </c>
      <c r="H28" s="11">
        <f/>
        <v/>
      </c>
      <c r="I28" s="148">
        <f>_xlfn.XLOOKUP(H28,RegimeEspecial!D:D,RegimeEspecial!F:F,"não achei",0,1)</f>
        <v/>
      </c>
      <c r="J28" s="149">
        <f>_xlfn.XLOOKUP(H28,RegimeEspecial!D:D,RegimeEspecial!C:C,"não achei",0,1)</f>
        <v/>
      </c>
      <c r="K28" s="184">
        <f>SUMIFS(RegimeEspecial!AL:AL,RegimeEspecial!D:D,Planilha1!H28,RegimeEspecial!E:E,Planilha1!G28)</f>
        <v/>
      </c>
      <c r="L28" s="151" t="n"/>
    </row>
    <row r="29">
      <c r="G29" s="148">
        <f>_xlfn.XLOOKUP(H29,RegimeEspecial!D:D,RegimeEspecial!E:E,"não achei",0,1)</f>
        <v/>
      </c>
      <c r="H29" s="11">
        <f/>
        <v/>
      </c>
      <c r="I29" s="148">
        <f>_xlfn.XLOOKUP(H29,RegimeEspecial!D:D,RegimeEspecial!F:F,"não achei",0,1)</f>
        <v/>
      </c>
      <c r="J29" s="149">
        <f>_xlfn.XLOOKUP(H29,RegimeEspecial!D:D,RegimeEspecial!C:C,"não achei",0,1)</f>
        <v/>
      </c>
      <c r="K29" s="184">
        <f>SUMIFS(RegimeEspecial!AL:AL,RegimeEspecial!D:D,Planilha1!H29,RegimeEspecial!E:E,Planilha1!G29)</f>
        <v/>
      </c>
      <c r="L29" s="151" t="n"/>
    </row>
    <row r="30">
      <c r="G30" s="148">
        <f>_xlfn.XLOOKUP(H30,RegimeEspecial!D:D,RegimeEspecial!E:E,"não achei",0,1)</f>
        <v/>
      </c>
      <c r="H30" s="11">
        <f/>
        <v/>
      </c>
      <c r="I30" s="148">
        <f>_xlfn.XLOOKUP(H30,RegimeEspecial!D:D,RegimeEspecial!F:F,"não achei",0,1)</f>
        <v/>
      </c>
      <c r="J30" s="149">
        <f>_xlfn.XLOOKUP(H30,RegimeEspecial!D:D,RegimeEspecial!C:C,"não achei",0,1)</f>
        <v/>
      </c>
      <c r="K30" s="184">
        <f>SUMIFS(RegimeEspecial!AL:AL,RegimeEspecial!D:D,Planilha1!H30,RegimeEspecial!E:E,Planilha1!G30)</f>
        <v/>
      </c>
      <c r="L30" s="151" t="n"/>
    </row>
    <row r="31">
      <c r="G31" s="148">
        <f>_xlfn.XLOOKUP(H31,RegimeEspecial!D:D,RegimeEspecial!E:E,"não achei",0,1)</f>
        <v/>
      </c>
      <c r="H31" s="11">
        <f/>
        <v/>
      </c>
      <c r="I31" s="148">
        <f>_xlfn.XLOOKUP(H31,RegimeEspecial!D:D,RegimeEspecial!F:F,"não achei",0,1)</f>
        <v/>
      </c>
      <c r="J31" s="149">
        <f>_xlfn.XLOOKUP(H31,RegimeEspecial!D:D,RegimeEspecial!C:C,"não achei",0,1)</f>
        <v/>
      </c>
      <c r="K31" s="184">
        <f>SUMIFS(RegimeEspecial!AL:AL,RegimeEspecial!D:D,Planilha1!H31,RegimeEspecial!E:E,Planilha1!G31)</f>
        <v/>
      </c>
      <c r="L31" s="151" t="n"/>
    </row>
    <row r="32">
      <c r="G32" s="148">
        <f>_xlfn.XLOOKUP(H32,RegimeEspecial!D:D,RegimeEspecial!E:E,"não achei",0,1)</f>
        <v/>
      </c>
      <c r="H32" s="11">
        <f/>
        <v/>
      </c>
      <c r="I32" s="148">
        <f>_xlfn.XLOOKUP(H32,RegimeEspecial!D:D,RegimeEspecial!F:F,"não achei",0,1)</f>
        <v/>
      </c>
      <c r="J32" s="149">
        <f>_xlfn.XLOOKUP(H32,RegimeEspecial!D:D,RegimeEspecial!C:C,"não achei",0,1)</f>
        <v/>
      </c>
      <c r="K32" s="184">
        <f>SUMIFS(RegimeEspecial!AL:AL,RegimeEspecial!D:D,Planilha1!H32,RegimeEspecial!E:E,Planilha1!G32)</f>
        <v/>
      </c>
      <c r="L32" s="151" t="n"/>
    </row>
    <row r="33">
      <c r="G33" s="148">
        <f>_xlfn.XLOOKUP(H33,RegimeEspecial!D:D,RegimeEspecial!E:E,"não achei",0,1)</f>
        <v/>
      </c>
      <c r="H33" s="11">
        <f/>
        <v/>
      </c>
      <c r="I33" s="148">
        <f>_xlfn.XLOOKUP(H33,RegimeEspecial!D:D,RegimeEspecial!F:F,"não achei",0,1)</f>
        <v/>
      </c>
      <c r="J33" s="149">
        <f>_xlfn.XLOOKUP(H33,RegimeEspecial!D:D,RegimeEspecial!C:C,"não achei",0,1)</f>
        <v/>
      </c>
      <c r="K33" s="184">
        <f>SUMIFS(RegimeEspecial!AL:AL,RegimeEspecial!D:D,Planilha1!H33,RegimeEspecial!E:E,Planilha1!G33)</f>
        <v/>
      </c>
      <c r="L33" s="151" t="n"/>
    </row>
    <row r="34">
      <c r="G34" s="148">
        <f>_xlfn.XLOOKUP(H34,RegimeEspecial!D:D,RegimeEspecial!E:E,"não achei",0,1)</f>
        <v/>
      </c>
      <c r="H34" s="11">
        <f/>
        <v/>
      </c>
      <c r="I34" s="148">
        <f>_xlfn.XLOOKUP(H34,RegimeEspecial!D:D,RegimeEspecial!F:F,"não achei",0,1)</f>
        <v/>
      </c>
      <c r="J34" s="149">
        <f>_xlfn.XLOOKUP(H34,RegimeEspecial!D:D,RegimeEspecial!C:C,"não achei",0,1)</f>
        <v/>
      </c>
      <c r="K34" s="184">
        <f>SUMIFS(RegimeEspecial!AL:AL,RegimeEspecial!D:D,Planilha1!H34,RegimeEspecial!E:E,Planilha1!G34)</f>
        <v/>
      </c>
      <c r="L34" s="151" t="n"/>
    </row>
    <row r="35">
      <c r="G35" s="148">
        <f>_xlfn.XLOOKUP(H35,RegimeEspecial!D:D,RegimeEspecial!E:E,"não achei",0,1)</f>
        <v/>
      </c>
      <c r="H35" s="11">
        <f/>
        <v/>
      </c>
      <c r="I35" s="148">
        <f>_xlfn.XLOOKUP(H35,RegimeEspecial!D:D,RegimeEspecial!F:F,"não achei",0,1)</f>
        <v/>
      </c>
      <c r="J35" s="149">
        <f>_xlfn.XLOOKUP(H35,RegimeEspecial!D:D,RegimeEspecial!C:C,"não achei",0,1)</f>
        <v/>
      </c>
      <c r="K35" s="184">
        <f>SUMIFS(RegimeEspecial!AL:AL,RegimeEspecial!D:D,Planilha1!H35,RegimeEspecial!E:E,Planilha1!G35)</f>
        <v/>
      </c>
      <c r="L35" s="151" t="n"/>
    </row>
    <row r="36">
      <c r="G36" s="148">
        <f>_xlfn.XLOOKUP(H36,RegimeEspecial!D:D,RegimeEspecial!E:E,"não achei",0,1)</f>
        <v/>
      </c>
      <c r="H36" s="11">
        <f/>
        <v/>
      </c>
      <c r="I36" s="148">
        <f>_xlfn.XLOOKUP(H36,RegimeEspecial!D:D,RegimeEspecial!F:F,"não achei",0,1)</f>
        <v/>
      </c>
      <c r="J36" s="149">
        <f>_xlfn.XLOOKUP(H36,RegimeEspecial!D:D,RegimeEspecial!C:C,"não achei",0,1)</f>
        <v/>
      </c>
      <c r="K36" s="184">
        <f>SUMIFS(RegimeEspecial!AL:AL,RegimeEspecial!D:D,Planilha1!H36,RegimeEspecial!E:E,Planilha1!G36)</f>
        <v/>
      </c>
      <c r="L36" s="151" t="n"/>
    </row>
    <row r="37">
      <c r="G37" s="148">
        <f>_xlfn.XLOOKUP(H37,RegimeEspecial!D:D,RegimeEspecial!E:E,"não achei",0,1)</f>
        <v/>
      </c>
      <c r="H37" s="11">
        <f/>
        <v/>
      </c>
      <c r="I37" s="148">
        <f>_xlfn.XLOOKUP(H37,RegimeEspecial!D:D,RegimeEspecial!F:F,"não achei",0,1)</f>
        <v/>
      </c>
      <c r="J37" s="149">
        <f>_xlfn.XLOOKUP(H37,RegimeEspecial!D:D,RegimeEspecial!C:C,"não achei",0,1)</f>
        <v/>
      </c>
      <c r="K37" s="184">
        <f>SUMIFS(RegimeEspecial!AL:AL,RegimeEspecial!D:D,Planilha1!H37,RegimeEspecial!E:E,Planilha1!G37)</f>
        <v/>
      </c>
      <c r="L37" s="151" t="n"/>
    </row>
    <row r="38">
      <c r="G38" s="148">
        <f>_xlfn.XLOOKUP(H38,RegimeEspecial!D:D,RegimeEspecial!E:E,"não achei",0,1)</f>
        <v/>
      </c>
      <c r="H38" s="11">
        <f/>
        <v/>
      </c>
      <c r="I38" s="148">
        <f>_xlfn.XLOOKUP(H38,RegimeEspecial!D:D,RegimeEspecial!F:F,"não achei",0,1)</f>
        <v/>
      </c>
      <c r="J38" s="149">
        <f>_xlfn.XLOOKUP(H38,RegimeEspecial!D:D,RegimeEspecial!C:C,"não achei",0,1)</f>
        <v/>
      </c>
      <c r="K38" s="184">
        <f>SUMIFS(RegimeEspecial!AL:AL,RegimeEspecial!D:D,Planilha1!H38,RegimeEspecial!E:E,Planilha1!G38)</f>
        <v/>
      </c>
      <c r="L38" s="151" t="n"/>
    </row>
    <row r="39">
      <c r="G39" s="148">
        <f>_xlfn.XLOOKUP(H39,RegimeEspecial!D:D,RegimeEspecial!E:E,"não achei",0,1)</f>
        <v/>
      </c>
      <c r="H39" s="11">
        <f/>
        <v/>
      </c>
      <c r="I39" s="148">
        <f>_xlfn.XLOOKUP(H39,RegimeEspecial!D:D,RegimeEspecial!F:F,"não achei",0,1)</f>
        <v/>
      </c>
      <c r="J39" s="149">
        <f>_xlfn.XLOOKUP(H39,RegimeEspecial!D:D,RegimeEspecial!C:C,"não achei",0,1)</f>
        <v/>
      </c>
      <c r="K39" s="184">
        <f>SUMIFS(RegimeEspecial!AL:AL,RegimeEspecial!D:D,Planilha1!H39,RegimeEspecial!E:E,Planilha1!G39)</f>
        <v/>
      </c>
      <c r="L39" s="151" t="n"/>
    </row>
    <row r="40">
      <c r="G40" s="148">
        <f>_xlfn.XLOOKUP(H40,RegimeEspecial!D:D,RegimeEspecial!E:E,"não achei",0,1)</f>
        <v/>
      </c>
      <c r="H40" s="11">
        <f/>
        <v/>
      </c>
      <c r="I40" s="148">
        <f>_xlfn.XLOOKUP(H40,RegimeEspecial!D:D,RegimeEspecial!F:F,"não achei",0,1)</f>
        <v/>
      </c>
      <c r="J40" s="149">
        <f>_xlfn.XLOOKUP(H40,RegimeEspecial!D:D,RegimeEspecial!C:C,"não achei",0,1)</f>
        <v/>
      </c>
      <c r="K40" s="184">
        <f>SUMIFS(RegimeEspecial!AL:AL,RegimeEspecial!D:D,Planilha1!H40,RegimeEspecial!E:E,Planilha1!G40)</f>
        <v/>
      </c>
      <c r="L40" s="151" t="n"/>
    </row>
    <row r="41">
      <c r="G41" s="148">
        <f>_xlfn.XLOOKUP(H41,RegimeEspecial!D:D,RegimeEspecial!E:E,"não achei",0,1)</f>
        <v/>
      </c>
      <c r="H41" s="11">
        <f/>
        <v/>
      </c>
      <c r="I41" s="148">
        <f>_xlfn.XLOOKUP(H41,RegimeEspecial!D:D,RegimeEspecial!F:F,"não achei",0,1)</f>
        <v/>
      </c>
      <c r="J41" s="149">
        <f>_xlfn.XLOOKUP(H41,RegimeEspecial!D:D,RegimeEspecial!C:C,"não achei",0,1)</f>
        <v/>
      </c>
      <c r="K41" s="184">
        <f>SUMIFS(RegimeEspecial!AL:AL,RegimeEspecial!D:D,Planilha1!H41,RegimeEspecial!E:E,Planilha1!G41)</f>
        <v/>
      </c>
      <c r="L41" s="151" t="n"/>
    </row>
    <row r="42">
      <c r="G42" s="148">
        <f>_xlfn.XLOOKUP(H42,RegimeEspecial!D:D,RegimeEspecial!E:E,"não achei",0,1)</f>
        <v/>
      </c>
      <c r="H42" s="11">
        <f/>
        <v/>
      </c>
      <c r="I42" s="148">
        <f>_xlfn.XLOOKUP(H42,RegimeEspecial!D:D,RegimeEspecial!F:F,"não achei",0,1)</f>
        <v/>
      </c>
      <c r="J42" s="149">
        <f>_xlfn.XLOOKUP(H42,RegimeEspecial!D:D,RegimeEspecial!C:C,"não achei",0,1)</f>
        <v/>
      </c>
      <c r="K42" s="184">
        <f>SUMIFS(RegimeEspecial!AL:AL,RegimeEspecial!D:D,Planilha1!H42,RegimeEspecial!E:E,Planilha1!G42)</f>
        <v/>
      </c>
      <c r="L42" s="151" t="n"/>
    </row>
    <row r="43">
      <c r="G43" s="148">
        <f>_xlfn.XLOOKUP(H43,RegimeEspecial!D:D,RegimeEspecial!E:E,"não achei",0,1)</f>
        <v/>
      </c>
      <c r="H43" s="11">
        <f/>
        <v/>
      </c>
      <c r="I43" s="148">
        <f>_xlfn.XLOOKUP(H43,RegimeEspecial!D:D,RegimeEspecial!F:F,"não achei",0,1)</f>
        <v/>
      </c>
      <c r="J43" s="149">
        <f>_xlfn.XLOOKUP(H43,RegimeEspecial!D:D,RegimeEspecial!C:C,"não achei",0,1)</f>
        <v/>
      </c>
      <c r="K43" s="184">
        <f>SUMIFS(RegimeEspecial!AL:AL,RegimeEspecial!D:D,Planilha1!H43,RegimeEspecial!E:E,Planilha1!G43)</f>
        <v/>
      </c>
      <c r="L43" s="151" t="n"/>
    </row>
    <row r="44">
      <c r="G44" s="148">
        <f>_xlfn.XLOOKUP(H44,RegimeEspecial!D:D,RegimeEspecial!E:E,"não achei",0,1)</f>
        <v/>
      </c>
      <c r="H44" s="11">
        <f/>
        <v/>
      </c>
      <c r="I44" s="148">
        <f>_xlfn.XLOOKUP(H44,RegimeEspecial!D:D,RegimeEspecial!F:F,"não achei",0,1)</f>
        <v/>
      </c>
      <c r="J44" s="149">
        <f>_xlfn.XLOOKUP(H44,RegimeEspecial!D:D,RegimeEspecial!C:C,"não achei",0,1)</f>
        <v/>
      </c>
      <c r="K44" s="184">
        <f>SUMIFS(RegimeEspecial!AL:AL,RegimeEspecial!D:D,Planilha1!H44,RegimeEspecial!E:E,Planilha1!G44)</f>
        <v/>
      </c>
      <c r="L44" s="151" t="n"/>
    </row>
    <row r="45">
      <c r="G45" s="148">
        <f>_xlfn.XLOOKUP(H45,RegimeEspecial!D:D,RegimeEspecial!E:E,"não achei",0,1)</f>
        <v/>
      </c>
      <c r="H45" s="11">
        <f/>
        <v/>
      </c>
      <c r="I45" s="148">
        <f>_xlfn.XLOOKUP(H45,RegimeEspecial!D:D,RegimeEspecial!F:F,"não achei",0,1)</f>
        <v/>
      </c>
      <c r="J45" s="149">
        <f>_xlfn.XLOOKUP(H45,RegimeEspecial!D:D,RegimeEspecial!C:C,"não achei",0,1)</f>
        <v/>
      </c>
      <c r="K45" s="184">
        <f>SUMIFS(RegimeEspecial!AL:AL,RegimeEspecial!D:D,Planilha1!H45,RegimeEspecial!E:E,Planilha1!G45)</f>
        <v/>
      </c>
      <c r="L45" s="151" t="n"/>
    </row>
    <row r="46">
      <c r="G46" s="148">
        <f>_xlfn.XLOOKUP(H46,RegimeEspecial!D:D,RegimeEspecial!E:E,"não achei",0,1)</f>
        <v/>
      </c>
      <c r="H46" s="11">
        <f/>
        <v/>
      </c>
      <c r="I46" s="148">
        <f>_xlfn.XLOOKUP(H46,RegimeEspecial!D:D,RegimeEspecial!F:F,"não achei",0,1)</f>
        <v/>
      </c>
      <c r="J46" s="149">
        <f>_xlfn.XLOOKUP(H46,RegimeEspecial!D:D,RegimeEspecial!C:C,"não achei",0,1)</f>
        <v/>
      </c>
      <c r="K46" s="184">
        <f>SUMIFS(RegimeEspecial!AL:AL,RegimeEspecial!D:D,Planilha1!H46,RegimeEspecial!E:E,Planilha1!G46)</f>
        <v/>
      </c>
      <c r="L46" s="151" t="n"/>
    </row>
    <row r="47">
      <c r="G47" s="148">
        <f>_xlfn.XLOOKUP(H47,RegimeEspecial!D:D,RegimeEspecial!E:E,"não achei",0,1)</f>
        <v/>
      </c>
      <c r="H47" s="11">
        <f/>
        <v/>
      </c>
      <c r="I47" s="148">
        <f>_xlfn.XLOOKUP(H47,RegimeEspecial!D:D,RegimeEspecial!F:F,"não achei",0,1)</f>
        <v/>
      </c>
      <c r="J47" s="149">
        <f>_xlfn.XLOOKUP(H47,RegimeEspecial!D:D,RegimeEspecial!C:C,"não achei",0,1)</f>
        <v/>
      </c>
      <c r="K47" s="184">
        <f>SUMIFS(RegimeEspecial!AL:AL,RegimeEspecial!D:D,Planilha1!H47,RegimeEspecial!E:E,Planilha1!G47)</f>
        <v/>
      </c>
      <c r="L47" s="151" t="n"/>
    </row>
    <row r="48">
      <c r="G48" s="148">
        <f>_xlfn.XLOOKUP(H48,RegimeEspecial!D:D,RegimeEspecial!E:E,"não achei",0,1)</f>
        <v/>
      </c>
      <c r="H48" s="11">
        <f/>
        <v/>
      </c>
      <c r="I48" s="148">
        <f>_xlfn.XLOOKUP(H48,RegimeEspecial!D:D,RegimeEspecial!F:F,"não achei",0,1)</f>
        <v/>
      </c>
      <c r="J48" s="149">
        <f>_xlfn.XLOOKUP(H48,RegimeEspecial!D:D,RegimeEspecial!C:C,"não achei",0,1)</f>
        <v/>
      </c>
      <c r="K48" s="184">
        <f>SUMIFS(RegimeEspecial!AL:AL,RegimeEspecial!D:D,Planilha1!H48,RegimeEspecial!E:E,Planilha1!G48)</f>
        <v/>
      </c>
      <c r="L48" s="151" t="n"/>
    </row>
    <row r="49">
      <c r="G49" s="148">
        <f>_xlfn.XLOOKUP(H49,RegimeEspecial!D:D,RegimeEspecial!E:E,"não achei",0,1)</f>
        <v/>
      </c>
      <c r="H49" s="11">
        <f/>
        <v/>
      </c>
      <c r="I49" s="148">
        <f>_xlfn.XLOOKUP(H49,RegimeEspecial!D:D,RegimeEspecial!F:F,"não achei",0,1)</f>
        <v/>
      </c>
      <c r="J49" s="149">
        <f>_xlfn.XLOOKUP(H49,RegimeEspecial!D:D,RegimeEspecial!C:C,"não achei",0,1)</f>
        <v/>
      </c>
      <c r="K49" s="184">
        <f>SUMIFS(RegimeEspecial!AL:AL,RegimeEspecial!D:D,Planilha1!H49,RegimeEspecial!E:E,Planilha1!G49)</f>
        <v/>
      </c>
      <c r="L49" s="151" t="n"/>
    </row>
    <row r="50">
      <c r="G50" s="148">
        <f>_xlfn.XLOOKUP(H50,RegimeEspecial!D:D,RegimeEspecial!E:E,"não achei",0,1)</f>
        <v/>
      </c>
      <c r="H50" s="11">
        <f/>
        <v/>
      </c>
      <c r="I50" s="148">
        <f>_xlfn.XLOOKUP(H50,RegimeEspecial!D:D,RegimeEspecial!F:F,"não achei",0,1)</f>
        <v/>
      </c>
      <c r="J50" s="149">
        <f>_xlfn.XLOOKUP(H50,RegimeEspecial!D:D,RegimeEspecial!C:C,"não achei",0,1)</f>
        <v/>
      </c>
      <c r="K50" s="184">
        <f>SUMIFS(RegimeEspecial!AL:AL,RegimeEspecial!D:D,Planilha1!H50,RegimeEspecial!E:E,Planilha1!G50)</f>
        <v/>
      </c>
      <c r="L50" s="151" t="n"/>
    </row>
    <row r="51">
      <c r="G51" s="148">
        <f>_xlfn.XLOOKUP(H51,RegimeEspecial!D:D,RegimeEspecial!E:E,"não achei",0,1)</f>
        <v/>
      </c>
      <c r="H51" s="11">
        <f/>
        <v/>
      </c>
      <c r="I51" s="148">
        <f>_xlfn.XLOOKUP(H51,RegimeEspecial!D:D,RegimeEspecial!F:F,"não achei",0,1)</f>
        <v/>
      </c>
      <c r="J51" s="149">
        <f>_xlfn.XLOOKUP(H51,RegimeEspecial!D:D,RegimeEspecial!C:C,"não achei",0,1)</f>
        <v/>
      </c>
      <c r="K51" s="184">
        <f>SUMIFS(RegimeEspecial!AL:AL,RegimeEspecial!D:D,Planilha1!H51,RegimeEspecial!E:E,Planilha1!G51)</f>
        <v/>
      </c>
      <c r="L51" s="151" t="n"/>
    </row>
    <row r="52">
      <c r="G52" s="148">
        <f>_xlfn.XLOOKUP(H52,RegimeEspecial!D:D,RegimeEspecial!E:E,"não achei",0,1)</f>
        <v/>
      </c>
      <c r="H52" s="11">
        <f/>
        <v/>
      </c>
      <c r="I52" s="148">
        <f>_xlfn.XLOOKUP(H52,RegimeEspecial!D:D,RegimeEspecial!F:F,"não achei",0,1)</f>
        <v/>
      </c>
      <c r="J52" s="149">
        <f>_xlfn.XLOOKUP(H52,RegimeEspecial!D:D,RegimeEspecial!C:C,"não achei",0,1)</f>
        <v/>
      </c>
      <c r="K52" s="184">
        <f>SUMIFS(RegimeEspecial!AL:AL,RegimeEspecial!D:D,Planilha1!H52,RegimeEspecial!E:E,Planilha1!G52)</f>
        <v/>
      </c>
      <c r="L52" s="151" t="n"/>
    </row>
    <row r="53">
      <c r="G53" s="148">
        <f>_xlfn.XLOOKUP(H53,RegimeEspecial!D:D,RegimeEspecial!E:E,"não achei",0,1)</f>
        <v/>
      </c>
      <c r="H53" s="11">
        <f/>
        <v/>
      </c>
      <c r="I53" s="148">
        <f>_xlfn.XLOOKUP(H53,RegimeEspecial!D:D,RegimeEspecial!F:F,"não achei",0,1)</f>
        <v/>
      </c>
      <c r="J53" s="149">
        <f>_xlfn.XLOOKUP(H53,RegimeEspecial!D:D,RegimeEspecial!C:C,"não achei",0,1)</f>
        <v/>
      </c>
      <c r="K53" s="184">
        <f>SUMIFS(RegimeEspecial!AL:AL,RegimeEspecial!D:D,Planilha1!H53,RegimeEspecial!E:E,Planilha1!G53)</f>
        <v/>
      </c>
      <c r="L53" s="151" t="n"/>
    </row>
    <row r="54">
      <c r="G54" s="148">
        <f>_xlfn.XLOOKUP(H54,RegimeEspecial!D:D,RegimeEspecial!E:E,"não achei",0,1)</f>
        <v/>
      </c>
      <c r="H54" s="11">
        <f/>
        <v/>
      </c>
      <c r="I54" s="148">
        <f>_xlfn.XLOOKUP(H54,RegimeEspecial!D:D,RegimeEspecial!F:F,"não achei",0,1)</f>
        <v/>
      </c>
      <c r="J54" s="149">
        <f>_xlfn.XLOOKUP(H54,RegimeEspecial!D:D,RegimeEspecial!C:C,"não achei",0,1)</f>
        <v/>
      </c>
      <c r="K54" s="184">
        <f>SUMIFS(RegimeEspecial!AL:AL,RegimeEspecial!D:D,Planilha1!H54,RegimeEspecial!E:E,Planilha1!G54)</f>
        <v/>
      </c>
      <c r="L54" s="151" t="n"/>
    </row>
    <row r="55">
      <c r="G55" s="148">
        <f>_xlfn.XLOOKUP(H55,RegimeEspecial!D:D,RegimeEspecial!E:E,"não achei",0,1)</f>
        <v/>
      </c>
      <c r="H55" s="11">
        <f/>
        <v/>
      </c>
      <c r="I55" s="148">
        <f>_xlfn.XLOOKUP(H55,RegimeEspecial!D:D,RegimeEspecial!F:F,"não achei",0,1)</f>
        <v/>
      </c>
      <c r="J55" s="149">
        <f>_xlfn.XLOOKUP(H55,RegimeEspecial!D:D,RegimeEspecial!C:C,"não achei",0,1)</f>
        <v/>
      </c>
      <c r="K55" s="184">
        <f>SUMIFS(RegimeEspecial!AL:AL,RegimeEspecial!D:D,Planilha1!H55,RegimeEspecial!E:E,Planilha1!G55)</f>
        <v/>
      </c>
      <c r="L55" s="151" t="n"/>
    </row>
    <row r="56">
      <c r="G56" s="148">
        <f>_xlfn.XLOOKUP(H56,RegimeEspecial!D:D,RegimeEspecial!E:E,"não achei",0,1)</f>
        <v/>
      </c>
      <c r="H56" s="11">
        <f/>
        <v/>
      </c>
      <c r="I56" s="148">
        <f>_xlfn.XLOOKUP(H56,RegimeEspecial!D:D,RegimeEspecial!F:F,"não achei",0,1)</f>
        <v/>
      </c>
      <c r="J56" s="149">
        <f>_xlfn.XLOOKUP(H56,RegimeEspecial!D:D,RegimeEspecial!C:C,"não achei",0,1)</f>
        <v/>
      </c>
      <c r="K56" s="184">
        <f>SUMIFS(RegimeEspecial!AL:AL,RegimeEspecial!D:D,Planilha1!H56,RegimeEspecial!E:E,Planilha1!G56)</f>
        <v/>
      </c>
      <c r="L56" s="151" t="n"/>
    </row>
    <row r="57">
      <c r="G57" s="148">
        <f>_xlfn.XLOOKUP(H57,RegimeEspecial!D:D,RegimeEspecial!E:E,"não achei",0,1)</f>
        <v/>
      </c>
      <c r="H57" s="11">
        <f/>
        <v/>
      </c>
      <c r="I57" s="148">
        <f>_xlfn.XLOOKUP(H57,RegimeEspecial!D:D,RegimeEspecial!F:F,"não achei",0,1)</f>
        <v/>
      </c>
      <c r="J57" s="149">
        <f>_xlfn.XLOOKUP(H57,RegimeEspecial!D:D,RegimeEspecial!C:C,"não achei",0,1)</f>
        <v/>
      </c>
      <c r="K57" s="184">
        <f>SUMIFS(RegimeEspecial!AL:AL,RegimeEspecial!D:D,Planilha1!H57,RegimeEspecial!E:E,Planilha1!G57)</f>
        <v/>
      </c>
      <c r="L57" s="151" t="n"/>
    </row>
    <row r="58">
      <c r="G58" s="148">
        <f>_xlfn.XLOOKUP(H58,RegimeEspecial!D:D,RegimeEspecial!E:E,"não achei",0,1)</f>
        <v/>
      </c>
      <c r="H58" s="11">
        <f/>
        <v/>
      </c>
      <c r="I58" s="148">
        <f>_xlfn.XLOOKUP(H58,RegimeEspecial!D:D,RegimeEspecial!F:F,"não achei",0,1)</f>
        <v/>
      </c>
      <c r="J58" s="149">
        <f>_xlfn.XLOOKUP(H58,RegimeEspecial!D:D,RegimeEspecial!C:C,"não achei",0,1)</f>
        <v/>
      </c>
      <c r="K58" s="184">
        <f>SUMIFS(RegimeEspecial!AL:AL,RegimeEspecial!D:D,Planilha1!H58,RegimeEspecial!E:E,Planilha1!G58)</f>
        <v/>
      </c>
      <c r="L58" s="151" t="n"/>
    </row>
    <row r="59">
      <c r="G59" s="148">
        <f>_xlfn.XLOOKUP(H59,RegimeEspecial!D:D,RegimeEspecial!E:E,"não achei",0,1)</f>
        <v/>
      </c>
      <c r="H59" s="11">
        <f/>
        <v/>
      </c>
      <c r="I59" s="148">
        <f>_xlfn.XLOOKUP(H59,RegimeEspecial!D:D,RegimeEspecial!F:F,"não achei",0,1)</f>
        <v/>
      </c>
      <c r="J59" s="149">
        <f>_xlfn.XLOOKUP(H59,RegimeEspecial!D:D,RegimeEspecial!C:C,"não achei",0,1)</f>
        <v/>
      </c>
      <c r="K59" s="184">
        <f>SUMIFS(RegimeEspecial!AL:AL,RegimeEspecial!D:D,Planilha1!H59,RegimeEspecial!E:E,Planilha1!G59)</f>
        <v/>
      </c>
      <c r="L59" s="151" t="n"/>
    </row>
    <row r="60">
      <c r="G60" s="148">
        <f>_xlfn.XLOOKUP(H60,RegimeEspecial!D:D,RegimeEspecial!E:E,"não achei",0,1)</f>
        <v/>
      </c>
      <c r="H60" s="11">
        <f/>
        <v/>
      </c>
      <c r="I60" s="148">
        <f>_xlfn.XLOOKUP(H60,RegimeEspecial!D:D,RegimeEspecial!F:F,"não achei",0,1)</f>
        <v/>
      </c>
      <c r="J60" s="149">
        <f>_xlfn.XLOOKUP(H60,RegimeEspecial!D:D,RegimeEspecial!C:C,"não achei",0,1)</f>
        <v/>
      </c>
      <c r="K60" s="184">
        <f>SUMIFS(RegimeEspecial!AL:AL,RegimeEspecial!D:D,Planilha1!H60,RegimeEspecial!E:E,Planilha1!G60)</f>
        <v/>
      </c>
      <c r="L60" s="151" t="n"/>
    </row>
    <row r="61">
      <c r="G61" s="148">
        <f>_xlfn.XLOOKUP(H61,RegimeEspecial!D:D,RegimeEspecial!E:E,"não achei",0,1)</f>
        <v/>
      </c>
      <c r="H61" s="11">
        <f/>
        <v/>
      </c>
      <c r="I61" s="148">
        <f>_xlfn.XLOOKUP(H61,RegimeEspecial!D:D,RegimeEspecial!F:F,"não achei",0,1)</f>
        <v/>
      </c>
      <c r="J61" s="149">
        <f>_xlfn.XLOOKUP(H61,RegimeEspecial!D:D,RegimeEspecial!C:C,"não achei",0,1)</f>
        <v/>
      </c>
      <c r="K61" s="184">
        <f>SUMIFS(RegimeEspecial!AL:AL,RegimeEspecial!D:D,Planilha1!H61,RegimeEspecial!E:E,Planilha1!G61)</f>
        <v/>
      </c>
      <c r="L61" s="151" t="n"/>
    </row>
    <row r="62">
      <c r="G62" s="148">
        <f>_xlfn.XLOOKUP(H62,RegimeEspecial!D:D,RegimeEspecial!E:E,"não achei",0,1)</f>
        <v/>
      </c>
      <c r="H62" s="11">
        <f/>
        <v/>
      </c>
      <c r="I62" s="148">
        <f>_xlfn.XLOOKUP(H62,RegimeEspecial!D:D,RegimeEspecial!F:F,"não achei",0,1)</f>
        <v/>
      </c>
      <c r="J62" s="149">
        <f>_xlfn.XLOOKUP(H62,RegimeEspecial!D:D,RegimeEspecial!C:C,"não achei",0,1)</f>
        <v/>
      </c>
      <c r="K62" s="184">
        <f>SUMIFS(RegimeEspecial!AL:AL,RegimeEspecial!D:D,Planilha1!H62,RegimeEspecial!E:E,Planilha1!G62)</f>
        <v/>
      </c>
      <c r="L62" s="151" t="n"/>
    </row>
    <row r="63">
      <c r="G63" s="148">
        <f>_xlfn.XLOOKUP(H63,RegimeEspecial!D:D,RegimeEspecial!E:E,"não achei",0,1)</f>
        <v/>
      </c>
      <c r="H63" s="11">
        <f/>
        <v/>
      </c>
      <c r="I63" s="148">
        <f>_xlfn.XLOOKUP(H63,RegimeEspecial!D:D,RegimeEspecial!F:F,"não achei",0,1)</f>
        <v/>
      </c>
      <c r="J63" s="149">
        <f>_xlfn.XLOOKUP(H63,RegimeEspecial!D:D,RegimeEspecial!C:C,"não achei",0,1)</f>
        <v/>
      </c>
      <c r="K63" s="184">
        <f>SUMIFS(RegimeEspecial!AL:AL,RegimeEspecial!D:D,Planilha1!H63,RegimeEspecial!E:E,Planilha1!G63)</f>
        <v/>
      </c>
      <c r="L63" s="151" t="n"/>
    </row>
    <row r="64">
      <c r="G64" s="148">
        <f>_xlfn.XLOOKUP(H64,RegimeEspecial!D:D,RegimeEspecial!E:E,"não achei",0,1)</f>
        <v/>
      </c>
      <c r="H64" s="11">
        <f/>
        <v/>
      </c>
      <c r="I64" s="148">
        <f>_xlfn.XLOOKUP(H64,RegimeEspecial!D:D,RegimeEspecial!F:F,"não achei",0,1)</f>
        <v/>
      </c>
      <c r="J64" s="149">
        <f>_xlfn.XLOOKUP(H64,RegimeEspecial!D:D,RegimeEspecial!C:C,"não achei",0,1)</f>
        <v/>
      </c>
      <c r="K64" s="184">
        <f>SUMIFS(RegimeEspecial!AL:AL,RegimeEspecial!D:D,Planilha1!H64,RegimeEspecial!E:E,Planilha1!G64)</f>
        <v/>
      </c>
      <c r="L64" s="151" t="n"/>
    </row>
    <row r="65">
      <c r="G65" s="148">
        <f>_xlfn.XLOOKUP(H65,RegimeEspecial!D:D,RegimeEspecial!E:E,"não achei",0,1)</f>
        <v/>
      </c>
      <c r="H65" s="11">
        <f/>
        <v/>
      </c>
      <c r="I65" s="148">
        <f>_xlfn.XLOOKUP(H65,RegimeEspecial!D:D,RegimeEspecial!F:F,"não achei",0,1)</f>
        <v/>
      </c>
      <c r="J65" s="149">
        <f>_xlfn.XLOOKUP(H65,RegimeEspecial!D:D,RegimeEspecial!C:C,"não achei",0,1)</f>
        <v/>
      </c>
      <c r="K65" s="184">
        <f>SUMIFS(RegimeEspecial!AL:AL,RegimeEspecial!D:D,Planilha1!H65,RegimeEspecial!E:E,Planilha1!G65)</f>
        <v/>
      </c>
      <c r="L65" s="151" t="n"/>
    </row>
    <row r="66">
      <c r="G66" s="148">
        <f>_xlfn.XLOOKUP(H66,RegimeEspecial!D:D,RegimeEspecial!E:E,"não achei",0,1)</f>
        <v/>
      </c>
      <c r="H66" s="11">
        <f/>
        <v/>
      </c>
      <c r="I66" s="148">
        <f>_xlfn.XLOOKUP(H66,RegimeEspecial!D:D,RegimeEspecial!F:F,"não achei",0,1)</f>
        <v/>
      </c>
      <c r="J66" s="149">
        <f>_xlfn.XLOOKUP(H66,RegimeEspecial!D:D,RegimeEspecial!C:C,"não achei",0,1)</f>
        <v/>
      </c>
      <c r="K66" s="184">
        <f>SUMIFS(RegimeEspecial!AL:AL,RegimeEspecial!D:D,Planilha1!H66,RegimeEspecial!E:E,Planilha1!G66)</f>
        <v/>
      </c>
      <c r="L66" s="151" t="n"/>
    </row>
    <row r="67">
      <c r="G67" s="148">
        <f>_xlfn.XLOOKUP(H67,RegimeEspecial!D:D,RegimeEspecial!E:E,"não achei",0,1)</f>
        <v/>
      </c>
      <c r="H67" s="11" t="n"/>
      <c r="I67" s="148">
        <f>_xlfn.XLOOKUP(H67,RegimeEspecial!D:D,RegimeEspecial!F:F,"não achei",0,1)</f>
        <v/>
      </c>
      <c r="J67" s="149">
        <f>_xlfn.XLOOKUP(H67,RegimeEspecial!D:D,RegimeEspecial!C:C,"não achei",0,1)</f>
        <v/>
      </c>
      <c r="K67" s="184">
        <f>SUMIFS(RegimeEspecial!AL:AL,RegimeEspecial!D:D,Planilha1!H67,RegimeEspecial!E:E,Planilha1!G67)</f>
        <v/>
      </c>
      <c r="L67" s="151" t="n"/>
    </row>
    <row r="68">
      <c r="G68" s="148">
        <f>_xlfn.XLOOKUP(H68,RegimeEspecial!D:D,RegimeEspecial!E:E,"não achei",0,1)</f>
        <v/>
      </c>
      <c r="H68" s="11" t="n"/>
      <c r="I68" s="148">
        <f>_xlfn.XLOOKUP(H68,RegimeEspecial!D:D,RegimeEspecial!F:F,"não achei",0,1)</f>
        <v/>
      </c>
      <c r="J68" s="149">
        <f>_xlfn.XLOOKUP(H68,RegimeEspecial!D:D,RegimeEspecial!C:C,"não achei",0,1)</f>
        <v/>
      </c>
      <c r="K68" s="184">
        <f>SUMIFS(RegimeEspecial!AL:AL,RegimeEspecial!D:D,Planilha1!H68,RegimeEspecial!E:E,Planilha1!G68)</f>
        <v/>
      </c>
      <c r="L68" s="151" t="n"/>
    </row>
    <row r="69">
      <c r="G69" s="148">
        <f>_xlfn.XLOOKUP(H69,RegimeEspecial!D:D,RegimeEspecial!E:E,"não achei",0,1)</f>
        <v/>
      </c>
      <c r="H69" s="11" t="n"/>
      <c r="I69" s="148">
        <f>_xlfn.XLOOKUP(H69,RegimeEspecial!D:D,RegimeEspecial!F:F,"não achei",0,1)</f>
        <v/>
      </c>
      <c r="J69" s="149">
        <f>_xlfn.XLOOKUP(H69,RegimeEspecial!D:D,RegimeEspecial!C:C,"não achei",0,1)</f>
        <v/>
      </c>
      <c r="K69" s="184">
        <f>SUMIFS(RegimeEspecial!AL:AL,RegimeEspecial!D:D,Planilha1!H69,RegimeEspecial!E:E,Planilha1!G69)</f>
        <v/>
      </c>
      <c r="L69" s="151" t="n"/>
    </row>
    <row r="70">
      <c r="G70" s="148">
        <f>_xlfn.XLOOKUP(H70,RegimeEspecial!D:D,RegimeEspecial!E:E,"não achei",0,1)</f>
        <v/>
      </c>
      <c r="H70" s="11" t="n"/>
      <c r="I70" s="148">
        <f>_xlfn.XLOOKUP(H70,RegimeEspecial!D:D,RegimeEspecial!F:F,"não achei",0,1)</f>
        <v/>
      </c>
      <c r="J70" s="149">
        <f>_xlfn.XLOOKUP(H70,RegimeEspecial!D:D,RegimeEspecial!C:C,"não achei",0,1)</f>
        <v/>
      </c>
      <c r="K70" s="184">
        <f>SUMIFS(RegimeEspecial!AL:AL,RegimeEspecial!D:D,Planilha1!H70,RegimeEspecial!E:E,Planilha1!G70)</f>
        <v/>
      </c>
      <c r="L70" s="151" t="n"/>
    </row>
    <row r="71">
      <c r="G71" s="148">
        <f>_xlfn.XLOOKUP(H71,RegimeEspecial!D:D,RegimeEspecial!E:E,"não achei",0,1)</f>
        <v/>
      </c>
      <c r="H71" s="11" t="n"/>
      <c r="I71" s="148">
        <f>_xlfn.XLOOKUP(H71,RegimeEspecial!D:D,RegimeEspecial!F:F,"não achei",0,1)</f>
        <v/>
      </c>
      <c r="J71" s="149">
        <f>_xlfn.XLOOKUP(H71,RegimeEspecial!D:D,RegimeEspecial!C:C,"não achei",0,1)</f>
        <v/>
      </c>
      <c r="K71" s="184">
        <f>SUMIFS(RegimeEspecial!AL:AL,RegimeEspecial!D:D,Planilha1!H71,RegimeEspecial!E:E,Planilha1!G71)</f>
        <v/>
      </c>
      <c r="L71" s="151" t="n"/>
    </row>
    <row r="72">
      <c r="G72" s="148">
        <f>_xlfn.XLOOKUP(H72,RegimeEspecial!D:D,RegimeEspecial!E:E,"não achei",0,1)</f>
        <v/>
      </c>
      <c r="H72" s="11" t="n"/>
      <c r="I72" s="148">
        <f>_xlfn.XLOOKUP(H72,RegimeEspecial!D:D,RegimeEspecial!F:F,"não achei",0,1)</f>
        <v/>
      </c>
      <c r="J72" s="149">
        <f>_xlfn.XLOOKUP(H72,RegimeEspecial!D:D,RegimeEspecial!C:C,"não achei",0,1)</f>
        <v/>
      </c>
      <c r="K72" s="184">
        <f>SUMIFS(RegimeEspecial!AL:AL,RegimeEspecial!D:D,Planilha1!H72,RegimeEspecial!E:E,Planilha1!G72)</f>
        <v/>
      </c>
      <c r="L72" s="151" t="n"/>
    </row>
    <row r="73">
      <c r="H73" s="11" t="n"/>
      <c r="J73" s="18" t="n"/>
      <c r="K73" s="182" t="n"/>
    </row>
    <row r="74">
      <c r="H74" s="11" t="n"/>
      <c r="J74" s="18" t="n"/>
      <c r="K74" s="182" t="n"/>
    </row>
    <row r="75">
      <c r="H75" s="11" t="n"/>
      <c r="J75" s="18" t="n"/>
      <c r="K75" s="182" t="n"/>
    </row>
    <row r="76">
      <c r="H76" s="11" t="n"/>
      <c r="J76" s="18" t="n"/>
      <c r="K76" s="182" t="n"/>
    </row>
    <row r="77">
      <c r="H77" s="11" t="n"/>
      <c r="J77" s="18" t="n"/>
      <c r="K77" s="182" t="n"/>
    </row>
    <row r="78">
      <c r="H78" s="11" t="n"/>
      <c r="J78" s="18" t="n"/>
      <c r="K78" s="182" t="n"/>
    </row>
    <row r="79">
      <c r="H79" s="11" t="n"/>
      <c r="J79" s="18" t="n"/>
      <c r="K79" s="182" t="n"/>
    </row>
    <row r="80">
      <c r="H80" s="11" t="n"/>
      <c r="J80" s="18" t="n"/>
      <c r="K80" s="182" t="n"/>
    </row>
  </sheetData>
  <pageMargins left="0.511811024" right="0.511811024" top="0.787401575" bottom="0.787401575" header="0.31496062" footer="0.31496062"/>
  <pageSetup orientation="portrait" paperSize="9"/>
</worksheet>
</file>

<file path=xl/worksheets/sheet3.xml><?xml version="1.0" encoding="utf-8"?>
<worksheet xmlns="http://schemas.openxmlformats.org/spreadsheetml/2006/main">
  <sheetPr codeName="wsRelacaoNFE">
    <outlinePr summaryBelow="1" summaryRight="1"/>
    <pageSetUpPr/>
  </sheetPr>
  <dimension ref="A1:K62"/>
  <sheetViews>
    <sheetView topLeftCell="C1" workbookViewId="0">
      <selection activeCell="D71" sqref="D71"/>
    </sheetView>
  </sheetViews>
  <sheetFormatPr baseColWidth="8" defaultRowHeight="15"/>
  <cols>
    <col width="14.140625" customWidth="1" min="1" max="1"/>
    <col width="49.42578125" customWidth="1" style="1" min="2" max="2"/>
    <col width="8.28515625" customWidth="1" min="3" max="3"/>
    <col width="20.42578125" customWidth="1" min="4" max="7"/>
    <col width="19.42578125" customWidth="1" min="8" max="8"/>
    <col width="18.85546875" customWidth="1" style="182" min="9" max="9"/>
  </cols>
  <sheetData>
    <row r="1">
      <c r="A1" t="inlineStr">
        <is>
          <t>DATA</t>
        </is>
      </c>
      <c r="B1" t="inlineStr">
        <is>
          <t>CHAVE DE ACESSO</t>
        </is>
      </c>
      <c r="C1" t="inlineStr">
        <is>
          <t>Nº NF</t>
        </is>
      </c>
      <c r="D1" t="inlineStr">
        <is>
          <t>FORNECEDOR</t>
        </is>
      </c>
      <c r="E1" t="inlineStr">
        <is>
          <t>Valor Total da Nfe</t>
        </is>
      </c>
      <c r="F1" t="inlineStr">
        <is>
          <t>BC ICMS Nfe</t>
        </is>
      </c>
      <c r="G1" t="inlineStr">
        <is>
          <t>ICMS Nfe</t>
        </is>
      </c>
      <c r="H1" t="inlineStr">
        <is>
          <t>ICMS ST Retido</t>
        </is>
      </c>
      <c r="I1" t="inlineStr">
        <is>
          <t>Valor ICMS a Pagar</t>
        </is>
      </c>
    </row>
    <row r="2" hidden="1">
      <c r="A2" s="18" t="n"/>
      <c r="B2" s="11" t="n"/>
      <c r="E2" s="172" t="n"/>
      <c r="F2" s="172" t="n"/>
      <c r="G2" s="172" t="n"/>
      <c r="H2" s="172" t="n"/>
      <c r="I2" s="172" t="n"/>
    </row>
    <row r="3" hidden="1">
      <c r="A3" s="153" t="n"/>
      <c r="B3" s="11" t="n"/>
      <c r="E3" s="172" t="n"/>
      <c r="F3" s="172" t="n"/>
      <c r="G3" s="172" t="n"/>
      <c r="H3" s="172" t="n"/>
      <c r="I3" s="172" t="n"/>
    </row>
    <row r="4" hidden="1">
      <c r="A4" s="18" t="n"/>
      <c r="B4" s="11" t="n"/>
      <c r="E4" s="172" t="n"/>
      <c r="F4" s="172" t="n"/>
      <c r="G4" s="172" t="n"/>
      <c r="H4" s="172" t="n"/>
      <c r="I4" s="172" t="n"/>
    </row>
    <row r="5">
      <c r="A5" s="18" t="n"/>
      <c r="B5" s="11" t="n"/>
      <c r="E5" s="172" t="n"/>
      <c r="F5" s="172" t="n"/>
      <c r="G5" s="172" t="n"/>
      <c r="H5" s="172" t="n"/>
      <c r="I5" s="172" t="n"/>
    </row>
    <row r="6" hidden="1">
      <c r="A6" s="18" t="n"/>
      <c r="B6" s="11" t="n"/>
      <c r="E6" s="172" t="n"/>
      <c r="F6" s="172" t="n"/>
      <c r="G6" s="172" t="n"/>
      <c r="H6" s="172" t="n"/>
      <c r="I6" s="172" t="n"/>
    </row>
    <row r="7">
      <c r="A7" s="18" t="n"/>
      <c r="B7" s="11" t="n"/>
      <c r="E7" s="172" t="n"/>
      <c r="F7" s="172" t="n"/>
      <c r="G7" s="172" t="n"/>
      <c r="H7" s="172" t="n"/>
      <c r="I7" s="172" t="n"/>
    </row>
    <row r="8">
      <c r="A8" s="18" t="n"/>
      <c r="B8" s="11" t="n"/>
      <c r="E8" s="172" t="n"/>
      <c r="F8" s="172" t="n"/>
      <c r="G8" s="172" t="n"/>
      <c r="H8" s="172" t="n"/>
      <c r="I8" s="172" t="n"/>
    </row>
    <row r="9">
      <c r="A9" s="18" t="n"/>
      <c r="B9" s="11" t="n"/>
      <c r="E9" s="172" t="n"/>
      <c r="F9" s="172" t="n"/>
      <c r="G9" s="172" t="n"/>
      <c r="H9" s="172" t="n"/>
      <c r="I9" s="172" t="n"/>
    </row>
    <row r="10" hidden="1">
      <c r="A10" s="18" t="n"/>
      <c r="B10" s="11" t="n"/>
      <c r="E10" s="172" t="n"/>
      <c r="F10" s="172" t="n"/>
      <c r="G10" s="172" t="n"/>
      <c r="H10" s="172" t="n"/>
      <c r="I10" s="172" t="n"/>
    </row>
    <row r="11" hidden="1">
      <c r="A11" s="18" t="n"/>
      <c r="B11" s="11" t="n"/>
      <c r="E11" s="172" t="n"/>
      <c r="F11" s="172" t="n"/>
      <c r="G11" s="172" t="n"/>
      <c r="H11" s="172" t="n"/>
      <c r="I11" s="172" t="n"/>
    </row>
    <row r="12" hidden="1">
      <c r="A12" s="18" t="n"/>
      <c r="B12" s="11" t="n"/>
      <c r="E12" s="172" t="n"/>
      <c r="F12" s="172" t="n"/>
      <c r="G12" s="172" t="n"/>
      <c r="H12" s="172" t="n"/>
      <c r="I12" s="172" t="n"/>
    </row>
    <row r="13" hidden="1">
      <c r="A13" s="18" t="n"/>
      <c r="B13" s="11" t="n"/>
      <c r="E13" s="172" t="n"/>
      <c r="F13" s="172" t="n"/>
      <c r="G13" s="172" t="n"/>
      <c r="H13" s="172" t="n"/>
      <c r="I13" s="172" t="n"/>
    </row>
    <row r="14" hidden="1">
      <c r="A14" s="18" t="n"/>
      <c r="B14" s="11" t="n"/>
      <c r="E14" s="172" t="n"/>
      <c r="F14" s="172" t="n"/>
      <c r="G14" s="172" t="n"/>
      <c r="H14" s="172" t="n"/>
      <c r="I14" s="172" t="n"/>
    </row>
    <row r="15" hidden="1">
      <c r="A15" s="18" t="n"/>
      <c r="B15" s="11" t="n"/>
      <c r="E15" s="172" t="n"/>
      <c r="F15" s="172" t="n"/>
      <c r="G15" s="172" t="n"/>
      <c r="H15" s="172" t="n"/>
      <c r="I15" s="172" t="n"/>
    </row>
    <row r="16" hidden="1">
      <c r="A16" s="18" t="n"/>
      <c r="B16" s="11" t="n"/>
      <c r="E16" s="172" t="n"/>
      <c r="F16" s="172" t="n"/>
      <c r="G16" s="172" t="n"/>
      <c r="H16" s="172" t="n"/>
      <c r="I16" s="172" t="n"/>
    </row>
    <row r="17">
      <c r="A17" s="18" t="n"/>
      <c r="B17" s="11" t="n"/>
      <c r="E17" s="172" t="n"/>
      <c r="F17" s="172" t="n"/>
      <c r="G17" s="172" t="n"/>
      <c r="H17" s="172" t="n"/>
      <c r="I17" s="172" t="n"/>
    </row>
    <row r="18">
      <c r="A18" s="18" t="n"/>
      <c r="B18" s="11" t="n"/>
      <c r="E18" s="172" t="n"/>
      <c r="F18" s="172" t="n"/>
      <c r="G18" s="172" t="n"/>
      <c r="H18" s="172" t="n"/>
      <c r="I18" s="172" t="n"/>
    </row>
    <row r="19" hidden="1">
      <c r="A19" s="18" t="n"/>
      <c r="B19" s="11" t="n"/>
      <c r="E19" s="172" t="n"/>
      <c r="F19" s="172" t="n"/>
      <c r="G19" s="172" t="n"/>
      <c r="H19" s="172" t="n"/>
      <c r="I19" s="172" t="n"/>
    </row>
    <row r="20" hidden="1">
      <c r="A20" s="18" t="n"/>
      <c r="B20" s="11" t="n"/>
      <c r="E20" s="172" t="n"/>
      <c r="F20" s="172" t="n"/>
      <c r="G20" s="172" t="n"/>
      <c r="H20" s="172" t="n"/>
      <c r="I20" s="172" t="n"/>
    </row>
    <row r="21" hidden="1">
      <c r="A21" s="18" t="n"/>
      <c r="B21" s="11" t="n"/>
      <c r="E21" s="172" t="n"/>
      <c r="F21" s="172" t="n"/>
      <c r="G21" s="172" t="n"/>
      <c r="H21" s="172" t="n"/>
      <c r="I21" s="172" t="n"/>
    </row>
    <row r="22" hidden="1">
      <c r="A22" s="18" t="n"/>
      <c r="B22" s="11" t="n"/>
      <c r="E22" s="172" t="n"/>
      <c r="F22" s="172" t="n"/>
      <c r="G22" s="172" t="n"/>
      <c r="H22" s="172" t="n"/>
      <c r="I22" s="172" t="n"/>
    </row>
    <row r="23" hidden="1">
      <c r="A23" s="18" t="n"/>
      <c r="B23" s="11" t="n"/>
      <c r="E23" s="172" t="n"/>
      <c r="F23" s="172" t="n"/>
      <c r="G23" s="172" t="n"/>
      <c r="H23" s="172" t="n"/>
      <c r="I23" s="172" t="n"/>
    </row>
    <row r="24" hidden="1">
      <c r="A24" s="18" t="n"/>
      <c r="B24" s="11" t="n"/>
      <c r="E24" s="172" t="n"/>
      <c r="F24" s="172" t="n"/>
      <c r="G24" s="172" t="n"/>
      <c r="H24" s="172" t="n"/>
      <c r="I24" s="172" t="n"/>
    </row>
    <row r="25">
      <c r="A25" s="18" t="n"/>
      <c r="B25" s="11" t="n"/>
      <c r="E25" s="172" t="n"/>
      <c r="F25" s="172" t="n"/>
      <c r="G25" s="172" t="n"/>
      <c r="H25" s="172" t="n"/>
      <c r="I25" s="172" t="n"/>
    </row>
    <row r="26">
      <c r="A26" s="18" t="n"/>
      <c r="B26" s="11" t="n"/>
      <c r="E26" s="172" t="n"/>
      <c r="F26" s="172" t="n"/>
      <c r="G26" s="172" t="n"/>
      <c r="H26" s="172" t="n"/>
      <c r="I26" s="172" t="n"/>
    </row>
    <row r="27" hidden="1">
      <c r="A27" s="18" t="n"/>
      <c r="B27" s="11" t="n"/>
      <c r="E27" s="172" t="n"/>
      <c r="F27" s="172" t="n"/>
      <c r="G27" s="172" t="n"/>
      <c r="H27" s="172" t="n"/>
      <c r="I27" s="172" t="n"/>
    </row>
    <row r="28" hidden="1">
      <c r="A28" s="18" t="n"/>
      <c r="B28" s="11" t="n"/>
      <c r="E28" s="172" t="n"/>
      <c r="F28" s="172" t="n"/>
      <c r="G28" s="172" t="n"/>
      <c r="H28" s="172" t="n"/>
      <c r="I28" s="172" t="n"/>
    </row>
    <row r="29" hidden="1">
      <c r="A29" s="18" t="n"/>
      <c r="B29" s="11" t="n"/>
      <c r="E29" s="172" t="n"/>
      <c r="F29" s="172" t="n"/>
      <c r="G29" s="172" t="n"/>
      <c r="H29" s="172" t="n"/>
      <c r="I29" s="172" t="n"/>
    </row>
    <row r="30">
      <c r="A30" s="18" t="n"/>
      <c r="B30" s="11" t="n"/>
      <c r="E30" s="172" t="n"/>
      <c r="F30" s="172" t="n"/>
      <c r="G30" s="172" t="n"/>
      <c r="H30" s="172" t="n"/>
      <c r="I30" s="172" t="n"/>
    </row>
    <row r="31" hidden="1">
      <c r="A31" s="18" t="n"/>
      <c r="B31" s="11" t="n"/>
      <c r="E31" s="172" t="n"/>
      <c r="F31" s="172" t="n"/>
      <c r="G31" s="172" t="n"/>
      <c r="H31" s="172" t="n"/>
      <c r="I31" s="172" t="n"/>
    </row>
    <row r="32" hidden="1">
      <c r="A32" s="18" t="n"/>
      <c r="B32" s="11" t="n"/>
      <c r="E32" s="172" t="n"/>
      <c r="F32" s="172" t="n"/>
      <c r="G32" s="172" t="n"/>
      <c r="H32" s="172" t="n"/>
      <c r="I32" s="172" t="n"/>
    </row>
    <row r="33" hidden="1">
      <c r="A33" s="18" t="n"/>
      <c r="B33" s="11" t="n"/>
      <c r="E33" s="172" t="n"/>
      <c r="F33" s="172" t="n"/>
      <c r="G33" s="172" t="n"/>
      <c r="H33" s="172" t="n"/>
      <c r="I33" s="172" t="n"/>
    </row>
    <row r="34" hidden="1">
      <c r="A34" s="18" t="n"/>
      <c r="B34" s="11" t="n"/>
      <c r="E34" s="172" t="n"/>
      <c r="F34" s="172" t="n"/>
      <c r="G34" s="172" t="n"/>
      <c r="H34" s="172" t="n"/>
      <c r="I34" s="172" t="n"/>
    </row>
    <row r="35" hidden="1" customFormat="1" s="115">
      <c r="A35" s="18" t="n"/>
      <c r="B35" s="11" t="n"/>
      <c r="E35" s="172" t="n"/>
      <c r="F35" s="172" t="n"/>
      <c r="G35" s="172" t="n"/>
      <c r="H35" s="172" t="n"/>
      <c r="I35" s="172" t="n"/>
    </row>
    <row r="36" hidden="1">
      <c r="A36" s="18" t="n"/>
      <c r="B36" s="11" t="n"/>
      <c r="E36" s="172" t="n"/>
      <c r="F36" s="172" t="n"/>
      <c r="G36" s="172" t="n"/>
      <c r="H36" s="172" t="n"/>
      <c r="I36" s="172" t="n"/>
    </row>
    <row r="37" hidden="1">
      <c r="A37" s="18" t="n"/>
      <c r="B37" s="11" t="n"/>
      <c r="E37" s="172" t="n"/>
      <c r="F37" s="172" t="n"/>
      <c r="G37" s="172" t="n"/>
      <c r="H37" s="172" t="n"/>
      <c r="I37" s="172" t="n"/>
    </row>
    <row r="38" hidden="1">
      <c r="A38" s="18" t="n"/>
      <c r="B38" s="11" t="n"/>
      <c r="E38" s="172" t="n"/>
      <c r="F38" s="172" t="n"/>
      <c r="G38" s="172" t="n"/>
      <c r="H38" s="172" t="n"/>
      <c r="I38" s="172" t="n"/>
    </row>
    <row r="39" hidden="1">
      <c r="A39" s="18" t="n"/>
      <c r="B39" s="11" t="n"/>
      <c r="E39" s="172" t="n"/>
      <c r="F39" s="172" t="n"/>
      <c r="G39" s="172" t="n"/>
      <c r="H39" s="172" t="n"/>
      <c r="I39" s="172" t="n"/>
    </row>
    <row r="40" hidden="1">
      <c r="A40" s="18" t="n"/>
      <c r="B40" s="11" t="n"/>
      <c r="E40" s="172" t="n"/>
      <c r="F40" s="172" t="n"/>
      <c r="G40" s="172" t="n"/>
      <c r="H40" s="172" t="n"/>
      <c r="I40" s="172" t="n"/>
      <c r="K40" s="143" t="n"/>
    </row>
    <row r="41" hidden="1">
      <c r="A41" s="18" t="n"/>
      <c r="B41" s="11" t="n"/>
      <c r="E41" s="172" t="n"/>
      <c r="F41" s="172" t="n"/>
      <c r="G41" s="172" t="n"/>
      <c r="H41" s="172" t="n"/>
      <c r="I41" s="172" t="n"/>
    </row>
    <row r="42" hidden="1">
      <c r="A42" s="18" t="n"/>
      <c r="B42" s="11" t="n"/>
      <c r="E42" s="172" t="n"/>
      <c r="F42" s="172" t="n"/>
      <c r="G42" s="172" t="n"/>
      <c r="H42" s="172" t="n"/>
      <c r="I42" s="172" t="n"/>
    </row>
    <row r="43" hidden="1">
      <c r="A43" s="18" t="n"/>
      <c r="B43" s="11" t="n"/>
      <c r="E43" s="172" t="n"/>
      <c r="F43" s="172" t="n"/>
      <c r="G43" s="172" t="n"/>
      <c r="H43" s="172" t="n"/>
      <c r="I43" s="172" t="n"/>
    </row>
    <row r="44" hidden="1">
      <c r="A44" s="18" t="n"/>
      <c r="B44" s="11" t="n"/>
      <c r="E44" s="172" t="n"/>
      <c r="F44" s="172" t="n"/>
      <c r="G44" s="172" t="n"/>
      <c r="H44" s="172" t="n"/>
      <c r="I44" s="172" t="n"/>
    </row>
    <row r="45" hidden="1">
      <c r="A45" s="18" t="n"/>
      <c r="B45" s="11" t="n"/>
      <c r="E45" s="172" t="n"/>
      <c r="F45" s="172" t="n"/>
      <c r="G45" s="172" t="n"/>
      <c r="H45" s="172" t="n"/>
      <c r="I45" s="172" t="n"/>
    </row>
    <row r="46" hidden="1">
      <c r="A46" s="18" t="n"/>
      <c r="B46" s="11" t="n"/>
      <c r="E46" s="172" t="n"/>
      <c r="F46" s="172" t="n"/>
      <c r="G46" s="172" t="n"/>
      <c r="H46" s="172" t="n"/>
      <c r="I46" s="172" t="n"/>
    </row>
    <row r="47" hidden="1">
      <c r="A47" s="18" t="n"/>
      <c r="B47" s="11" t="n"/>
      <c r="E47" s="172" t="n"/>
      <c r="F47" s="172" t="n"/>
      <c r="G47" s="172" t="n"/>
      <c r="H47" s="172" t="n"/>
      <c r="I47" s="172" t="n"/>
    </row>
    <row r="48" hidden="1">
      <c r="A48" s="18" t="n"/>
      <c r="B48" s="11" t="n"/>
      <c r="E48" s="172" t="n"/>
      <c r="F48" s="172" t="n"/>
      <c r="G48" s="172" t="n"/>
      <c r="H48" s="172" t="n"/>
      <c r="I48" s="172" t="n"/>
    </row>
    <row r="49" hidden="1">
      <c r="A49" s="18" t="n"/>
      <c r="B49" s="11" t="n"/>
      <c r="E49" s="172" t="n"/>
      <c r="F49" s="172" t="n"/>
      <c r="G49" s="172" t="n"/>
      <c r="H49" s="172" t="n"/>
      <c r="I49" s="172" t="n"/>
    </row>
    <row r="50" hidden="1">
      <c r="A50" s="18" t="n"/>
      <c r="B50" s="11" t="n"/>
      <c r="E50" s="172" t="n"/>
      <c r="F50" s="172" t="n"/>
      <c r="G50" s="172" t="n"/>
      <c r="H50" s="172" t="n"/>
      <c r="I50" s="172" t="n"/>
    </row>
    <row r="51" hidden="1" customFormat="1" s="115">
      <c r="A51" s="18" t="n"/>
      <c r="B51" s="11" t="n"/>
      <c r="E51" s="172" t="n"/>
      <c r="F51" s="172" t="n"/>
      <c r="G51" s="172" t="n"/>
      <c r="H51" s="172" t="n"/>
      <c r="I51" s="172" t="n"/>
    </row>
    <row r="52" hidden="1">
      <c r="A52" s="18" t="n"/>
      <c r="B52" s="11" t="n"/>
      <c r="E52" s="172" t="n"/>
      <c r="F52" s="172" t="n"/>
      <c r="G52" s="172" t="n"/>
      <c r="H52" s="172" t="n"/>
      <c r="I52" s="172" t="n"/>
    </row>
    <row r="53" hidden="1">
      <c r="A53" s="18" t="n"/>
      <c r="B53" s="11" t="n"/>
      <c r="E53" s="172" t="n"/>
      <c r="F53" s="172" t="n"/>
      <c r="G53" s="172" t="n"/>
      <c r="H53" s="172" t="n"/>
      <c r="I53" s="172" t="n"/>
    </row>
    <row r="54" hidden="1">
      <c r="A54" s="18" t="n"/>
      <c r="B54" s="11" t="n"/>
      <c r="E54" s="172" t="n"/>
      <c r="F54" s="172" t="n"/>
      <c r="G54" s="172" t="n"/>
      <c r="H54" s="172" t="n"/>
      <c r="I54" s="172" t="n"/>
    </row>
    <row r="55" hidden="1">
      <c r="A55" s="18" t="n"/>
      <c r="B55" s="11" t="n"/>
      <c r="E55" s="172" t="n"/>
      <c r="F55" s="172" t="n"/>
      <c r="G55" s="172" t="n"/>
      <c r="H55" s="172" t="n"/>
      <c r="I55" s="172" t="n"/>
    </row>
    <row r="56" hidden="1">
      <c r="A56" s="153" t="n"/>
      <c r="B56" s="11" t="n"/>
      <c r="E56" s="172" t="n"/>
      <c r="F56" s="172" t="n"/>
      <c r="G56" s="172" t="n"/>
      <c r="H56" s="172" t="n"/>
      <c r="I56" s="172" t="n"/>
    </row>
    <row r="57" hidden="1">
      <c r="A57" s="18" t="n"/>
      <c r="B57" s="11" t="n"/>
      <c r="E57" s="172" t="n"/>
      <c r="F57" s="172" t="n"/>
      <c r="G57" s="172" t="n"/>
      <c r="H57" s="172" t="n"/>
      <c r="I57" s="172" t="n"/>
    </row>
    <row r="58" hidden="1">
      <c r="A58" s="18" t="n"/>
      <c r="B58" s="11" t="n"/>
      <c r="E58" s="172" t="n"/>
      <c r="F58" s="172" t="n"/>
      <c r="G58" s="172" t="n"/>
      <c r="H58" s="172" t="n"/>
      <c r="I58" s="172" t="n"/>
    </row>
    <row r="59" hidden="1">
      <c r="A59" s="18" t="n"/>
      <c r="B59" s="11" t="n"/>
      <c r="E59" s="172" t="n"/>
      <c r="F59" s="172" t="n"/>
      <c r="G59" s="172" t="n"/>
      <c r="H59" s="172" t="n"/>
      <c r="I59" s="172" t="n"/>
    </row>
    <row r="60" hidden="1">
      <c r="A60" s="18" t="n"/>
      <c r="B60" s="11" t="n"/>
      <c r="E60" s="172" t="n"/>
      <c r="F60" s="172" t="n"/>
      <c r="G60" s="172" t="n"/>
      <c r="H60" s="172" t="n"/>
      <c r="I60" s="172" t="n"/>
    </row>
    <row r="61" hidden="1">
      <c r="A61" s="18" t="n"/>
      <c r="B61" s="11" t="n"/>
      <c r="E61" s="172" t="n"/>
      <c r="F61" s="172" t="n"/>
      <c r="G61" s="172" t="n"/>
      <c r="H61" s="172" t="n"/>
      <c r="I61" s="172" t="n"/>
    </row>
    <row r="62" hidden="1">
      <c r="A62" s="18" t="n"/>
      <c r="B62" s="11" t="n"/>
      <c r="E62" s="172" t="n"/>
      <c r="F62" s="172" t="n"/>
      <c r="G62" s="172" t="n"/>
      <c r="H62" s="172" t="n"/>
      <c r="I62" s="172" t="n"/>
    </row>
    <row r="77" customFormat="1" s="115"/>
    <row r="79" customFormat="1" s="115"/>
    <row r="80" customFormat="1" s="115"/>
    <row r="88" customFormat="1" s="115"/>
  </sheetData>
  <pageMargins left="0.511811024" right="0.511811024" top="0.787401575" bottom="0.787401575" header="0.31496062" footer="0.31496062"/>
  <tableParts count="1">
    <tablePart xmlns:r="http://schemas.openxmlformats.org/officeDocument/2006/relationships" r:id="rId1"/>
  </tableParts>
</worksheet>
</file>

<file path=xl/worksheets/sheet4.xml><?xml version="1.0" encoding="utf-8"?>
<worksheet xmlns="http://schemas.openxmlformats.org/spreadsheetml/2006/main">
  <sheetPr codeName="wsGNRE">
    <outlinePr summaryBelow="1" summaryRight="1"/>
    <pageSetUpPr/>
  </sheetPr>
  <dimension ref="A1:J16"/>
  <sheetViews>
    <sheetView workbookViewId="0">
      <selection activeCell="F11" sqref="F11"/>
    </sheetView>
  </sheetViews>
  <sheetFormatPr baseColWidth="8" defaultColWidth="9.140625" defaultRowHeight="15"/>
  <cols>
    <col width="10.28515625" customWidth="1" style="182" min="1" max="1"/>
    <col width="10.28515625" customWidth="1" style="18" min="2" max="2"/>
    <col width="47.7109375" customWidth="1" style="11" min="3" max="3"/>
    <col width="15.28515625" customWidth="1" style="11" min="4" max="5"/>
    <col width="44.42578125" customWidth="1" style="11" min="6" max="6"/>
    <col width="18.28515625" customWidth="1" style="11" min="7" max="7"/>
    <col width="15.7109375" customWidth="1" style="182" min="8" max="8"/>
    <col width="0.85546875" customWidth="1" style="17" min="9" max="9"/>
    <col width="1.140625" customWidth="1" style="11" min="10" max="10"/>
    <col width="9.140625" customWidth="1" style="11" min="11" max="16384"/>
  </cols>
  <sheetData>
    <row r="1" ht="54" customHeight="1">
      <c r="A1" s="12" t="inlineStr">
        <is>
          <t>N. GNRE</t>
        </is>
      </c>
      <c r="B1" s="13" t="inlineStr">
        <is>
          <t>DATA PGTO</t>
        </is>
      </c>
      <c r="C1" s="12" t="inlineStr">
        <is>
          <t>RAZÃO SOCIAL DO CONTRIBUINTE EMITENTE</t>
        </is>
      </c>
      <c r="D1" s="12" t="inlineStr">
        <is>
          <t>CNPJ DO CONTRIBUINTE EMITENTE</t>
        </is>
      </c>
      <c r="E1" s="12" t="inlineStr">
        <is>
          <t xml:space="preserve">UF DO CONTRIBUINTE EMITENTE </t>
        </is>
      </c>
      <c r="F1" s="12" t="inlineStr">
        <is>
          <t>CHAVE DE ACESSO DA NFE</t>
        </is>
      </c>
      <c r="G1" s="12" t="inlineStr">
        <is>
          <t>Nº NF</t>
        </is>
      </c>
      <c r="H1" s="185" t="inlineStr">
        <is>
          <t>VALOR GNRE</t>
        </is>
      </c>
      <c r="I1" s="14" t="inlineStr">
        <is>
          <t>Validação 1</t>
        </is>
      </c>
      <c r="J1" s="15" t="inlineStr">
        <is>
          <t>Validação 2</t>
        </is>
      </c>
    </row>
    <row r="2" ht="54" customHeight="1">
      <c r="A2" s="186" t="n"/>
      <c r="B2" s="9" t="n"/>
      <c r="C2" s="10" t="n"/>
      <c r="D2" s="10" t="n"/>
      <c r="E2" s="10" t="n"/>
      <c r="F2" s="10" t="n"/>
      <c r="G2" s="10" t="n"/>
      <c r="H2" s="186" t="n"/>
      <c r="J2" s="183" t="n"/>
    </row>
    <row r="3">
      <c r="A3" s="186" t="n"/>
      <c r="B3" s="9" t="n"/>
      <c r="C3" s="10" t="n"/>
      <c r="D3" s="10" t="n"/>
      <c r="E3" s="10" t="n"/>
      <c r="F3" s="10" t="n"/>
      <c r="G3" s="10" t="n"/>
      <c r="H3" s="186" t="n"/>
      <c r="J3" s="183" t="n"/>
    </row>
    <row r="4">
      <c r="A4" s="186" t="n"/>
      <c r="B4" s="9" t="n"/>
      <c r="C4" s="10" t="n"/>
      <c r="D4" s="10" t="n"/>
      <c r="E4" s="10" t="n"/>
      <c r="F4" s="10" t="n"/>
      <c r="G4" s="10" t="n"/>
      <c r="H4" s="186" t="n"/>
      <c r="J4" s="183" t="n"/>
    </row>
    <row r="5">
      <c r="A5" s="186" t="n"/>
      <c r="B5" s="9" t="n"/>
      <c r="C5" s="10" t="n"/>
      <c r="D5" s="10" t="n"/>
      <c r="E5" s="10" t="n"/>
      <c r="F5" s="10" t="n"/>
      <c r="G5" s="10" t="n"/>
      <c r="H5" s="186" t="n"/>
      <c r="J5" s="183" t="n"/>
    </row>
    <row r="6">
      <c r="A6" s="186" t="n"/>
      <c r="B6" s="9" t="n"/>
      <c r="C6" s="10" t="n"/>
      <c r="D6" s="10" t="n"/>
      <c r="E6" s="10" t="n"/>
      <c r="F6" s="10" t="n"/>
      <c r="G6" s="10" t="n"/>
      <c r="H6" s="186" t="n"/>
      <c r="J6" s="183" t="n"/>
    </row>
    <row r="7">
      <c r="A7" s="186" t="n"/>
      <c r="B7" s="9" t="n"/>
      <c r="C7" s="10" t="n"/>
      <c r="D7" s="10" t="n"/>
      <c r="E7" s="10" t="n"/>
      <c r="F7" s="10" t="n"/>
      <c r="G7" s="10" t="n"/>
      <c r="H7" s="186" t="n"/>
      <c r="J7" s="183" t="n"/>
    </row>
    <row r="8">
      <c r="A8" s="186" t="n"/>
      <c r="B8" s="9" t="n"/>
      <c r="C8" s="10" t="n"/>
      <c r="D8" s="10" t="n"/>
      <c r="E8" s="10" t="n"/>
      <c r="F8" s="10" t="n"/>
      <c r="G8" s="10" t="n"/>
      <c r="H8" s="186" t="n"/>
      <c r="J8" s="183" t="n"/>
    </row>
    <row r="9">
      <c r="A9" s="186" t="n"/>
      <c r="B9" s="9" t="n"/>
      <c r="C9" s="10" t="n"/>
      <c r="D9" s="10" t="n"/>
      <c r="E9" s="10" t="n"/>
      <c r="F9" s="10" t="n"/>
      <c r="G9" s="10" t="n"/>
      <c r="H9" s="186" t="n"/>
      <c r="J9" s="183" t="n"/>
    </row>
    <row r="10">
      <c r="A10" s="20" t="inlineStr">
        <is>
          <t>Total</t>
        </is>
      </c>
      <c r="F10">
        <f>SUBTOTAL(103,GNRE[CHAVE DE ACESSO DA NFE])</f>
        <v/>
      </c>
      <c r="H10" s="183">
        <f>SUBTOTAL(109,GNRE[VALOR GNRE])</f>
        <v/>
      </c>
      <c r="J10" s="183">
        <f>SUBTOTAL(109,GNRE[Validação 2])</f>
        <v/>
      </c>
    </row>
    <row r="11">
      <c r="I11" s="11" t="n"/>
    </row>
    <row r="12">
      <c r="I12" s="11" t="n"/>
    </row>
    <row r="13">
      <c r="I13" s="11" t="n"/>
    </row>
    <row r="14">
      <c r="I14" s="11" t="n"/>
    </row>
    <row r="15">
      <c r="I15" s="11" t="n"/>
    </row>
    <row r="16">
      <c r="I16" s="11" t="n"/>
    </row>
  </sheetData>
  <sheetProtection selectLockedCells="0" selectUnlockedCells="0" sheet="1" objects="1" insertRows="1" insertHyperlinks="1" autoFilter="1" scenarios="1" formatColumns="1" deleteColumns="1" insertColumns="1" pivotTables="1" deleteRows="1" formatCells="1" formatRows="1" sort="1"/>
  <conditionalFormatting sqref="A2:H2">
    <cfRule type="expression" priority="2" dxfId="20">
      <formula>$J2&gt;=2</formula>
    </cfRule>
  </conditionalFormatting>
  <conditionalFormatting sqref="A3:H9">
    <cfRule type="expression" priority="1" dxfId="20">
      <formula>$J3&gt;=2</formula>
    </cfRule>
  </conditionalFormatting>
  <pageMargins left="0.511811024" right="0.511811024" top="0.787401575" bottom="0.787401575" header="0.31496062" footer="0.31496062"/>
  <tableParts count="1">
    <tablePart xmlns:r="http://schemas.openxmlformats.org/officeDocument/2006/relationships" r:id="rId1"/>
  </tableParts>
</worksheet>
</file>

<file path=xl/worksheets/sheet5.xml><?xml version="1.0" encoding="utf-8"?>
<worksheet xmlns="http://schemas.openxmlformats.org/spreadsheetml/2006/main">
  <sheetPr codeName="wsResumo">
    <outlinePr summaryBelow="1" summaryRight="1"/>
    <pageSetUpPr/>
  </sheetPr>
  <dimension ref="A1:C179"/>
  <sheetViews>
    <sheetView workbookViewId="0">
      <selection activeCell="B21" sqref="B21"/>
    </sheetView>
  </sheetViews>
  <sheetFormatPr baseColWidth="8" defaultRowHeight="15"/>
  <cols>
    <col width="18" customWidth="1" min="1" max="1"/>
    <col width="54" customWidth="1" min="2" max="2"/>
    <col width="17.42578125" customWidth="1" style="126" min="3" max="3"/>
    <col width="8.85546875" customWidth="1" min="4" max="4"/>
    <col width="8.85546875" customWidth="1" min="10" max="10"/>
  </cols>
  <sheetData>
    <row r="1">
      <c r="A1" t="inlineStr">
        <is>
          <t>Contribuinte</t>
        </is>
      </c>
      <c r="B1" s="115" t="inlineStr">
        <is>
          <t>ROTILLI &amp; MACHADO LTDA</t>
        </is>
      </c>
    </row>
    <row r="2">
      <c r="A2" t="inlineStr">
        <is>
          <t>Cidade:</t>
        </is>
      </c>
      <c r="B2" s="115" t="inlineStr">
        <is>
          <t>CAMPO GRANDE / MS</t>
        </is>
      </c>
    </row>
    <row r="3">
      <c r="A3" t="inlineStr">
        <is>
          <t>CNPJ:</t>
        </is>
      </c>
      <c r="B3" s="115" t="inlineStr">
        <is>
          <t>08.833.844/0004-78</t>
        </is>
      </c>
    </row>
    <row r="4">
      <c r="A4" t="inlineStr">
        <is>
          <t>Inscrição Estadual:</t>
        </is>
      </c>
      <c r="B4" s="115" t="inlineStr">
        <is>
          <t>28.950.783-9</t>
        </is>
      </c>
    </row>
    <row r="5">
      <c r="B5" s="115" t="n"/>
    </row>
    <row r="6">
      <c r="A6" s="127" t="inlineStr">
        <is>
          <t>Período:</t>
        </is>
      </c>
      <c r="B6" s="128" t="n">
        <v>46113</v>
      </c>
      <c r="C6" s="129" t="n"/>
    </row>
    <row r="7">
      <c r="B7" s="125" t="n"/>
      <c r="C7" s="126" t="n"/>
    </row>
    <row r="8" ht="15.75" customHeight="1" thickBot="1">
      <c r="A8" t="inlineStr">
        <is>
          <t>Arquivo CEMED</t>
        </is>
      </c>
      <c r="B8" t="inlineStr">
        <is>
          <t>G:\Drives compartilhados\Meus Documentos (servidor)\GUIAS 2026\0863 - ROTILLI\042026\CEMED\CEMED___xls_conformidade_site_20260424_10462568.xlsx</t>
        </is>
      </c>
      <c r="C8" s="126" t="n"/>
    </row>
    <row r="9" ht="19.5" customHeight="1" thickBot="1">
      <c r="A9" s="116" t="n"/>
      <c r="B9" s="117" t="inlineStr">
        <is>
          <t>Apuração ICMS ST</t>
        </is>
      </c>
      <c r="C9" s="26" t="n"/>
    </row>
    <row r="10" ht="15.75" customHeight="1" thickBot="1">
      <c r="A10" s="118" t="inlineStr">
        <is>
          <t>1.</t>
        </is>
      </c>
      <c r="B10" s="119" t="inlineStr">
        <is>
          <t>BC ICMS ST APURADO</t>
        </is>
      </c>
      <c r="C10" s="187">
        <f>SUM(tabRegEsp[BC ICMS ST APURADO])</f>
        <v/>
      </c>
    </row>
    <row r="11" ht="16.5" customHeight="1" thickBot="1" thickTop="1">
      <c r="A11" s="120" t="inlineStr">
        <is>
          <t>2.</t>
        </is>
      </c>
      <c r="B11" s="6" t="inlineStr">
        <is>
          <t>VLR ICMS ST APURADO</t>
        </is>
      </c>
      <c r="C11" s="188">
        <f>SUM(tabRegEsp[VLR ICMS ST APURADO])</f>
        <v/>
      </c>
    </row>
    <row r="12" ht="31.5" customHeight="1" thickBot="1" thickTop="1">
      <c r="A12" s="121" t="inlineStr">
        <is>
          <t>3.</t>
        </is>
      </c>
      <c r="B12" s="7" t="inlineStr">
        <is>
          <t>SALDO CREDOR DO PERÍODO ANTERIOR EM FAVOR DO ESTABELECIMENTO (QUANDO EXISTENTE)</t>
        </is>
      </c>
      <c r="C12" s="189" t="n">
        <v>0</v>
      </c>
    </row>
    <row r="13" ht="16.5" customHeight="1" thickBot="1" thickTop="1">
      <c r="A13" s="120" t="inlineStr">
        <is>
          <t>4.</t>
        </is>
      </c>
      <c r="B13" s="6" t="inlineStr">
        <is>
          <t>CRÉDITO OUTORGADO APURADO</t>
        </is>
      </c>
      <c r="C13" s="188">
        <f>SUM(tabRegEsp[CRÉD. OUTORG.])</f>
        <v/>
      </c>
    </row>
    <row r="14" ht="16.5" customHeight="1" thickBot="1" thickTop="1">
      <c r="A14" s="120" t="n"/>
      <c r="B14" s="6" t="inlineStr">
        <is>
          <t>GNRE PAGAS NO PERÍODO/ICMS Retido na NFE</t>
        </is>
      </c>
      <c r="C14" s="188">
        <f>SUM(GNRE[VALOR GNRE])+SUM(tabRegEsp[VLR ICMS ST RETIDO])</f>
        <v/>
      </c>
    </row>
    <row r="15" ht="16.5" customHeight="1" thickBot="1" thickTop="1">
      <c r="A15" s="120" t="inlineStr">
        <is>
          <t>5.</t>
        </is>
      </c>
      <c r="B15" s="6" t="inlineStr">
        <is>
          <t>ICMS ST A RECOLHER</t>
        </is>
      </c>
      <c r="C15" s="188">
        <f>IF(C11-SUM(C12,C13,C14)&gt;=0,C11-SUM(C12,C13,C14),0)</f>
        <v/>
      </c>
    </row>
    <row r="16" ht="31.5" customHeight="1" thickBot="1" thickTop="1">
      <c r="A16" s="122" t="inlineStr">
        <is>
          <t>6.</t>
        </is>
      </c>
      <c r="B16" s="123" t="inlineStr">
        <is>
          <t>SALDO CREDOR EM FAVOR DO ESTABELECIMENTO A TRANSPORTAR PARA O PERÍODO SEGUINTE</t>
        </is>
      </c>
      <c r="C16" s="190">
        <f>IF(C11-SUM(C12,C13,C14)&lt;=0,C11-SUM(C12,C13,C14),0)</f>
        <v/>
      </c>
    </row>
    <row r="17" ht="18.75" customHeight="1">
      <c r="C17" s="27">
        <f>IF(ISERR(C16),"Corrija a planilha para validar os valores",IF(C16&lt;0,"Saldo Credor para próximo período",""))</f>
        <v/>
      </c>
    </row>
    <row r="20">
      <c r="C20" s="191" t="n"/>
    </row>
    <row r="21">
      <c r="C21" s="191" t="n"/>
    </row>
    <row r="22">
      <c r="C22" s="191" t="n"/>
    </row>
    <row r="23">
      <c r="C23" s="191" t="n"/>
    </row>
    <row r="24">
      <c r="C24" s="191" t="n"/>
    </row>
    <row r="25">
      <c r="C25" s="191" t="n"/>
    </row>
    <row r="26">
      <c r="C26" s="191" t="n"/>
    </row>
    <row r="27">
      <c r="C27" s="191" t="n"/>
    </row>
    <row r="28">
      <c r="C28" s="191" t="n"/>
    </row>
    <row r="29">
      <c r="C29" s="191" t="n"/>
    </row>
    <row r="30">
      <c r="C30" s="191" t="n"/>
    </row>
    <row r="31">
      <c r="C31" s="191" t="n"/>
    </row>
    <row r="32">
      <c r="C32" s="191" t="n"/>
    </row>
    <row r="33">
      <c r="C33" s="191" t="n"/>
    </row>
    <row r="34">
      <c r="C34" s="191" t="n"/>
    </row>
    <row r="35">
      <c r="C35" s="191" t="n"/>
    </row>
    <row r="36">
      <c r="C36" s="191" t="n"/>
    </row>
    <row r="37">
      <c r="C37" s="191" t="n"/>
    </row>
    <row r="38">
      <c r="C38" s="191" t="n"/>
    </row>
    <row r="39">
      <c r="C39" s="191" t="n"/>
    </row>
    <row r="40">
      <c r="C40" s="191" t="n"/>
    </row>
    <row r="41">
      <c r="C41" s="191" t="n"/>
    </row>
    <row r="42">
      <c r="C42" s="191" t="n"/>
    </row>
    <row r="43">
      <c r="C43" s="191" t="n"/>
    </row>
    <row r="44">
      <c r="C44" s="191" t="n"/>
    </row>
    <row r="45">
      <c r="C45" s="191" t="n"/>
    </row>
    <row r="46">
      <c r="C46" s="191" t="n"/>
    </row>
    <row r="47">
      <c r="C47" s="191" t="n"/>
    </row>
    <row r="48">
      <c r="C48" s="191" t="n"/>
    </row>
    <row r="49">
      <c r="C49" s="191" t="n"/>
    </row>
    <row r="50">
      <c r="C50" s="191" t="n"/>
    </row>
    <row r="51">
      <c r="C51" s="191" t="n"/>
    </row>
    <row r="52">
      <c r="C52" s="191" t="n"/>
    </row>
    <row r="53">
      <c r="C53" s="191" t="n"/>
    </row>
    <row r="54">
      <c r="C54" s="191" t="n"/>
    </row>
    <row r="55">
      <c r="C55" s="191" t="n"/>
    </row>
    <row r="56">
      <c r="C56" s="191" t="n"/>
    </row>
    <row r="57">
      <c r="C57" s="191" t="n"/>
    </row>
    <row r="58">
      <c r="C58" s="191" t="n"/>
    </row>
    <row r="59">
      <c r="C59" s="191" t="n"/>
    </row>
    <row r="60">
      <c r="C60" s="191" t="n"/>
    </row>
    <row r="61">
      <c r="C61" s="191" t="n"/>
    </row>
    <row r="62">
      <c r="C62" s="191" t="n"/>
    </row>
    <row r="63">
      <c r="C63" s="191" t="n"/>
    </row>
    <row r="64">
      <c r="C64" s="191" t="n"/>
    </row>
    <row r="65">
      <c r="C65" s="191" t="n"/>
    </row>
    <row r="66">
      <c r="C66" s="191" t="n"/>
    </row>
    <row r="67">
      <c r="C67" s="191" t="n"/>
    </row>
    <row r="68">
      <c r="C68" s="191" t="n"/>
    </row>
    <row r="69">
      <c r="C69" s="191" t="n"/>
    </row>
    <row r="70">
      <c r="C70" s="191" t="n"/>
    </row>
    <row r="71">
      <c r="C71" s="191" t="n"/>
    </row>
    <row r="72">
      <c r="C72" s="191" t="n"/>
    </row>
    <row r="73">
      <c r="C73" s="191" t="n"/>
    </row>
    <row r="74">
      <c r="C74" s="191" t="n"/>
    </row>
    <row r="75">
      <c r="C75" s="191" t="n"/>
    </row>
    <row r="76">
      <c r="C76" s="191" t="n"/>
    </row>
    <row r="77">
      <c r="C77" s="191" t="n"/>
    </row>
    <row r="78">
      <c r="C78" s="191" t="n"/>
    </row>
    <row r="79">
      <c r="C79" s="191" t="n"/>
    </row>
    <row r="80">
      <c r="C80" s="191" t="n"/>
    </row>
    <row r="81">
      <c r="C81" s="191" t="n"/>
    </row>
    <row r="82">
      <c r="C82" s="191" t="n"/>
    </row>
    <row r="83">
      <c r="C83" s="191" t="n"/>
    </row>
    <row r="84">
      <c r="C84" s="191" t="n"/>
    </row>
    <row r="85">
      <c r="C85" s="191" t="n"/>
    </row>
    <row r="86">
      <c r="C86" s="191" t="n"/>
    </row>
    <row r="87">
      <c r="C87" s="191" t="n"/>
    </row>
    <row r="88">
      <c r="C88" s="191" t="n"/>
    </row>
    <row r="89">
      <c r="C89" s="191" t="n"/>
    </row>
    <row r="90">
      <c r="C90" s="191" t="n"/>
    </row>
    <row r="91">
      <c r="C91" s="191" t="n"/>
    </row>
    <row r="92">
      <c r="C92" s="191" t="n"/>
    </row>
    <row r="93">
      <c r="C93" s="191" t="n"/>
    </row>
    <row r="94">
      <c r="C94" s="191" t="n"/>
    </row>
    <row r="95">
      <c r="C95" s="191" t="n"/>
    </row>
    <row r="96">
      <c r="C96" s="191" t="n"/>
    </row>
    <row r="97">
      <c r="C97" s="191" t="n"/>
    </row>
    <row r="98">
      <c r="C98" s="191" t="n"/>
    </row>
    <row r="99">
      <c r="C99" s="191" t="n"/>
    </row>
    <row r="100">
      <c r="C100" s="191" t="n"/>
    </row>
    <row r="101">
      <c r="C101" s="191" t="n"/>
    </row>
    <row r="102">
      <c r="C102" s="191" t="n"/>
    </row>
    <row r="103">
      <c r="C103" s="191" t="n"/>
    </row>
    <row r="104">
      <c r="C104" s="191" t="n"/>
    </row>
    <row r="105">
      <c r="C105" s="191" t="n"/>
    </row>
    <row r="106">
      <c r="C106" s="191" t="n"/>
    </row>
    <row r="107">
      <c r="C107" s="191" t="n"/>
    </row>
    <row r="108">
      <c r="C108" s="191" t="n"/>
    </row>
    <row r="109">
      <c r="C109" s="191" t="n"/>
    </row>
    <row r="110">
      <c r="C110" s="191" t="n"/>
    </row>
    <row r="111">
      <c r="C111" s="191" t="n"/>
    </row>
    <row r="112">
      <c r="C112" s="191" t="n"/>
    </row>
    <row r="113">
      <c r="C113" s="191" t="n"/>
    </row>
    <row r="114">
      <c r="C114" s="191" t="n"/>
    </row>
    <row r="115">
      <c r="C115" s="191" t="n"/>
    </row>
    <row r="116">
      <c r="C116" s="191" t="n"/>
    </row>
    <row r="117">
      <c r="C117" s="191" t="n"/>
    </row>
    <row r="118">
      <c r="C118" s="191" t="n"/>
    </row>
    <row r="119">
      <c r="C119" s="191" t="n"/>
    </row>
    <row r="120">
      <c r="C120" s="191" t="n"/>
    </row>
    <row r="121">
      <c r="C121" s="191" t="n"/>
    </row>
    <row r="122">
      <c r="C122" s="191" t="n"/>
    </row>
    <row r="123">
      <c r="C123" s="191" t="n"/>
    </row>
    <row r="124">
      <c r="C124" s="191" t="n"/>
    </row>
    <row r="125">
      <c r="C125" s="191" t="n"/>
    </row>
    <row r="126">
      <c r="C126" s="191" t="n"/>
    </row>
    <row r="127">
      <c r="C127" s="191" t="n"/>
    </row>
    <row r="128">
      <c r="C128" s="191" t="n"/>
    </row>
    <row r="129">
      <c r="C129" s="191" t="n"/>
    </row>
    <row r="130">
      <c r="C130" s="191" t="n"/>
    </row>
    <row r="131">
      <c r="C131" s="191" t="n"/>
    </row>
    <row r="132">
      <c r="C132" s="191" t="n"/>
    </row>
    <row r="133">
      <c r="C133" s="191" t="n"/>
    </row>
    <row r="134">
      <c r="C134" s="191" t="n"/>
    </row>
    <row r="135">
      <c r="C135" s="191" t="n"/>
    </row>
    <row r="136">
      <c r="C136" s="191" t="n"/>
    </row>
    <row r="137">
      <c r="C137" s="191" t="n"/>
    </row>
    <row r="138">
      <c r="C138" s="191" t="n"/>
    </row>
    <row r="139">
      <c r="C139" s="191" t="n"/>
    </row>
    <row r="140">
      <c r="C140" s="191" t="n"/>
    </row>
    <row r="141">
      <c r="C141" s="191" t="n"/>
    </row>
    <row r="142">
      <c r="C142" s="191" t="n"/>
    </row>
    <row r="143">
      <c r="C143" s="191" t="n"/>
    </row>
    <row r="144">
      <c r="C144" s="191" t="n"/>
    </row>
    <row r="145">
      <c r="C145" s="191" t="n"/>
    </row>
    <row r="146">
      <c r="C146" s="191" t="n"/>
    </row>
    <row r="147">
      <c r="C147" s="191" t="n"/>
    </row>
    <row r="148">
      <c r="C148" s="191" t="n"/>
    </row>
    <row r="149">
      <c r="C149" s="191" t="n"/>
    </row>
    <row r="150">
      <c r="C150" s="191" t="n"/>
    </row>
    <row r="151">
      <c r="C151" s="191" t="n"/>
    </row>
    <row r="152">
      <c r="C152" s="191" t="n"/>
    </row>
    <row r="153">
      <c r="C153" s="191" t="n"/>
    </row>
    <row r="154">
      <c r="C154" s="191" t="n"/>
    </row>
    <row r="155">
      <c r="C155" s="191" t="n"/>
    </row>
    <row r="156">
      <c r="C156" s="191" t="n"/>
    </row>
    <row r="157">
      <c r="C157" s="191" t="n"/>
    </row>
    <row r="158">
      <c r="C158" s="191" t="n"/>
    </row>
    <row r="159">
      <c r="C159" s="191" t="n"/>
    </row>
    <row r="160">
      <c r="C160" s="191" t="n"/>
    </row>
    <row r="161">
      <c r="C161" s="191" t="n"/>
    </row>
    <row r="162">
      <c r="C162" s="191" t="n"/>
    </row>
    <row r="163">
      <c r="C163" s="191" t="n"/>
    </row>
    <row r="164">
      <c r="C164" s="191" t="n"/>
    </row>
    <row r="165">
      <c r="C165" s="191" t="n"/>
    </row>
    <row r="166">
      <c r="C166" s="191" t="n"/>
    </row>
    <row r="167">
      <c r="C167" s="191" t="n"/>
    </row>
    <row r="168">
      <c r="C168" s="191" t="n"/>
    </row>
    <row r="169">
      <c r="C169" s="191" t="n"/>
    </row>
    <row r="170">
      <c r="C170" s="191" t="n"/>
    </row>
    <row r="171">
      <c r="C171" s="191" t="n"/>
    </row>
    <row r="172">
      <c r="C172" s="191" t="n"/>
    </row>
    <row r="173">
      <c r="C173" s="191" t="n"/>
    </row>
    <row r="174">
      <c r="C174" s="191" t="n"/>
    </row>
    <row r="175">
      <c r="C175" s="191" t="n"/>
    </row>
    <row r="176">
      <c r="C176" s="191" t="n"/>
    </row>
    <row r="177">
      <c r="C177" s="191" t="n"/>
    </row>
    <row r="178">
      <c r="C178" s="191" t="n"/>
    </row>
    <row r="179">
      <c r="C179" s="191" t="n"/>
    </row>
  </sheetData>
  <conditionalFormatting sqref="A15:C15">
    <cfRule type="expression" priority="2" dxfId="63">
      <formula>$C$15&gt;0</formula>
    </cfRule>
  </conditionalFormatting>
  <pageMargins left="0.511811024" right="0.511811024" top="0.787401575" bottom="0.787401575" header="0.31496062" footer="0.31496062"/>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wsMVA">
    <outlinePr summaryBelow="1" summaryRight="1"/>
    <pageSetUpPr/>
  </sheetPr>
  <dimension ref="A1:AE1503"/>
  <sheetViews>
    <sheetView workbookViewId="0">
      <pane ySplit="3" topLeftCell="A277" activePane="bottomLeft" state="frozen"/>
      <selection activeCell="E1" sqref="D1:E1"/>
      <selection pane="bottomLeft" activeCell="I281" sqref="I281"/>
    </sheetView>
  </sheetViews>
  <sheetFormatPr baseColWidth="8" defaultColWidth="8.85546875" defaultRowHeight="15"/>
  <cols>
    <col width="11.7109375" customWidth="1" style="1" min="1" max="1"/>
    <col width="14.140625" customWidth="1" style="1" min="2" max="2"/>
    <col width="17.28515625" customWidth="1" style="1" min="3" max="3"/>
    <col width="17.42578125" customWidth="1" style="1" min="4" max="8"/>
    <col width="33.42578125" customWidth="1" style="1" min="9" max="10"/>
    <col width="11.42578125" customWidth="1" style="1" min="11" max="11"/>
    <col width="8.85546875" customWidth="1" style="29" min="12" max="12"/>
    <col width="8.85546875" customWidth="1" style="1" min="13" max="16384"/>
  </cols>
  <sheetData>
    <row r="1">
      <c r="B1" s="1" t="inlineStr">
        <is>
          <t>Versão de:</t>
        </is>
      </c>
      <c r="C1" s="114" t="n">
        <v>45652</v>
      </c>
    </row>
    <row r="2" ht="15.75" customHeight="1" thickBot="1">
      <c r="B2" s="28" t="inlineStr">
        <is>
          <t>Tabela II</t>
        </is>
      </c>
      <c r="C2" s="28" t="inlineStr">
        <is>
          <t>AUTOPEÇAS</t>
        </is>
      </c>
      <c r="D2" s="1" t="inlineStr">
        <is>
          <t>IIAPças</t>
        </is>
      </c>
      <c r="E2" s="1" t="n">
        <v>4</v>
      </c>
      <c r="F2" s="1" t="n">
        <v>7</v>
      </c>
      <c r="G2" s="1" t="n">
        <v>12</v>
      </c>
      <c r="H2" s="1" t="n">
        <v>17</v>
      </c>
    </row>
    <row r="3" ht="15.75" customHeight="1" thickBot="1">
      <c r="B3" s="163" t="inlineStr">
        <is>
          <t>ITEM</t>
        </is>
      </c>
      <c r="C3" s="163" t="inlineStr">
        <is>
          <t>CEST</t>
        </is>
      </c>
      <c r="D3" s="163" t="inlineStr">
        <is>
          <t>NCM/SH</t>
        </is>
      </c>
      <c r="E3" s="165" t="inlineStr">
        <is>
          <t>MARGEM DE VALOR AGREGADO</t>
        </is>
      </c>
      <c r="F3" s="165" t="inlineStr">
        <is>
          <t>MARGEM DE VALOR AGREGADO</t>
        </is>
      </c>
      <c r="G3" s="165" t="inlineStr">
        <is>
          <t>MARGEM DE VALOR AGREGADO</t>
        </is>
      </c>
      <c r="H3" s="165" t="inlineStr">
        <is>
          <t>MARGEM DE VALOR AGREGADO</t>
        </is>
      </c>
      <c r="I3" s="163" t="inlineStr">
        <is>
          <t>DESCRIÇÃO</t>
        </is>
      </c>
      <c r="J3" s="163" t="inlineStr">
        <is>
          <t>DISPOSITIVO LEGAL</t>
        </is>
      </c>
      <c r="K3" s="1" t="inlineStr">
        <is>
          <t>efeitos a partir de</t>
        </is>
      </c>
      <c r="L3" s="29" t="inlineStr">
        <is>
          <t>duplicados</t>
        </is>
      </c>
    </row>
    <row r="4" ht="15.75" customHeight="1" thickBot="1">
      <c r="A4" s="1" t="inlineStr">
        <is>
          <t>02APças</t>
        </is>
      </c>
      <c r="B4" s="163" t="inlineStr">
        <is>
          <t>ITEM</t>
        </is>
      </c>
      <c r="C4" s="163" t="inlineStr">
        <is>
          <t>CEST</t>
        </is>
      </c>
      <c r="D4" s="163" t="inlineStr">
        <is>
          <t>NCM/SH</t>
        </is>
      </c>
      <c r="E4" s="35" t="inlineStr">
        <is>
          <t>Oper. interna</t>
        </is>
      </c>
      <c r="F4" s="167" t="inlineStr">
        <is>
          <t>Alíq. 4%</t>
        </is>
      </c>
      <c r="G4" s="167" t="inlineStr">
        <is>
          <t>Alíq. 7%</t>
        </is>
      </c>
      <c r="H4" s="167" t="inlineStr">
        <is>
          <t>Alíq. 12%</t>
        </is>
      </c>
      <c r="I4" s="163" t="inlineStr">
        <is>
          <t>DESCRIÇÃO</t>
        </is>
      </c>
      <c r="J4" s="163" t="inlineStr">
        <is>
          <t>DISPOSITIVO LEGAL</t>
        </is>
      </c>
      <c r="K4" s="1" t="inlineStr">
        <is>
          <t>efeitos a partir de</t>
        </is>
      </c>
      <c r="L4" s="29" t="inlineStr">
        <is>
          <t>duplicados</t>
        </is>
      </c>
    </row>
    <row r="5">
      <c r="A5" s="1" t="inlineStr">
        <is>
          <t>02APças</t>
        </is>
      </c>
      <c r="B5" s="163" t="inlineStr">
        <is>
          <t>1.0</t>
        </is>
      </c>
      <c r="C5" s="163" t="inlineStr">
        <is>
          <t>01.001.00</t>
        </is>
      </c>
      <c r="D5" s="37" t="inlineStr">
        <is>
          <t>3815.12.10</t>
        </is>
      </c>
      <c r="E5" s="163" t="n">
        <v>50</v>
      </c>
      <c r="F5" s="163" t="n">
        <v>73.48999999999999</v>
      </c>
      <c r="G5" s="163" t="n">
        <v>68.06999999999999</v>
      </c>
      <c r="H5" s="163" t="n">
        <v>59.04</v>
      </c>
      <c r="I5" s="163" t="inlineStr">
        <is>
          <t>Catalisadores em colmeia cerâmica ou metálica para conversão catalítica de gases de escape de veículos e outros catalisadores</t>
        </is>
      </c>
      <c r="J5" s="38" t="inlineStr">
        <is>
          <t>Lei nº 1.810, art. 49, § 1º, XXIX</t>
        </is>
      </c>
      <c r="L5" s="29">
        <f>IF(D5="NCM/SH","",COUNTIF($D$5:$D$1506,D5))</f>
        <v/>
      </c>
    </row>
    <row r="6" ht="15.75" customHeight="1" thickBot="1">
      <c r="A6" s="1" t="inlineStr">
        <is>
          <t>02APças</t>
        </is>
      </c>
      <c r="B6" s="164" t="n">
        <v>1</v>
      </c>
      <c r="C6" s="164" t="inlineStr">
        <is>
          <t>01.001.00</t>
        </is>
      </c>
      <c r="D6" s="35" t="inlineStr">
        <is>
          <t>3815.12.90</t>
        </is>
      </c>
      <c r="E6" s="164" t="n">
        <v>50</v>
      </c>
      <c r="F6" s="164" t="n">
        <v>73.48999999999999</v>
      </c>
      <c r="G6" s="164" t="n">
        <v>68.06999999999999</v>
      </c>
      <c r="H6" s="164" t="n">
        <v>59.04</v>
      </c>
      <c r="I6" s="164" t="inlineStr">
        <is>
          <t>Catalisadores em colmeia cerâmica ou metálica para conversão catalítica de gases de escape de veículos e outros catalisadores</t>
        </is>
      </c>
      <c r="J6" s="38" t="inlineStr">
        <is>
          <t>Lei nº 1.810, art. 49, § 1º, XXIX</t>
        </is>
      </c>
      <c r="L6" s="29">
        <f>IF(D6="NCM/SH","",COUNTIF($D$5:$D$1506,D6))</f>
        <v/>
      </c>
    </row>
    <row r="7" ht="15.75" customHeight="1" thickBot="1">
      <c r="A7" s="1" t="inlineStr">
        <is>
          <t>02APças</t>
        </is>
      </c>
      <c r="B7" s="164" t="inlineStr">
        <is>
          <t>2.0</t>
        </is>
      </c>
      <c r="C7" s="35" t="inlineStr">
        <is>
          <t>01.002.00</t>
        </is>
      </c>
      <c r="D7" s="35" t="n">
        <v>3917</v>
      </c>
      <c r="E7" s="35" t="n">
        <v>50</v>
      </c>
      <c r="F7" s="35" t="n">
        <v>73.48999999999999</v>
      </c>
      <c r="G7" s="35" t="n">
        <v>68.06999999999999</v>
      </c>
      <c r="H7" s="35" t="n">
        <v>59.04</v>
      </c>
      <c r="I7" s="35" t="inlineStr">
        <is>
          <t xml:space="preserve">Tubos e seus acessórios (por exemplo, juntas, cotovelos, flanges, uniões), de plásticos </t>
        </is>
      </c>
      <c r="J7" s="40" t="inlineStr">
        <is>
          <t>Lei nº 1.810, art. 49, § 1º, XXIX</t>
        </is>
      </c>
      <c r="L7" s="29">
        <f>IF(D7="NCM/SH","",COUNTIF($D$5:$D$1506,D7))</f>
        <v/>
      </c>
    </row>
    <row r="8" ht="15.75" customHeight="1" thickBot="1">
      <c r="A8" s="1" t="inlineStr">
        <is>
          <t>02APças</t>
        </is>
      </c>
      <c r="B8" s="164" t="inlineStr">
        <is>
          <t>3.0</t>
        </is>
      </c>
      <c r="C8" s="35" t="inlineStr">
        <is>
          <t>01.003.00</t>
        </is>
      </c>
      <c r="D8" s="35" t="inlineStr">
        <is>
          <t>3918.10.00</t>
        </is>
      </c>
      <c r="E8" s="35" t="n">
        <v>50</v>
      </c>
      <c r="F8" s="35" t="n">
        <v>73.48999999999999</v>
      </c>
      <c r="G8" s="35" t="n">
        <v>68.06999999999999</v>
      </c>
      <c r="H8" s="35" t="n">
        <v>59.04</v>
      </c>
      <c r="I8" s="35" t="inlineStr">
        <is>
          <t xml:space="preserve">Protetores de caçamba </t>
        </is>
      </c>
      <c r="J8" s="40" t="inlineStr">
        <is>
          <t>Lei nº 1.810, art. 49, § 1º, XXIX</t>
        </is>
      </c>
      <c r="L8" s="29">
        <f>IF(D8="NCM/SH","",COUNTIF($D$5:$D$1506,D8))</f>
        <v/>
      </c>
    </row>
    <row r="9" ht="15.75" customHeight="1" thickBot="1">
      <c r="A9" s="1" t="inlineStr">
        <is>
          <t>02APças</t>
        </is>
      </c>
      <c r="B9" s="164" t="inlineStr">
        <is>
          <t>4.0</t>
        </is>
      </c>
      <c r="C9" s="35" t="inlineStr">
        <is>
          <t>01.004.00</t>
        </is>
      </c>
      <c r="D9" s="35" t="inlineStr">
        <is>
          <t>3923.30.00</t>
        </is>
      </c>
      <c r="E9" s="35" t="n">
        <v>50</v>
      </c>
      <c r="F9" s="35" t="n">
        <v>73.48999999999999</v>
      </c>
      <c r="G9" s="35" t="n">
        <v>68.06999999999999</v>
      </c>
      <c r="H9" s="35" t="n">
        <v>59.04</v>
      </c>
      <c r="I9" s="35" t="inlineStr">
        <is>
          <t xml:space="preserve">Reservatórios de óleo </t>
        </is>
      </c>
      <c r="J9" s="40" t="inlineStr">
        <is>
          <t>Lei nº 1.810, art. 49, § 1º, XXIX</t>
        </is>
      </c>
      <c r="L9" s="29">
        <f>IF(D9="NCM/SH","",COUNTIF($D$5:$D$1506,D9))</f>
        <v/>
      </c>
    </row>
    <row r="10" ht="15.75" customHeight="1" thickBot="1">
      <c r="A10" s="1" t="inlineStr">
        <is>
          <t>02APças</t>
        </is>
      </c>
      <c r="B10" s="164" t="inlineStr">
        <is>
          <t>5.0</t>
        </is>
      </c>
      <c r="C10" s="35" t="inlineStr">
        <is>
          <t>01.005.00</t>
        </is>
      </c>
      <c r="D10" s="35" t="inlineStr">
        <is>
          <t>3926.30.00</t>
        </is>
      </c>
      <c r="E10" s="35" t="n">
        <v>50</v>
      </c>
      <c r="F10" s="35" t="n">
        <v>73.48999999999999</v>
      </c>
      <c r="G10" s="35" t="n">
        <v>68.06999999999999</v>
      </c>
      <c r="H10" s="35" t="n">
        <v>59.04</v>
      </c>
      <c r="I10" s="35" t="inlineStr">
        <is>
          <t xml:space="preserve">Frisos, decalques, molduras e acabamentos </t>
        </is>
      </c>
      <c r="J10" s="40" t="inlineStr">
        <is>
          <t>Lei nº 1.810, art. 49, § 1º, XXIX</t>
        </is>
      </c>
      <c r="L10" s="29">
        <f>IF(D10="NCM/SH","",COUNTIF($D$5:$D$1506,D10))</f>
        <v/>
      </c>
    </row>
    <row r="11">
      <c r="A11" s="1" t="inlineStr">
        <is>
          <t>02APças</t>
        </is>
      </c>
      <c r="B11" s="163" t="inlineStr">
        <is>
          <t>6.0</t>
        </is>
      </c>
      <c r="C11" s="163" t="inlineStr">
        <is>
          <t>01.006.00</t>
        </is>
      </c>
      <c r="D11" s="37" t="inlineStr">
        <is>
          <t>4010.3</t>
        </is>
      </c>
      <c r="E11" s="163" t="n">
        <v>50</v>
      </c>
      <c r="F11" s="163" t="n">
        <v>73.48999999999999</v>
      </c>
      <c r="G11" s="163" t="n">
        <v>68.06999999999999</v>
      </c>
      <c r="H11" s="163" t="n">
        <v>59.04</v>
      </c>
      <c r="I11" s="163" t="inlineStr">
        <is>
          <t>Correias de transmissão de borracha vulcanizada, de matérias têxteis, mesmo impregnadas, revestidas ou recobertas, de plástico, ou estratificadas com plástico ou reforçadas com metal ou com outras matérias</t>
        </is>
      </c>
      <c r="J11" s="40" t="inlineStr">
        <is>
          <t>Lei nº 1.810, art. 49, § 1º, XXIX</t>
        </is>
      </c>
      <c r="L11" s="29">
        <f>IF(D11="NCM/SH","",COUNTIF($D$5:$D$1506,D11))</f>
        <v/>
      </c>
    </row>
    <row r="12" ht="15.75" customHeight="1" thickBot="1">
      <c r="A12" s="1" t="inlineStr">
        <is>
          <t>02APças</t>
        </is>
      </c>
      <c r="B12" s="164" t="n">
        <v>6</v>
      </c>
      <c r="C12" s="164" t="inlineStr">
        <is>
          <t>01.006.00</t>
        </is>
      </c>
      <c r="D12" s="35" t="inlineStr">
        <is>
          <t>5910.00.00</t>
        </is>
      </c>
      <c r="E12" s="164" t="n">
        <v>50</v>
      </c>
      <c r="F12" s="164" t="n">
        <v>73.48999999999999</v>
      </c>
      <c r="G12" s="164" t="n">
        <v>68.06999999999999</v>
      </c>
      <c r="H12" s="164" t="n">
        <v>59.04</v>
      </c>
      <c r="I12" s="164" t="inlineStr">
        <is>
          <t>Correias de transmissão de borracha vulcanizada, de matérias têxteis, mesmo impregnadas, revestidas ou recobertas, de plástico, ou estratificadas com plástico ou reforçadas com metal ou com outras matérias</t>
        </is>
      </c>
      <c r="J12" s="40" t="inlineStr">
        <is>
          <t>Lei nº 1.810, art. 49, § 1º, XXIX</t>
        </is>
      </c>
      <c r="L12" s="29">
        <f>IF(D12="NCM/SH","",COUNTIF($D$5:$D$1506,D12))</f>
        <v/>
      </c>
    </row>
    <row r="13">
      <c r="A13" s="1" t="inlineStr">
        <is>
          <t>02APças</t>
        </is>
      </c>
      <c r="B13" s="163" t="inlineStr">
        <is>
          <t>7.0</t>
        </is>
      </c>
      <c r="C13" s="163" t="inlineStr">
        <is>
          <t>01.007.00</t>
        </is>
      </c>
      <c r="D13" s="37" t="inlineStr">
        <is>
          <t>4016.93.00</t>
        </is>
      </c>
      <c r="E13" s="163" t="n">
        <v>50</v>
      </c>
      <c r="F13" s="163" t="n">
        <v>73.48999999999999</v>
      </c>
      <c r="G13" s="163" t="n">
        <v>68.06999999999999</v>
      </c>
      <c r="H13" s="163" t="n">
        <v>59.04</v>
      </c>
      <c r="I13" s="163" t="inlineStr">
        <is>
          <t>Juntas, gaxetas e outros elementos com função semelhante de vedação</t>
        </is>
      </c>
      <c r="J13" s="40" t="inlineStr">
        <is>
          <t>Lei nº 1.810, art. 49, § 1º, XXIX</t>
        </is>
      </c>
      <c r="L13" s="29">
        <f>IF(D13="NCM/SH","",COUNTIF($D$5:$D$1506,D13))</f>
        <v/>
      </c>
    </row>
    <row r="14" ht="15.75" customHeight="1" thickBot="1">
      <c r="A14" s="1" t="inlineStr">
        <is>
          <t>02APças</t>
        </is>
      </c>
      <c r="B14" s="164" t="n">
        <v>7</v>
      </c>
      <c r="C14" s="164" t="inlineStr">
        <is>
          <t>01.007.00</t>
        </is>
      </c>
      <c r="D14" s="35" t="inlineStr">
        <is>
          <t>4823.90.9</t>
        </is>
      </c>
      <c r="E14" s="164" t="n">
        <v>50</v>
      </c>
      <c r="F14" s="164" t="n">
        <v>73.48999999999999</v>
      </c>
      <c r="G14" s="164" t="n">
        <v>68.06999999999999</v>
      </c>
      <c r="H14" s="164" t="n">
        <v>59.04</v>
      </c>
      <c r="I14" s="164" t="inlineStr">
        <is>
          <t>Juntas, gaxetas e outros elementos com função semelhante de vedação</t>
        </is>
      </c>
      <c r="J14" s="40" t="inlineStr">
        <is>
          <t>Lei nº 1.810, art. 49, § 1º, XXIX</t>
        </is>
      </c>
      <c r="L14" s="29">
        <f>IF(D14="NCM/SH","",COUNTIF($D$5:$D$1506,D14))</f>
        <v/>
      </c>
    </row>
    <row r="15" ht="15.75" customHeight="1" thickBot="1">
      <c r="A15" s="1" t="inlineStr">
        <is>
          <t>02APças</t>
        </is>
      </c>
      <c r="B15" s="164" t="inlineStr">
        <is>
          <t>8.0</t>
        </is>
      </c>
      <c r="C15" s="35" t="inlineStr">
        <is>
          <t>01.008.00</t>
        </is>
      </c>
      <c r="D15" s="35" t="inlineStr">
        <is>
          <t>4016.10.10</t>
        </is>
      </c>
      <c r="E15" s="35" t="n">
        <v>50</v>
      </c>
      <c r="F15" s="35" t="n">
        <v>73.48999999999999</v>
      </c>
      <c r="G15" s="35" t="n">
        <v>68.06999999999999</v>
      </c>
      <c r="H15" s="35" t="n">
        <v>59.04</v>
      </c>
      <c r="I15" s="35" t="inlineStr">
        <is>
          <t xml:space="preserve">Partes de veículos automóveis, tratores e máquinas autopropulsadas </t>
        </is>
      </c>
      <c r="J15" s="40" t="inlineStr">
        <is>
          <t>Lei nº 1.810, art. 49, § 1º, XXIX</t>
        </is>
      </c>
      <c r="L15" s="29">
        <f>IF(D15="NCM/SH","",COUNTIF($D$5:$D$1506,D15))</f>
        <v/>
      </c>
    </row>
    <row r="16">
      <c r="A16" s="1" t="inlineStr">
        <is>
          <t>02APças</t>
        </is>
      </c>
      <c r="B16" s="163" t="inlineStr">
        <is>
          <t>9.0</t>
        </is>
      </c>
      <c r="C16" s="163" t="inlineStr">
        <is>
          <t>01.009.00</t>
        </is>
      </c>
      <c r="D16" s="37" t="inlineStr">
        <is>
          <t>4016.99.90</t>
        </is>
      </c>
      <c r="E16" s="163" t="n">
        <v>50</v>
      </c>
      <c r="F16" s="163" t="n">
        <v>73.48999999999999</v>
      </c>
      <c r="G16" s="163" t="n">
        <v>68.06999999999999</v>
      </c>
      <c r="H16" s="163" t="n">
        <v>59.04</v>
      </c>
      <c r="I16" s="163" t="inlineStr">
        <is>
          <t xml:space="preserve">Tapetes, revestimentos, mesmo confeccionados, batentes, buchas e coxins </t>
        </is>
      </c>
      <c r="J16" s="40" t="inlineStr">
        <is>
          <t>Lei nº 1.810, art. 49, § 1º, XXIX</t>
        </is>
      </c>
      <c r="L16" s="29">
        <f>IF(D16="NCM/SH","",COUNTIF($D$5:$D$1506,D16))</f>
        <v/>
      </c>
    </row>
    <row r="17" ht="15.75" customHeight="1" thickBot="1">
      <c r="A17" s="1" t="inlineStr">
        <is>
          <t>02APças</t>
        </is>
      </c>
      <c r="B17" s="164" t="n">
        <v>9</v>
      </c>
      <c r="C17" s="164" t="inlineStr">
        <is>
          <t>01.009.00</t>
        </is>
      </c>
      <c r="D17" s="35" t="inlineStr">
        <is>
          <t>5705.00.00</t>
        </is>
      </c>
      <c r="E17" s="164" t="n">
        <v>50</v>
      </c>
      <c r="F17" s="164" t="n">
        <v>73.48999999999999</v>
      </c>
      <c r="G17" s="164" t="n">
        <v>68.06999999999999</v>
      </c>
      <c r="H17" s="164" t="n">
        <v>59.04</v>
      </c>
      <c r="I17" s="164" t="inlineStr">
        <is>
          <t xml:space="preserve">Tapetes, revestimentos, mesmo confeccionados, batentes, buchas e coxins </t>
        </is>
      </c>
      <c r="J17" s="40" t="inlineStr">
        <is>
          <t>Lei nº 1.810, art. 49, § 1º, XXIX</t>
        </is>
      </c>
      <c r="L17" s="29">
        <f>IF(D17="NCM/SH","",COUNTIF($D$5:$D$1506,D17))</f>
        <v/>
      </c>
    </row>
    <row r="18" ht="15.75" customHeight="1" thickBot="1">
      <c r="A18" s="1" t="inlineStr">
        <is>
          <t>02APças</t>
        </is>
      </c>
      <c r="B18" s="164" t="inlineStr">
        <is>
          <t>10.0</t>
        </is>
      </c>
      <c r="C18" s="35" t="inlineStr">
        <is>
          <t>01.010.00</t>
        </is>
      </c>
      <c r="D18" s="35" t="inlineStr">
        <is>
          <t>5903.90.00</t>
        </is>
      </c>
      <c r="E18" s="35" t="n">
        <v>50</v>
      </c>
      <c r="F18" s="35" t="n">
        <v>73.48999999999999</v>
      </c>
      <c r="G18" s="35" t="n">
        <v>68.06999999999999</v>
      </c>
      <c r="H18" s="35" t="n">
        <v>59.04</v>
      </c>
      <c r="I18" s="35" t="inlineStr">
        <is>
          <t xml:space="preserve">Tecidos impregnados, revestidos, recobertos ou estratificados, com plástico </t>
        </is>
      </c>
      <c r="J18" s="40" t="inlineStr">
        <is>
          <t>Lei nº 1.810, art. 49, § 1º, XXIX</t>
        </is>
      </c>
      <c r="L18" s="29">
        <f>IF(D18="NCM/SH","",COUNTIF($D$5:$D$1506,D18))</f>
        <v/>
      </c>
    </row>
    <row r="19" ht="15.75" customHeight="1" thickBot="1">
      <c r="A19" s="1" t="inlineStr">
        <is>
          <t>02APças</t>
        </is>
      </c>
      <c r="B19" s="164" t="inlineStr">
        <is>
          <t>11.0</t>
        </is>
      </c>
      <c r="C19" s="35" t="inlineStr">
        <is>
          <t>01.011.00</t>
        </is>
      </c>
      <c r="D19" s="35" t="inlineStr">
        <is>
          <t>5909.00.00</t>
        </is>
      </c>
      <c r="E19" s="35" t="n">
        <v>50</v>
      </c>
      <c r="F19" s="35" t="n">
        <v>73.48999999999999</v>
      </c>
      <c r="G19" s="35" t="n">
        <v>68.06999999999999</v>
      </c>
      <c r="H19" s="35" t="n">
        <v>59.04</v>
      </c>
      <c r="I19" s="35" t="inlineStr">
        <is>
          <t xml:space="preserve">Mangueiras e tubos semelhantes, de matérias têxteis, mesmo com reforço ou acessórios de outras matérias </t>
        </is>
      </c>
      <c r="J19" s="40" t="inlineStr">
        <is>
          <t>Lei nº 1.810, art. 49, § 1º, XXIX</t>
        </is>
      </c>
      <c r="L19" s="29">
        <f>IF(D19="NCM/SH","",COUNTIF($D$5:$D$1506,D19))</f>
        <v/>
      </c>
    </row>
    <row r="20" ht="15.75" customHeight="1" thickBot="1">
      <c r="A20" s="1" t="inlineStr">
        <is>
          <t>02APças</t>
        </is>
      </c>
      <c r="B20" s="164" t="inlineStr">
        <is>
          <t>12.0</t>
        </is>
      </c>
      <c r="C20" s="35" t="inlineStr">
        <is>
          <t>01.012.00</t>
        </is>
      </c>
      <c r="D20" s="35" t="inlineStr">
        <is>
          <t>6306.1</t>
        </is>
      </c>
      <c r="E20" s="35" t="n">
        <v>50</v>
      </c>
      <c r="F20" s="35" t="n">
        <v>73.48999999999999</v>
      </c>
      <c r="G20" s="35" t="n">
        <v>68.06999999999999</v>
      </c>
      <c r="H20" s="35" t="n">
        <v>59.04</v>
      </c>
      <c r="I20" s="35" t="inlineStr">
        <is>
          <t xml:space="preserve">Encerados e toldos </t>
        </is>
      </c>
      <c r="J20" s="40" t="inlineStr">
        <is>
          <t>Lei nº 1.810, art. 49, § 1º, XXIX</t>
        </is>
      </c>
      <c r="L20" s="29">
        <f>IF(D20="NCM/SH","",COUNTIF($D$5:$D$1506,D20))</f>
        <v/>
      </c>
    </row>
    <row r="21" ht="15.75" customHeight="1" thickBot="1">
      <c r="A21" s="1" t="inlineStr">
        <is>
          <t>02APças</t>
        </is>
      </c>
      <c r="B21" s="164" t="inlineStr">
        <is>
          <t>13.0</t>
        </is>
      </c>
      <c r="C21" s="35" t="inlineStr">
        <is>
          <t>01.013.00</t>
        </is>
      </c>
      <c r="D21" s="35" t="inlineStr">
        <is>
          <t>6506.10.00</t>
        </is>
      </c>
      <c r="E21" s="35" t="n">
        <v>50</v>
      </c>
      <c r="F21" s="35" t="n">
        <v>73.48999999999999</v>
      </c>
      <c r="G21" s="35" t="n">
        <v>68.06999999999999</v>
      </c>
      <c r="H21" s="35" t="n">
        <v>59.04</v>
      </c>
      <c r="I21" s="35" t="inlineStr">
        <is>
          <t xml:space="preserve">Capacetes e artefatos de uso semelhante, de proteção, para uso em motocicletas, incluídos ciclomotores </t>
        </is>
      </c>
      <c r="J21" s="40" t="inlineStr">
        <is>
          <t>Lei nº 1.810, art. 49, § 1º, XXIX</t>
        </is>
      </c>
      <c r="L21" s="29">
        <f>IF(D21="NCM/SH","",COUNTIF($D$5:$D$1506,D21))</f>
        <v/>
      </c>
    </row>
    <row r="22" ht="15.75" customHeight="1" thickBot="1">
      <c r="A22" s="1" t="inlineStr">
        <is>
          <t>02APças</t>
        </is>
      </c>
      <c r="B22" s="164" t="inlineStr">
        <is>
          <t>14.0</t>
        </is>
      </c>
      <c r="C22" s="35" t="inlineStr">
        <is>
          <t>01.014.00</t>
        </is>
      </c>
      <c r="D22" s="35" t="n">
        <v>6813</v>
      </c>
      <c r="E22" s="35" t="n">
        <v>50</v>
      </c>
      <c r="F22" s="35" t="n">
        <v>73.48999999999999</v>
      </c>
      <c r="G22" s="35" t="n">
        <v>68.06999999999999</v>
      </c>
      <c r="H22" s="35" t="n">
        <v>59.04</v>
      </c>
      <c r="I22" s="35" t="inlineStr">
        <is>
          <t xml:space="preserve">Guarnições de fricção (por exemplo, placas, rolos, tiras, segmentos, discos, anéis, pastilhas), não montadas, para freios, embreagens ou qualquer outro mecanismo de fricção, à base de amianto, de outras substâncias minerais ou de celulose, mesmo combinadas com têxteis ou outras matérias </t>
        </is>
      </c>
      <c r="J22" s="41" t="inlineStr">
        <is>
          <t>Lei nº 1.810, art. 49, § 1º, XXIX</t>
        </is>
      </c>
      <c r="L22" s="29">
        <f>IF(D22="NCM/SH","",COUNTIF($D$5:$D$1506,D22))</f>
        <v/>
      </c>
    </row>
    <row r="23">
      <c r="A23" s="1" t="inlineStr">
        <is>
          <t>02APças</t>
        </is>
      </c>
      <c r="B23" s="163" t="inlineStr">
        <is>
          <t>15.0</t>
        </is>
      </c>
      <c r="C23" s="163" t="inlineStr">
        <is>
          <t>01.015.00</t>
        </is>
      </c>
      <c r="D23" s="37" t="inlineStr">
        <is>
          <t>7007.11.00</t>
        </is>
      </c>
      <c r="E23" s="163" t="n">
        <v>50</v>
      </c>
      <c r="F23" s="163" t="n">
        <v>73.48999999999999</v>
      </c>
      <c r="G23" s="163" t="n">
        <v>68.06999999999999</v>
      </c>
      <c r="H23" s="163" t="n">
        <v>59.04</v>
      </c>
      <c r="I23" s="163" t="inlineStr">
        <is>
          <t xml:space="preserve">Vidros de dimensões e formatos que permitam aplicação automotiva </t>
        </is>
      </c>
      <c r="J23" s="38" t="inlineStr">
        <is>
          <t>Lei nº 1.810, art. 49, § 1º, XXIX</t>
        </is>
      </c>
      <c r="L23" s="29">
        <f>IF(D23="NCM/SH","",COUNTIF($D$5:$D$1506,D23))</f>
        <v/>
      </c>
    </row>
    <row r="24" ht="15.75" customHeight="1" thickBot="1">
      <c r="A24" s="1" t="inlineStr">
        <is>
          <t>02APças</t>
        </is>
      </c>
      <c r="B24" s="164" t="n">
        <v>15</v>
      </c>
      <c r="C24" s="164" t="inlineStr">
        <is>
          <t>01.015.00</t>
        </is>
      </c>
      <c r="D24" s="35" t="inlineStr">
        <is>
          <t>7007.21.00</t>
        </is>
      </c>
      <c r="E24" s="164" t="n">
        <v>50</v>
      </c>
      <c r="F24" s="164" t="n">
        <v>73.48999999999999</v>
      </c>
      <c r="G24" s="164" t="n">
        <v>68.06999999999999</v>
      </c>
      <c r="H24" s="164" t="n">
        <v>59.04</v>
      </c>
      <c r="I24" s="164" t="inlineStr">
        <is>
          <t xml:space="preserve">Vidros de dimensões e formatos que permitam aplicação automotiva </t>
        </is>
      </c>
      <c r="J24" s="38" t="inlineStr">
        <is>
          <t>Lei nº 1.810, art. 49, § 1º, XXIX</t>
        </is>
      </c>
      <c r="L24" s="29">
        <f>IF(D24="NCM/SH","",COUNTIF($D$5:$D$1506,D24))</f>
        <v/>
      </c>
    </row>
    <row r="25" ht="15.75" customHeight="1" thickBot="1">
      <c r="A25" s="1" t="inlineStr">
        <is>
          <t>02APças</t>
        </is>
      </c>
      <c r="B25" s="164" t="inlineStr">
        <is>
          <t>16.0</t>
        </is>
      </c>
      <c r="C25" s="35" t="inlineStr">
        <is>
          <t>01.016.00</t>
        </is>
      </c>
      <c r="D25" s="35" t="inlineStr">
        <is>
          <t>7009.10.00</t>
        </is>
      </c>
      <c r="E25" s="35" t="n">
        <v>50</v>
      </c>
      <c r="F25" s="35" t="n">
        <v>73.48999999999999</v>
      </c>
      <c r="G25" s="35" t="n">
        <v>68.06999999999999</v>
      </c>
      <c r="H25" s="35" t="n">
        <v>59.04</v>
      </c>
      <c r="I25" s="35" t="inlineStr">
        <is>
          <t xml:space="preserve">Espelhos retrovisores </t>
        </is>
      </c>
      <c r="J25" s="40" t="inlineStr">
        <is>
          <t>Lei nº 1.810, art. 49, § 1º, XXIX</t>
        </is>
      </c>
      <c r="L25" s="29">
        <f>IF(D25="NCM/SH","",COUNTIF($D$5:$D$1506,D25))</f>
        <v/>
      </c>
    </row>
    <row r="26" ht="15.75" customHeight="1" thickBot="1">
      <c r="A26" s="1" t="inlineStr">
        <is>
          <t>02APças</t>
        </is>
      </c>
      <c r="B26" s="164" t="inlineStr">
        <is>
          <t>17.0</t>
        </is>
      </c>
      <c r="C26" s="35" t="inlineStr">
        <is>
          <t>01.017.00</t>
        </is>
      </c>
      <c r="D26" s="35" t="inlineStr">
        <is>
          <t>7014.00.00</t>
        </is>
      </c>
      <c r="E26" s="35" t="n">
        <v>50</v>
      </c>
      <c r="F26" s="35" t="n">
        <v>73.48999999999999</v>
      </c>
      <c r="G26" s="35" t="n">
        <v>68.06999999999999</v>
      </c>
      <c r="H26" s="35" t="n">
        <v>59.04</v>
      </c>
      <c r="I26" s="35" t="inlineStr">
        <is>
          <t xml:space="preserve">Lentes de faróis, lanternas e outros utensílios </t>
        </is>
      </c>
      <c r="J26" s="40" t="inlineStr">
        <is>
          <t>Lei nº 1.810, art. 49, § 1º, XXIX</t>
        </is>
      </c>
      <c r="L26" s="29">
        <f>IF(D26="NCM/SH","",COUNTIF($D$5:$D$1506,D26))</f>
        <v/>
      </c>
    </row>
    <row r="27" ht="15.75" customHeight="1" thickBot="1">
      <c r="A27" s="1" t="inlineStr">
        <is>
          <t>02APças</t>
        </is>
      </c>
      <c r="B27" s="164" t="inlineStr">
        <is>
          <t>18.0</t>
        </is>
      </c>
      <c r="C27" s="35" t="inlineStr">
        <is>
          <t>01.018.00</t>
        </is>
      </c>
      <c r="D27" s="35" t="inlineStr">
        <is>
          <t>7311.00.00</t>
        </is>
      </c>
      <c r="E27" s="35" t="n">
        <v>50</v>
      </c>
      <c r="F27" s="35" t="n">
        <v>73.48999999999999</v>
      </c>
      <c r="G27" s="35" t="n">
        <v>68.06999999999999</v>
      </c>
      <c r="H27" s="35" t="n">
        <v>59.04</v>
      </c>
      <c r="I27" s="35" t="inlineStr">
        <is>
          <t xml:space="preserve">Cilindro de aço para GNV (gás natural veicular) </t>
        </is>
      </c>
      <c r="J27" s="40" t="inlineStr">
        <is>
          <t>Lei nº 1.810, art. 49, § 1º, XXIX</t>
        </is>
      </c>
      <c r="L27" s="29">
        <f>IF(D27="NCM/SH","",COUNTIF($D$5:$D$1506,D27))</f>
        <v/>
      </c>
    </row>
    <row r="28" ht="15.75" customHeight="1" thickBot="1">
      <c r="A28" s="1" t="inlineStr">
        <is>
          <t>02APças</t>
        </is>
      </c>
      <c r="B28" s="164" t="inlineStr">
        <is>
          <t>19.0</t>
        </is>
      </c>
      <c r="C28" s="35" t="inlineStr">
        <is>
          <t>01.019.00</t>
        </is>
      </c>
      <c r="D28" s="35" t="inlineStr">
        <is>
          <t>7311.00.00</t>
        </is>
      </c>
      <c r="E28" s="35" t="n">
        <v>50</v>
      </c>
      <c r="F28" s="35" t="n">
        <v>73.48999999999999</v>
      </c>
      <c r="G28" s="35" t="n">
        <v>68.06999999999999</v>
      </c>
      <c r="H28" s="35" t="n">
        <v>59.04</v>
      </c>
      <c r="I28" s="35" t="inlineStr">
        <is>
          <t>Recipientes para gases comprimidos ou liquefeitos, de ferro fundido, ferro ou aço, exceto o descrito no item 18.0</t>
        </is>
      </c>
      <c r="J28" s="40" t="inlineStr">
        <is>
          <t>Lei nº 1.810, art. 49, § 1º, XXIX</t>
        </is>
      </c>
      <c r="L28" s="29">
        <f>IF(D28="NCM/SH","",COUNTIF($D$5:$D$1506,D28))</f>
        <v/>
      </c>
    </row>
    <row r="29" ht="15.75" customHeight="1" thickBot="1">
      <c r="A29" s="1" t="inlineStr">
        <is>
          <t>02APças</t>
        </is>
      </c>
      <c r="B29" s="164" t="inlineStr">
        <is>
          <t>20.0</t>
        </is>
      </c>
      <c r="C29" s="35" t="inlineStr">
        <is>
          <t>01.020.00</t>
        </is>
      </c>
      <c r="D29" s="35" t="n">
        <v>7320</v>
      </c>
      <c r="E29" s="35" t="n">
        <v>50</v>
      </c>
      <c r="F29" s="35" t="n">
        <v>73.48999999999999</v>
      </c>
      <c r="G29" s="35" t="n">
        <v>68.06999999999999</v>
      </c>
      <c r="H29" s="35" t="n">
        <v>59.04</v>
      </c>
      <c r="I29" s="35" t="inlineStr">
        <is>
          <t xml:space="preserve">Molas e folhas de molas, de ferro ou aço </t>
        </is>
      </c>
      <c r="J29" s="40" t="inlineStr">
        <is>
          <t>Lei nº 1.810, art. 49, § 1º, XXIX</t>
        </is>
      </c>
      <c r="L29" s="29">
        <f>IF(D29="NCM/SH","",COUNTIF($D$5:$D$1506,D29))</f>
        <v/>
      </c>
    </row>
    <row r="30" ht="15.75" customHeight="1" thickBot="1">
      <c r="A30" s="1" t="inlineStr">
        <is>
          <t>02APças</t>
        </is>
      </c>
      <c r="B30" s="164" t="inlineStr">
        <is>
          <t>21.0</t>
        </is>
      </c>
      <c r="C30" s="35" t="inlineStr">
        <is>
          <t>01.021.00</t>
        </is>
      </c>
      <c r="D30" s="35" t="n">
        <v>7325</v>
      </c>
      <c r="E30" s="35" t="n">
        <v>50</v>
      </c>
      <c r="F30" s="35" t="n">
        <v>73.48999999999999</v>
      </c>
      <c r="G30" s="35" t="n">
        <v>68.06999999999999</v>
      </c>
      <c r="H30" s="35" t="n">
        <v>59.04</v>
      </c>
      <c r="I30" s="35" t="inlineStr">
        <is>
          <t>Obras moldadas, de ferro fundido, ferro ou aço, exceto as do código 7325.91.00</t>
        </is>
      </c>
      <c r="J30" s="40" t="inlineStr">
        <is>
          <t>Lei nº 1.810, art. 49, § 1º, XXIX</t>
        </is>
      </c>
      <c r="L30" s="29">
        <f>IF(D30="NCM/SH","",COUNTIF($D$5:$D$1506,D30))</f>
        <v/>
      </c>
    </row>
    <row r="31" ht="15.75" customHeight="1" thickBot="1">
      <c r="A31" s="1" t="inlineStr">
        <is>
          <t>02APças</t>
        </is>
      </c>
      <c r="B31" s="164" t="inlineStr">
        <is>
          <t>22.0</t>
        </is>
      </c>
      <c r="C31" s="35" t="inlineStr">
        <is>
          <t>01.022.00</t>
        </is>
      </c>
      <c r="D31" s="35" t="inlineStr">
        <is>
          <t>7806.00</t>
        </is>
      </c>
      <c r="E31" s="35" t="n">
        <v>50</v>
      </c>
      <c r="F31" s="35" t="n">
        <v>73.48999999999999</v>
      </c>
      <c r="G31" s="35" t="n">
        <v>68.06999999999999</v>
      </c>
      <c r="H31" s="35" t="n">
        <v>59.04</v>
      </c>
      <c r="I31" s="35" t="inlineStr">
        <is>
          <t xml:space="preserve">Peso de chumbo para balanceamento de roda </t>
        </is>
      </c>
      <c r="J31" s="40" t="inlineStr">
        <is>
          <t>Lei nº 1.810, art. 49, § 1º, XXIX</t>
        </is>
      </c>
      <c r="L31" s="29">
        <f>IF(D31="NCM/SH","",COUNTIF($D$5:$D$1506,D31))</f>
        <v/>
      </c>
    </row>
    <row r="32" ht="15.75" customHeight="1" thickBot="1">
      <c r="A32" s="1" t="inlineStr">
        <is>
          <t>02APças</t>
        </is>
      </c>
      <c r="B32" s="164" t="inlineStr">
        <is>
          <t>23.0</t>
        </is>
      </c>
      <c r="C32" s="35" t="inlineStr">
        <is>
          <t>01.023.00</t>
        </is>
      </c>
      <c r="D32" s="35" t="inlineStr">
        <is>
          <t>8007.00.90</t>
        </is>
      </c>
      <c r="E32" s="35" t="n">
        <v>50</v>
      </c>
      <c r="F32" s="35" t="n">
        <v>73.48999999999999</v>
      </c>
      <c r="G32" s="35" t="n">
        <v>68.06999999999999</v>
      </c>
      <c r="H32" s="35" t="n">
        <v>59.04</v>
      </c>
      <c r="I32" s="35" t="inlineStr">
        <is>
          <t xml:space="preserve">Peso para balanceamento de roda e outros utensílios de estanho </t>
        </is>
      </c>
      <c r="J32" s="40" t="inlineStr">
        <is>
          <t>Lei nº 1.810, art. 49, § 1º, XXIX</t>
        </is>
      </c>
      <c r="L32" s="29">
        <f>IF(D32="NCM/SH","",COUNTIF($D$5:$D$1506,D32))</f>
        <v/>
      </c>
    </row>
    <row r="33">
      <c r="A33" s="1" t="inlineStr">
        <is>
          <t>02APças</t>
        </is>
      </c>
      <c r="B33" s="163" t="inlineStr">
        <is>
          <t>24.0</t>
        </is>
      </c>
      <c r="C33" s="163" t="inlineStr">
        <is>
          <t>01.024.00</t>
        </is>
      </c>
      <c r="D33" s="37" t="inlineStr">
        <is>
          <t>8301.20</t>
        </is>
      </c>
      <c r="E33" s="163" t="n">
        <v>50</v>
      </c>
      <c r="F33" s="163" t="n">
        <v>73.48999999999999</v>
      </c>
      <c r="G33" s="163" t="n">
        <v>68.06999999999999</v>
      </c>
      <c r="H33" s="163" t="n">
        <v>59.04</v>
      </c>
      <c r="I33" s="163" t="inlineStr">
        <is>
          <t xml:space="preserve">Fechaduras e partes de fechaduras </t>
        </is>
      </c>
      <c r="J33" s="40" t="inlineStr">
        <is>
          <t>Lei nº 1.810, art. 49, § 1º, XXIX</t>
        </is>
      </c>
      <c r="L33" s="29">
        <f>IF(D33="NCM/SH","",COUNTIF($D$5:$D$1506,D33))</f>
        <v/>
      </c>
    </row>
    <row r="34" ht="15.75" customHeight="1" thickBot="1">
      <c r="A34" s="1" t="inlineStr">
        <is>
          <t>02APças</t>
        </is>
      </c>
      <c r="B34" s="164" t="n">
        <v>24</v>
      </c>
      <c r="C34" s="164" t="inlineStr">
        <is>
          <t>01.024.00</t>
        </is>
      </c>
      <c r="D34" s="35" t="inlineStr">
        <is>
          <t>8301.60</t>
        </is>
      </c>
      <c r="E34" s="164" t="n">
        <v>50</v>
      </c>
      <c r="F34" s="164" t="n">
        <v>73.48999999999999</v>
      </c>
      <c r="G34" s="164" t="n">
        <v>68.06999999999999</v>
      </c>
      <c r="H34" s="164" t="n">
        <v>59.04</v>
      </c>
      <c r="I34" s="164" t="inlineStr">
        <is>
          <t xml:space="preserve">Fechaduras e partes de fechaduras </t>
        </is>
      </c>
      <c r="J34" s="40" t="inlineStr">
        <is>
          <t>Lei nº 1.810, art. 49, § 1º, XXIX</t>
        </is>
      </c>
      <c r="L34" s="29">
        <f>IF(D34="NCM/SH","",COUNTIF($D$5:$D$1506,D34))</f>
        <v/>
      </c>
    </row>
    <row r="35" ht="15.75" customHeight="1" thickBot="1">
      <c r="A35" s="1" t="inlineStr">
        <is>
          <t>02APças</t>
        </is>
      </c>
      <c r="B35" s="164" t="inlineStr">
        <is>
          <t>25.0</t>
        </is>
      </c>
      <c r="C35" s="35" t="inlineStr">
        <is>
          <t>01.025.00</t>
        </is>
      </c>
      <c r="D35" s="35" t="inlineStr">
        <is>
          <t>8301.70</t>
        </is>
      </c>
      <c r="E35" s="35" t="n">
        <v>50</v>
      </c>
      <c r="F35" s="35" t="n">
        <v>73.48999999999999</v>
      </c>
      <c r="G35" s="35" t="n">
        <v>68.06999999999999</v>
      </c>
      <c r="H35" s="35" t="n">
        <v>59.04</v>
      </c>
      <c r="I35" s="35" t="inlineStr">
        <is>
          <t xml:space="preserve">Chaves apresentadas isoladamente </t>
        </is>
      </c>
      <c r="J35" s="40" t="inlineStr">
        <is>
          <t>Lei nº 1.810, art. 49, § 1º, XXIX</t>
        </is>
      </c>
      <c r="L35" s="29">
        <f>IF(D35="NCM/SH","",COUNTIF($D$5:$D$1506,D35))</f>
        <v/>
      </c>
    </row>
    <row r="36">
      <c r="A36" s="1" t="inlineStr">
        <is>
          <t>02APças</t>
        </is>
      </c>
      <c r="B36" s="163" t="inlineStr">
        <is>
          <t>26.0</t>
        </is>
      </c>
      <c r="C36" s="163" t="inlineStr">
        <is>
          <t>01.026.00</t>
        </is>
      </c>
      <c r="D36" s="37" t="inlineStr">
        <is>
          <t>8302.10.00</t>
        </is>
      </c>
      <c r="E36" s="163" t="n">
        <v>50</v>
      </c>
      <c r="F36" s="163" t="n">
        <v>73.48999999999999</v>
      </c>
      <c r="G36" s="163" t="n">
        <v>68.06999999999999</v>
      </c>
      <c r="H36" s="163" t="n">
        <v>59.04</v>
      </c>
      <c r="I36" s="163" t="inlineStr">
        <is>
          <t xml:space="preserve">Dobradiças, guarnições, ferragens e artigos semelhantes de metais comuns </t>
        </is>
      </c>
      <c r="J36" s="40" t="inlineStr">
        <is>
          <t>Lei nº 1.810, art. 49, § 1º, XXIX</t>
        </is>
      </c>
      <c r="L36" s="29">
        <f>IF(D36="NCM/SH","",COUNTIF($D$5:$D$1506,D36))</f>
        <v/>
      </c>
    </row>
    <row r="37" ht="15.75" customHeight="1" thickBot="1">
      <c r="A37" s="1" t="inlineStr">
        <is>
          <t>02APças</t>
        </is>
      </c>
      <c r="B37" s="164" t="n">
        <v>26</v>
      </c>
      <c r="C37" s="164" t="inlineStr">
        <is>
          <t>01.026.00</t>
        </is>
      </c>
      <c r="D37" s="35" t="inlineStr">
        <is>
          <t>8302.30.00</t>
        </is>
      </c>
      <c r="E37" s="164" t="n">
        <v>50</v>
      </c>
      <c r="F37" s="164" t="n">
        <v>73.48999999999999</v>
      </c>
      <c r="G37" s="164" t="n">
        <v>68.06999999999999</v>
      </c>
      <c r="H37" s="164" t="n">
        <v>59.04</v>
      </c>
      <c r="I37" s="164" t="inlineStr">
        <is>
          <t xml:space="preserve">Dobradiças, guarnições, ferragens e artigos semelhantes de metais comuns </t>
        </is>
      </c>
      <c r="J37" s="40" t="inlineStr">
        <is>
          <t>Lei nº 1.810, art. 49, § 1º, XXIX</t>
        </is>
      </c>
      <c r="L37" s="29">
        <f>IF(D37="NCM/SH","",COUNTIF($D$5:$D$1506,D37))</f>
        <v/>
      </c>
    </row>
    <row r="38" ht="15.75" customHeight="1" thickBot="1">
      <c r="A38" s="1" t="inlineStr">
        <is>
          <t>02APças</t>
        </is>
      </c>
      <c r="B38" s="164" t="inlineStr">
        <is>
          <t>27.0</t>
        </is>
      </c>
      <c r="C38" s="35" t="inlineStr">
        <is>
          <t>01.027.00</t>
        </is>
      </c>
      <c r="D38" s="35" t="inlineStr">
        <is>
          <t>8310.00</t>
        </is>
      </c>
      <c r="E38" s="35" t="n">
        <v>50</v>
      </c>
      <c r="F38" s="35" t="n">
        <v>73.48999999999999</v>
      </c>
      <c r="G38" s="35" t="n">
        <v>68.06999999999999</v>
      </c>
      <c r="H38" s="35" t="n">
        <v>59.04</v>
      </c>
      <c r="I38" s="35" t="inlineStr">
        <is>
          <t xml:space="preserve">Triângulo de segurança </t>
        </is>
      </c>
      <c r="J38" s="40" t="inlineStr">
        <is>
          <t>Lei nº 1.810, art. 49, § 1º, XXIX</t>
        </is>
      </c>
      <c r="L38" s="29">
        <f>IF(D38="NCM/SH","",COUNTIF($D$5:$D$1506,D38))</f>
        <v/>
      </c>
    </row>
    <row r="39" ht="15.75" customHeight="1" thickBot="1">
      <c r="A39" s="1" t="inlineStr">
        <is>
          <t>02APças</t>
        </is>
      </c>
      <c r="B39" s="164" t="inlineStr">
        <is>
          <t>28.0</t>
        </is>
      </c>
      <c r="C39" s="35" t="inlineStr">
        <is>
          <t>01.028.00</t>
        </is>
      </c>
      <c r="D39" s="35" t="inlineStr">
        <is>
          <t>8407.3</t>
        </is>
      </c>
      <c r="E39" s="35" t="n">
        <v>50</v>
      </c>
      <c r="F39" s="35" t="n">
        <v>73.48999999999999</v>
      </c>
      <c r="G39" s="35" t="n">
        <v>68.06999999999999</v>
      </c>
      <c r="H39" s="35" t="n">
        <v>59.04</v>
      </c>
      <c r="I39" s="35" t="inlineStr">
        <is>
          <t xml:space="preserve">Motores de pistão alternativo dos tipos utilizados para propulsão de veículos do Capítulo 87 </t>
        </is>
      </c>
      <c r="J39" s="40" t="inlineStr">
        <is>
          <t>Lei nº 1.810, art. 49, § 1º, XXIX</t>
        </is>
      </c>
      <c r="L39" s="29">
        <f>IF(D39="NCM/SH","",COUNTIF($D$5:$D$1506,D39))</f>
        <v/>
      </c>
    </row>
    <row r="40" ht="15.75" customHeight="1" thickBot="1">
      <c r="A40" s="1" t="inlineStr">
        <is>
          <t>02APças</t>
        </is>
      </c>
      <c r="B40" s="164" t="inlineStr">
        <is>
          <t>29.0</t>
        </is>
      </c>
      <c r="C40" s="35" t="inlineStr">
        <is>
          <t>01.029.00</t>
        </is>
      </c>
      <c r="D40" s="35" t="inlineStr">
        <is>
          <t>8408.20</t>
        </is>
      </c>
      <c r="E40" s="35" t="n">
        <v>50</v>
      </c>
      <c r="F40" s="35" t="n">
        <v>73.48999999999999</v>
      </c>
      <c r="G40" s="35" t="n">
        <v>68.06999999999999</v>
      </c>
      <c r="H40" s="35" t="n">
        <v>59.04</v>
      </c>
      <c r="I40" s="35" t="inlineStr">
        <is>
          <t xml:space="preserve">Motores dos tipos utilizados para propulsão de veículos automotores </t>
        </is>
      </c>
      <c r="J40" s="40" t="inlineStr">
        <is>
          <t>Lei nº 1.810, art. 49, § 1º, XXIX</t>
        </is>
      </c>
      <c r="L40" s="29">
        <f>IF(D40="NCM/SH","",COUNTIF($D$5:$D$1506,D40))</f>
        <v/>
      </c>
    </row>
    <row r="41" ht="15.75" customHeight="1" thickBot="1">
      <c r="A41" s="1" t="inlineStr">
        <is>
          <t>02APças</t>
        </is>
      </c>
      <c r="B41" s="164" t="inlineStr">
        <is>
          <t>30.0</t>
        </is>
      </c>
      <c r="C41" s="35" t="inlineStr">
        <is>
          <t>01.030.00</t>
        </is>
      </c>
      <c r="D41" s="35" t="inlineStr">
        <is>
          <t>8409.9</t>
        </is>
      </c>
      <c r="E41" s="35" t="n">
        <v>50</v>
      </c>
      <c r="F41" s="35" t="n">
        <v>73.48999999999999</v>
      </c>
      <c r="G41" s="35" t="n">
        <v>68.06999999999999</v>
      </c>
      <c r="H41" s="35" t="n">
        <v>59.04</v>
      </c>
      <c r="I41" s="35" t="inlineStr">
        <is>
          <t>Partes reconhecíveis como exclusiva ou principalmente destinadas aos motores das posições 8407 ou 8408</t>
        </is>
      </c>
      <c r="J41" s="40" t="inlineStr">
        <is>
          <t>Lei nº 1.810, art. 49, § 1º, XXIX</t>
        </is>
      </c>
      <c r="L41" s="29">
        <f>IF(D41="NCM/SH","",COUNTIF($D$5:$D$1506,D41))</f>
        <v/>
      </c>
    </row>
    <row r="42" ht="15.75" customHeight="1" thickBot="1">
      <c r="A42" s="1" t="inlineStr">
        <is>
          <t>02APças</t>
        </is>
      </c>
      <c r="B42" s="164" t="inlineStr">
        <is>
          <t>31.0</t>
        </is>
      </c>
      <c r="C42" s="35" t="inlineStr">
        <is>
          <t>01.031.00</t>
        </is>
      </c>
      <c r="D42" s="35" t="inlineStr">
        <is>
          <t>8412.2</t>
        </is>
      </c>
      <c r="E42" s="35" t="n">
        <v>50</v>
      </c>
      <c r="F42" s="35" t="n">
        <v>73.48999999999999</v>
      </c>
      <c r="G42" s="35" t="n">
        <v>68.06999999999999</v>
      </c>
      <c r="H42" s="35" t="n">
        <v>59.04</v>
      </c>
      <c r="I42" s="35" t="inlineStr">
        <is>
          <t xml:space="preserve">Motores hidráulicos </t>
        </is>
      </c>
      <c r="J42" s="40" t="inlineStr">
        <is>
          <t>Lei nº 1.810, art. 49, § 1º, XXIX</t>
        </is>
      </c>
      <c r="L42" s="29">
        <f>IF(D42="NCM/SH","",COUNTIF($D$5:$D$1506,D42))</f>
        <v/>
      </c>
    </row>
    <row r="43" ht="15.75" customHeight="1" thickBot="1">
      <c r="A43" s="1" t="inlineStr">
        <is>
          <t>02APças</t>
        </is>
      </c>
      <c r="B43" s="164" t="inlineStr">
        <is>
          <t>32.0</t>
        </is>
      </c>
      <c r="C43" s="35" t="inlineStr">
        <is>
          <t>01.032.00</t>
        </is>
      </c>
      <c r="D43" s="35" t="inlineStr">
        <is>
          <t>8413.30</t>
        </is>
      </c>
      <c r="E43" s="35" t="n">
        <v>50</v>
      </c>
      <c r="F43" s="35" t="n">
        <v>73.48999999999999</v>
      </c>
      <c r="G43" s="35" t="n">
        <v>68.06999999999999</v>
      </c>
      <c r="H43" s="35" t="n">
        <v>59.04</v>
      </c>
      <c r="I43" s="35" t="inlineStr">
        <is>
          <t xml:space="preserve">Bombas para combustíveis, lubrificantes ou líquidos de arrefecimento, próprias para motores de ignição por centelha ou por compressão </t>
        </is>
      </c>
      <c r="J43" s="40" t="inlineStr">
        <is>
          <t>Lei nº 1.810, art. 49, § 1º, XXIX</t>
        </is>
      </c>
      <c r="L43" s="29">
        <f>IF(D43="NCM/SH","",COUNTIF($D$5:$D$1506,D43))</f>
        <v/>
      </c>
    </row>
    <row r="44" ht="15.75" customHeight="1" thickBot="1">
      <c r="A44" s="1" t="inlineStr">
        <is>
          <t>02APças</t>
        </is>
      </c>
      <c r="B44" s="164" t="inlineStr">
        <is>
          <t>33.0</t>
        </is>
      </c>
      <c r="C44" s="35" t="inlineStr">
        <is>
          <t>01.033.00</t>
        </is>
      </c>
      <c r="D44" s="35" t="inlineStr">
        <is>
          <t>8414.10.00</t>
        </is>
      </c>
      <c r="E44" s="35" t="n">
        <v>50</v>
      </c>
      <c r="F44" s="35" t="n">
        <v>73.48999999999999</v>
      </c>
      <c r="G44" s="35" t="n">
        <v>68.06999999999999</v>
      </c>
      <c r="H44" s="35" t="n">
        <v>59.04</v>
      </c>
      <c r="I44" s="35" t="inlineStr">
        <is>
          <t xml:space="preserve">Bombas de vácuo </t>
        </is>
      </c>
      <c r="J44" s="41" t="inlineStr">
        <is>
          <t>Lei nº 1.810, art. 49, § 1º, XXIX</t>
        </is>
      </c>
      <c r="L44" s="29">
        <f>IF(D44="NCM/SH","",COUNTIF($D$5:$D$1506,D44))</f>
        <v/>
      </c>
    </row>
    <row r="45">
      <c r="A45" s="1" t="inlineStr">
        <is>
          <t>02APças</t>
        </is>
      </c>
      <c r="B45" s="163" t="inlineStr">
        <is>
          <t>34.0</t>
        </is>
      </c>
      <c r="C45" s="163" t="inlineStr">
        <is>
          <t>01.034.00</t>
        </is>
      </c>
      <c r="D45" s="37" t="inlineStr">
        <is>
          <t>8414.80.1</t>
        </is>
      </c>
      <c r="E45" s="163" t="n">
        <v>50</v>
      </c>
      <c r="F45" s="163" t="n">
        <v>73.48999999999999</v>
      </c>
      <c r="G45" s="163" t="n">
        <v>68.06999999999999</v>
      </c>
      <c r="H45" s="163" t="n">
        <v>59.04</v>
      </c>
      <c r="I45" s="163" t="inlineStr">
        <is>
          <t xml:space="preserve">Compressores e turbocompressores de ar </t>
        </is>
      </c>
      <c r="J45" s="38" t="inlineStr">
        <is>
          <t>Lei nº 1.810, art. 49, § 1º, XXIX</t>
        </is>
      </c>
      <c r="L45" s="29">
        <f>IF(D45="NCM/SH","",COUNTIF($D$5:$D$1506,D45))</f>
        <v/>
      </c>
    </row>
    <row r="46" ht="15.75" customHeight="1" thickBot="1">
      <c r="A46" s="1" t="inlineStr">
        <is>
          <t>02APças</t>
        </is>
      </c>
      <c r="B46" s="164" t="n">
        <v>34</v>
      </c>
      <c r="C46" s="164" t="inlineStr">
        <is>
          <t>01.034.00</t>
        </is>
      </c>
      <c r="D46" s="35" t="inlineStr">
        <is>
          <t>8414.80.2</t>
        </is>
      </c>
      <c r="E46" s="164" t="n">
        <v>50</v>
      </c>
      <c r="F46" s="164" t="n">
        <v>73.48999999999999</v>
      </c>
      <c r="G46" s="164" t="n">
        <v>68.06999999999999</v>
      </c>
      <c r="H46" s="164" t="n">
        <v>59.04</v>
      </c>
      <c r="I46" s="164" t="inlineStr">
        <is>
          <t xml:space="preserve">Compressores e turbocompressores de ar </t>
        </is>
      </c>
      <c r="J46" s="38" t="inlineStr">
        <is>
          <t>Lei nº 1.810, art. 49, § 1º, XXIX</t>
        </is>
      </c>
      <c r="L46" s="29">
        <f>IF(D46="NCM/SH","",COUNTIF($D$5:$D$1506,D46))</f>
        <v/>
      </c>
    </row>
    <row r="47" ht="15.75" customHeight="1" thickBot="1">
      <c r="A47" s="1" t="inlineStr">
        <is>
          <t>02APças</t>
        </is>
      </c>
      <c r="B47" s="163" t="inlineStr">
        <is>
          <t>35.0</t>
        </is>
      </c>
      <c r="C47" s="163" t="inlineStr">
        <is>
          <t>01.035.00</t>
        </is>
      </c>
      <c r="D47" s="37" t="inlineStr">
        <is>
          <t>8413.91.90</t>
        </is>
      </c>
      <c r="E47" s="163" t="n">
        <v>50</v>
      </c>
      <c r="F47" s="163" t="n">
        <v>73.48999999999999</v>
      </c>
      <c r="G47" s="163" t="n">
        <v>68.06999999999999</v>
      </c>
      <c r="H47" s="163" t="n">
        <v>59.04</v>
      </c>
      <c r="I47" s="42" t="inlineStr">
        <is>
          <t>Partes das bombas, compressores e turbocompressores dos CEST 01.032.00, 01.033.00 e 01.034.00</t>
        </is>
      </c>
      <c r="J47" s="40" t="inlineStr">
        <is>
          <t>Lei nº 1.810, art. 49, § 1º, XXIX</t>
        </is>
      </c>
      <c r="K47" s="43" t="inlineStr">
        <is>
          <t>(Item 35.0: nova redação dada pelo Decreto nº 14.645/2016. Efeitos a partir de 1º.01.2017.)</t>
        </is>
      </c>
      <c r="L47" s="29">
        <f>IF(D47="NCM/SH","",COUNTIF($D$5:$D$1506,D47))</f>
        <v/>
      </c>
    </row>
    <row r="48" ht="15.75" customHeight="1" thickBot="1">
      <c r="A48" s="1" t="inlineStr">
        <is>
          <t>02APças</t>
        </is>
      </c>
      <c r="B48" s="44" t="n">
        <v>35</v>
      </c>
      <c r="C48" s="44" t="inlineStr">
        <is>
          <t>01.035.00</t>
        </is>
      </c>
      <c r="D48" s="37" t="inlineStr">
        <is>
          <t>8414.90.10</t>
        </is>
      </c>
      <c r="E48" s="44" t="n">
        <v>50</v>
      </c>
      <c r="F48" s="44" t="n">
        <v>73.48999999999999</v>
      </c>
      <c r="G48" s="44" t="n">
        <v>68.06999999999999</v>
      </c>
      <c r="H48" s="44" t="n">
        <v>59.04</v>
      </c>
      <c r="I48" s="45" t="inlineStr">
        <is>
          <t>Partes das bombas, compressores e turbocompressores dos CEST 01.032.00, 01.033.00 e 01.034.00</t>
        </is>
      </c>
      <c r="J48" s="40" t="inlineStr">
        <is>
          <t>Lei nº 1.810, art. 49, § 1º, XXIX</t>
        </is>
      </c>
      <c r="K48" s="43" t="inlineStr">
        <is>
          <t>(Item 35.0: nova redação dada pelo Decreto nº 14.645/2016. Efeitos a partir de 1º.01.2017.)</t>
        </is>
      </c>
      <c r="L48" s="29">
        <f>IF(D48="NCM/SH","",COUNTIF($D$5:$D$1506,D48))</f>
        <v/>
      </c>
    </row>
    <row r="49" ht="15.75" customHeight="1" thickBot="1">
      <c r="A49" s="1" t="inlineStr">
        <is>
          <t>02APças</t>
        </is>
      </c>
      <c r="B49" s="44" t="n">
        <v>35</v>
      </c>
      <c r="C49" s="44" t="inlineStr">
        <is>
          <t>01.035.00</t>
        </is>
      </c>
      <c r="D49" s="37" t="inlineStr">
        <is>
          <t>8414.90.3</t>
        </is>
      </c>
      <c r="E49" s="44" t="n">
        <v>50</v>
      </c>
      <c r="F49" s="44" t="n">
        <v>73.48999999999999</v>
      </c>
      <c r="G49" s="44" t="n">
        <v>68.06999999999999</v>
      </c>
      <c r="H49" s="44" t="n">
        <v>59.04</v>
      </c>
      <c r="I49" s="45" t="inlineStr">
        <is>
          <t>Partes das bombas, compressores e turbocompressores dos CEST 01.032.00, 01.033.00 e 01.034.00</t>
        </is>
      </c>
      <c r="J49" s="40" t="inlineStr">
        <is>
          <t>Lei nº 1.810, art. 49, § 1º, XXIX</t>
        </is>
      </c>
      <c r="K49" s="43" t="inlineStr">
        <is>
          <t>(Item 35.0: nova redação dada pelo Decreto nº 14.645/2016. Efeitos a partir de 1º.01.2017.)</t>
        </is>
      </c>
      <c r="L49" s="29">
        <f>IF(D49="NCM/SH","",COUNTIF($D$5:$D$1506,D49))</f>
        <v/>
      </c>
    </row>
    <row r="50" ht="15.75" customHeight="1" thickBot="1">
      <c r="A50" s="1" t="inlineStr">
        <is>
          <t>02APças</t>
        </is>
      </c>
      <c r="B50" s="164" t="n">
        <v>35</v>
      </c>
      <c r="C50" s="164" t="inlineStr">
        <is>
          <t>01.035.00</t>
        </is>
      </c>
      <c r="D50" s="35" t="inlineStr">
        <is>
          <t>8414.90.39</t>
        </is>
      </c>
      <c r="E50" s="164" t="n">
        <v>50</v>
      </c>
      <c r="F50" s="164" t="n">
        <v>73.48999999999999</v>
      </c>
      <c r="G50" s="164" t="n">
        <v>68.06999999999999</v>
      </c>
      <c r="H50" s="164" t="n">
        <v>59.04</v>
      </c>
      <c r="I50" s="46" t="inlineStr">
        <is>
          <t>Partes das bombas, compressores e turbocompressores dos CEST 01.032.00, 01.033.00 e 01.034.00</t>
        </is>
      </c>
      <c r="J50" s="40" t="inlineStr">
        <is>
          <t>Lei nº 1.810, art. 49, § 1º, XXIX</t>
        </is>
      </c>
      <c r="K50" s="43" t="inlineStr">
        <is>
          <t>(Item 35.0: nova redação dada pelo Decreto nº 14.645/2016. Efeitos a partir de 1º.01.2017.)</t>
        </is>
      </c>
      <c r="L50" s="29">
        <f>IF(D50="NCM/SH","",COUNTIF($D$5:$D$1506,D50))</f>
        <v/>
      </c>
    </row>
    <row r="51" ht="15.75" customHeight="1" thickBot="1">
      <c r="A51" s="1" t="inlineStr">
        <is>
          <t>02APças</t>
        </is>
      </c>
      <c r="B51" s="164" t="inlineStr">
        <is>
          <t>36.0</t>
        </is>
      </c>
      <c r="C51" s="35" t="inlineStr">
        <is>
          <t>01.036.00</t>
        </is>
      </c>
      <c r="D51" s="35" t="inlineStr">
        <is>
          <t>8415.20</t>
        </is>
      </c>
      <c r="E51" s="35" t="n">
        <v>50</v>
      </c>
      <c r="F51" s="35" t="n">
        <v>73.48999999999999</v>
      </c>
      <c r="G51" s="35" t="n">
        <v>68.06999999999999</v>
      </c>
      <c r="H51" s="35" t="n">
        <v>59.04</v>
      </c>
      <c r="I51" s="35" t="inlineStr">
        <is>
          <t xml:space="preserve">Máquinas e aparelhos de ar condicionado </t>
        </is>
      </c>
      <c r="J51" s="45" t="inlineStr">
        <is>
          <t>Lei nº 1.810, art. 49, § 1º, XXIX</t>
        </is>
      </c>
      <c r="L51" s="29">
        <f>IF(D51="NCM/SH","",COUNTIF($D$5:$D$1506,D51))</f>
        <v/>
      </c>
    </row>
    <row r="52" ht="15.75" customHeight="1" thickBot="1">
      <c r="A52" s="1" t="inlineStr">
        <is>
          <t>02APças</t>
        </is>
      </c>
      <c r="B52" s="164" t="inlineStr">
        <is>
          <t>37.0</t>
        </is>
      </c>
      <c r="C52" s="35" t="inlineStr">
        <is>
          <t>01.037.00</t>
        </is>
      </c>
      <c r="D52" s="35" t="inlineStr">
        <is>
          <t>8421.23.00</t>
        </is>
      </c>
      <c r="E52" s="35" t="n">
        <v>50</v>
      </c>
      <c r="F52" s="35" t="n">
        <v>73.48999999999999</v>
      </c>
      <c r="G52" s="35" t="n">
        <v>68.06999999999999</v>
      </c>
      <c r="H52" s="35" t="n">
        <v>59.04</v>
      </c>
      <c r="I52" s="35" t="inlineStr">
        <is>
          <t xml:space="preserve">Aparelhos para filtrar óleos minerais nos motores de ignição por centelha ou por compressão </t>
        </is>
      </c>
      <c r="J52" s="45" t="inlineStr">
        <is>
          <t>Lei nº 1.810, art. 49, § 1º, XXIX</t>
        </is>
      </c>
      <c r="L52" s="29">
        <f>IF(D52="NCM/SH","",COUNTIF($D$5:$D$1506,D52))</f>
        <v/>
      </c>
    </row>
    <row r="53" ht="15.75" customHeight="1" thickBot="1">
      <c r="A53" s="1" t="inlineStr">
        <is>
          <t>02APças</t>
        </is>
      </c>
      <c r="B53" s="164" t="inlineStr">
        <is>
          <t>38.0</t>
        </is>
      </c>
      <c r="C53" s="35" t="inlineStr">
        <is>
          <t>01.038.00</t>
        </is>
      </c>
      <c r="D53" s="35" t="inlineStr">
        <is>
          <t>8421.29.90</t>
        </is>
      </c>
      <c r="E53" s="35" t="n">
        <v>50</v>
      </c>
      <c r="F53" s="35" t="n">
        <v>73.48999999999999</v>
      </c>
      <c r="G53" s="35" t="n">
        <v>68.06999999999999</v>
      </c>
      <c r="H53" s="35" t="n">
        <v>59.04</v>
      </c>
      <c r="I53" s="35" t="inlineStr">
        <is>
          <t xml:space="preserve">Filtros a vácuo </t>
        </is>
      </c>
      <c r="J53" s="45" t="inlineStr">
        <is>
          <t>Lei nº 1.810, art. 49, § 1º, XXIX</t>
        </is>
      </c>
      <c r="L53" s="29">
        <f>IF(D53="NCM/SH","",COUNTIF($D$5:$D$1506,D53))</f>
        <v/>
      </c>
    </row>
    <row r="54" ht="15.75" customHeight="1" thickBot="1">
      <c r="A54" s="1" t="inlineStr">
        <is>
          <t>02APças</t>
        </is>
      </c>
      <c r="B54" s="164" t="inlineStr">
        <is>
          <t>39.0</t>
        </is>
      </c>
      <c r="C54" s="35" t="inlineStr">
        <is>
          <t>01.039.00</t>
        </is>
      </c>
      <c r="D54" s="35" t="inlineStr">
        <is>
          <t>8421.9</t>
        </is>
      </c>
      <c r="E54" s="35" t="n">
        <v>50</v>
      </c>
      <c r="F54" s="35" t="n">
        <v>73.48999999999999</v>
      </c>
      <c r="G54" s="35" t="n">
        <v>68.06999999999999</v>
      </c>
      <c r="H54" s="35" t="n">
        <v>59.04</v>
      </c>
      <c r="I54" s="35" t="inlineStr">
        <is>
          <t xml:space="preserve">Partes dos aparelhos para filtrar ou depurar líquidos ou gases </t>
        </is>
      </c>
      <c r="J54" s="45" t="inlineStr">
        <is>
          <t>Lei nº 1.810, art. 49, § 1º, XXIX</t>
        </is>
      </c>
      <c r="L54" s="29">
        <f>IF(D54="NCM/SH","",COUNTIF($D$5:$D$1506,D54))</f>
        <v/>
      </c>
    </row>
    <row r="55" ht="15.75" customHeight="1" thickBot="1">
      <c r="A55" s="1" t="inlineStr">
        <is>
          <t>02APças</t>
        </is>
      </c>
      <c r="B55" s="164" t="inlineStr">
        <is>
          <t>40.0</t>
        </is>
      </c>
      <c r="C55" s="35" t="inlineStr">
        <is>
          <t>01.040.00</t>
        </is>
      </c>
      <c r="D55" s="35" t="inlineStr">
        <is>
          <t>8424.10.00</t>
        </is>
      </c>
      <c r="E55" s="35" t="n">
        <v>50</v>
      </c>
      <c r="F55" s="35" t="n">
        <v>73.48999999999999</v>
      </c>
      <c r="G55" s="35" t="n">
        <v>68.06999999999999</v>
      </c>
      <c r="H55" s="35" t="n">
        <v>59.04</v>
      </c>
      <c r="I55" s="35" t="inlineStr">
        <is>
          <t xml:space="preserve">Extintores, mesmo carregados </t>
        </is>
      </c>
      <c r="J55" s="45" t="inlineStr">
        <is>
          <t>Lei nº 1.810, art. 49, § 1º, XXIX</t>
        </is>
      </c>
      <c r="L55" s="29">
        <f>IF(D55="NCM/SH","",COUNTIF($D$5:$D$1506,D55))</f>
        <v/>
      </c>
    </row>
    <row r="56" ht="15.75" customHeight="1" thickBot="1">
      <c r="A56" s="1" t="inlineStr">
        <is>
          <t>02APças</t>
        </is>
      </c>
      <c r="B56" s="164" t="inlineStr">
        <is>
          <t>41.0</t>
        </is>
      </c>
      <c r="C56" s="35" t="inlineStr">
        <is>
          <t>01.041.00</t>
        </is>
      </c>
      <c r="D56" s="35" t="inlineStr">
        <is>
          <t>8421.31.00</t>
        </is>
      </c>
      <c r="E56" s="35" t="n">
        <v>50</v>
      </c>
      <c r="F56" s="35" t="n">
        <v>73.48999999999999</v>
      </c>
      <c r="G56" s="35" t="n">
        <v>68.06999999999999</v>
      </c>
      <c r="H56" s="35" t="n">
        <v>59.04</v>
      </c>
      <c r="I56" s="35" t="inlineStr">
        <is>
          <t xml:space="preserve">Filtros de entrada de ar para motores de ignição por centelha ou por compressão </t>
        </is>
      </c>
      <c r="J56" s="45" t="inlineStr">
        <is>
          <t>Lei nº 1.810, art. 49, § 1º, XXIX</t>
        </is>
      </c>
      <c r="L56" s="29">
        <f>IF(D56="NCM/SH","",COUNTIF($D$5:$D$1506,D56))</f>
        <v/>
      </c>
    </row>
    <row r="57" ht="15.75" customHeight="1" thickBot="1">
      <c r="A57" s="1" t="inlineStr">
        <is>
          <t>02APças</t>
        </is>
      </c>
      <c r="B57" s="164" t="inlineStr">
        <is>
          <t>42.0</t>
        </is>
      </c>
      <c r="C57" s="35" t="inlineStr">
        <is>
          <t>01.042.00</t>
        </is>
      </c>
      <c r="D57" s="35" t="inlineStr">
        <is>
          <t>8421.32.00</t>
        </is>
      </c>
      <c r="E57" s="35" t="n">
        <v>50</v>
      </c>
      <c r="F57" s="35" t="n">
        <v>73.48999999999999</v>
      </c>
      <c r="G57" s="35" t="n">
        <v>68.06999999999999</v>
      </c>
      <c r="H57" s="35" t="n">
        <v>59.04</v>
      </c>
      <c r="I57" s="35" t="inlineStr">
        <is>
          <t xml:space="preserve">Depuradores por conversão catalítica de gases de escape </t>
        </is>
      </c>
      <c r="J57" s="45" t="inlineStr">
        <is>
          <t>Lei nº 1.810, art. 49, § 1º, XXIX</t>
        </is>
      </c>
      <c r="K57" s="47" t="inlineStr">
        <is>
          <t>(Item 42.0: nova redação dada pelo Decreto nº 16.011/2022. Efeitos a partir de 16.08.2022)</t>
        </is>
      </c>
      <c r="L57" s="29">
        <f>IF(D57="NCM/SH","",COUNTIF($D$5:$D$1506,D57))</f>
        <v/>
      </c>
    </row>
    <row r="58" ht="15.75" customHeight="1" thickBot="1">
      <c r="A58" s="1" t="inlineStr">
        <is>
          <t>02APças</t>
        </is>
      </c>
      <c r="B58" s="164" t="inlineStr">
        <is>
          <t>43.0</t>
        </is>
      </c>
      <c r="C58" s="35" t="inlineStr">
        <is>
          <t>01.043.00</t>
        </is>
      </c>
      <c r="D58" s="35" t="inlineStr">
        <is>
          <t>8425.42.00</t>
        </is>
      </c>
      <c r="E58" s="35" t="n">
        <v>50</v>
      </c>
      <c r="F58" s="35" t="n">
        <v>73.48999999999999</v>
      </c>
      <c r="G58" s="35" t="n">
        <v>68.06999999999999</v>
      </c>
      <c r="H58" s="35" t="n">
        <v>59.04</v>
      </c>
      <c r="I58" s="35" t="inlineStr">
        <is>
          <t xml:space="preserve">Macacos </t>
        </is>
      </c>
      <c r="J58" s="45" t="inlineStr">
        <is>
          <t>Lei nº 1.810, art. 49, § 1º, XXIX</t>
        </is>
      </c>
      <c r="L58" s="29">
        <f>IF(D58="NCM/SH","",COUNTIF($D$5:$D$1506,D58))</f>
        <v/>
      </c>
    </row>
    <row r="59" ht="15.75" customHeight="1" thickBot="1">
      <c r="A59" s="1" t="inlineStr">
        <is>
          <t>02APças</t>
        </is>
      </c>
      <c r="B59" s="164" t="inlineStr">
        <is>
          <t>44.0</t>
        </is>
      </c>
      <c r="C59" s="35" t="inlineStr">
        <is>
          <t>01.044.00</t>
        </is>
      </c>
      <c r="D59" s="35" t="inlineStr">
        <is>
          <t>8431.10.10</t>
        </is>
      </c>
      <c r="E59" s="35" t="n">
        <v>50</v>
      </c>
      <c r="F59" s="35" t="n">
        <v>73.48999999999999</v>
      </c>
      <c r="G59" s="35" t="n">
        <v>68.06999999999999</v>
      </c>
      <c r="H59" s="35" t="n">
        <v>59.04</v>
      </c>
      <c r="I59" s="48" t="inlineStr">
        <is>
          <t>Partes para macacos do CEST 01.043.00</t>
        </is>
      </c>
      <c r="J59" s="45" t="inlineStr">
        <is>
          <t>Lei nº 1.810, art. 49, § 1º, XXIX</t>
        </is>
      </c>
      <c r="K59" s="43" t="inlineStr">
        <is>
          <t>(Item 44.0: nova redação dada pelo Decreto nº 14.645/2016. Efeitos a partir de 1º.01.2017.)</t>
        </is>
      </c>
      <c r="L59" s="29">
        <f>IF(D59="NCM/SH","",COUNTIF($D$5:$D$1506,D59))</f>
        <v/>
      </c>
    </row>
    <row r="60" ht="15.75" customHeight="1" thickBot="1">
      <c r="A60" s="1" t="inlineStr">
        <is>
          <t>02APças</t>
        </is>
      </c>
      <c r="B60" s="164" t="inlineStr">
        <is>
          <t>45.0</t>
        </is>
      </c>
      <c r="C60" s="35" t="inlineStr">
        <is>
          <t>01.045.00</t>
        </is>
      </c>
      <c r="D60" s="35" t="inlineStr">
        <is>
          <t>8431.49.2</t>
        </is>
      </c>
      <c r="E60" s="35" t="n">
        <v>50</v>
      </c>
      <c r="F60" s="35" t="n">
        <v>73.48999999999999</v>
      </c>
      <c r="G60" s="35" t="n">
        <v>68.06999999999999</v>
      </c>
      <c r="H60" s="35" t="n">
        <v>59.04</v>
      </c>
      <c r="I60" s="48" t="inlineStr">
        <is>
          <t>Partes reconhecíveis como exclusiva ou principalmente destinadas às máquinas agrícolas ou rodoviárias</t>
        </is>
      </c>
      <c r="J60" s="38" t="inlineStr">
        <is>
          <t>Lei nº 1.810, art. 49, § 1º, XXIX</t>
        </is>
      </c>
      <c r="K60" s="43" t="inlineStr">
        <is>
          <t>(Item 45.0: nova redação dada pelo Decreto nº 14.645/2016. Efeitos a partir de 1º.01.2017.)</t>
        </is>
      </c>
      <c r="L60" s="29">
        <f>IF(D60="NCM/SH","",COUNTIF($D$5:$D$1506,D60))</f>
        <v/>
      </c>
    </row>
    <row r="61" ht="15.75" customHeight="1" thickBot="1">
      <c r="A61" s="1" t="inlineStr">
        <is>
          <t>02APças</t>
        </is>
      </c>
      <c r="B61" s="46" t="inlineStr">
        <is>
          <t>45.1</t>
        </is>
      </c>
      <c r="C61" s="48" t="inlineStr">
        <is>
          <t>01.045.01</t>
        </is>
      </c>
      <c r="D61" s="48" t="inlineStr">
        <is>
          <t>8433.90.90</t>
        </is>
      </c>
      <c r="E61" s="48" t="n">
        <v>50</v>
      </c>
      <c r="F61" s="48" t="n">
        <v>73.48999999999999</v>
      </c>
      <c r="G61" s="48" t="n">
        <v>68.06999999999999</v>
      </c>
      <c r="H61" s="48" t="n">
        <v>59.04</v>
      </c>
      <c r="I61" s="48" t="inlineStr">
        <is>
          <t xml:space="preserve">Partes reconhecíveis como exclusiva ou principalmente destinadas às máquinas agrícolas ou rodoviárias </t>
        </is>
      </c>
      <c r="J61" s="38" t="inlineStr">
        <is>
          <t>Lei nº 1.810, art. 49, § 1º, XXIX</t>
        </is>
      </c>
      <c r="K61" s="43" t="inlineStr">
        <is>
          <t>(Item 45.1: acrescentado pelo Decreto nº 14.645/2016. Efeitos a partir de 1º.01.2017.)</t>
        </is>
      </c>
      <c r="L61" s="29">
        <f>IF(D61="NCM/SH","",COUNTIF($D$5:$D$1506,D61))</f>
        <v/>
      </c>
    </row>
    <row r="62" ht="15.75" customHeight="1" thickBot="1">
      <c r="A62" s="1" t="inlineStr">
        <is>
          <t>02APças</t>
        </is>
      </c>
      <c r="B62" s="164" t="inlineStr">
        <is>
          <t>46.0</t>
        </is>
      </c>
      <c r="C62" s="35" t="inlineStr">
        <is>
          <t>01.046.00</t>
        </is>
      </c>
      <c r="D62" s="35" t="inlineStr">
        <is>
          <t>8481.10.00</t>
        </is>
      </c>
      <c r="E62" s="35" t="n">
        <v>50</v>
      </c>
      <c r="F62" s="35" t="n">
        <v>73.48999999999999</v>
      </c>
      <c r="G62" s="35" t="n">
        <v>68.06999999999999</v>
      </c>
      <c r="H62" s="35" t="n">
        <v>59.04</v>
      </c>
      <c r="I62" s="35" t="inlineStr">
        <is>
          <t xml:space="preserve">Válvulas redutoras de pressão </t>
        </is>
      </c>
      <c r="J62" s="45" t="inlineStr">
        <is>
          <t>Lei nº 1.810, art. 49, § 1º, XXIX</t>
        </is>
      </c>
      <c r="L62" s="29">
        <f>IF(D62="NCM/SH","",COUNTIF($D$5:$D$1506,D62))</f>
        <v/>
      </c>
    </row>
    <row r="63" ht="15.75" customHeight="1" thickBot="1">
      <c r="A63" s="1" t="inlineStr">
        <is>
          <t>02APças</t>
        </is>
      </c>
      <c r="B63" s="164" t="inlineStr">
        <is>
          <t>47.0</t>
        </is>
      </c>
      <c r="C63" s="35" t="inlineStr">
        <is>
          <t>01.047.00</t>
        </is>
      </c>
      <c r="D63" s="35" t="inlineStr">
        <is>
          <t>8481.2</t>
        </is>
      </c>
      <c r="E63" s="35" t="n">
        <v>50</v>
      </c>
      <c r="F63" s="35" t="n">
        <v>73.48999999999999</v>
      </c>
      <c r="G63" s="35" t="n">
        <v>68.06999999999999</v>
      </c>
      <c r="H63" s="35" t="n">
        <v>59.04</v>
      </c>
      <c r="I63" s="35" t="inlineStr">
        <is>
          <t xml:space="preserve">Válvulas para transmissão óleo-hidráulicas ou pneumáticas </t>
        </is>
      </c>
      <c r="J63" s="45" t="inlineStr">
        <is>
          <t>Lei nº 1.810, art. 49, § 1º, XXIX</t>
        </is>
      </c>
      <c r="L63" s="29">
        <f>IF(D63="NCM/SH","",COUNTIF($D$5:$D$1506,D63))</f>
        <v/>
      </c>
    </row>
    <row r="64" ht="15.75" customHeight="1" thickBot="1">
      <c r="A64" s="1" t="inlineStr">
        <is>
          <t>02APças</t>
        </is>
      </c>
      <c r="B64" s="164" t="inlineStr">
        <is>
          <t>48.0</t>
        </is>
      </c>
      <c r="C64" s="35" t="inlineStr">
        <is>
          <t>01.048.00</t>
        </is>
      </c>
      <c r="D64" s="35" t="inlineStr">
        <is>
          <t>8481.80.92</t>
        </is>
      </c>
      <c r="E64" s="35" t="n">
        <v>50</v>
      </c>
      <c r="F64" s="35" t="n">
        <v>73.48999999999999</v>
      </c>
      <c r="G64" s="35" t="n">
        <v>68.06999999999999</v>
      </c>
      <c r="H64" s="35" t="n">
        <v>59.04</v>
      </c>
      <c r="I64" s="35" t="inlineStr">
        <is>
          <t xml:space="preserve">Válvulas solenóides </t>
        </is>
      </c>
      <c r="J64" s="45" t="inlineStr">
        <is>
          <t>Lei nº 1.810, art. 49, § 1º, XXIX</t>
        </is>
      </c>
      <c r="L64" s="29">
        <f>IF(D64="NCM/SH","",COUNTIF($D$5:$D$1506,D64))</f>
        <v/>
      </c>
    </row>
    <row r="65" ht="15.75" customHeight="1" thickBot="1">
      <c r="A65" s="1" t="inlineStr">
        <is>
          <t>02APças</t>
        </is>
      </c>
      <c r="B65" s="164" t="inlineStr">
        <is>
          <t>49.0</t>
        </is>
      </c>
      <c r="C65" s="35" t="inlineStr">
        <is>
          <t>01.049.00</t>
        </is>
      </c>
      <c r="D65" s="35" t="n">
        <v>8482</v>
      </c>
      <c r="E65" s="35" t="n">
        <v>50</v>
      </c>
      <c r="F65" s="35" t="n">
        <v>73.48999999999999</v>
      </c>
      <c r="G65" s="35" t="n">
        <v>68.06999999999999</v>
      </c>
      <c r="H65" s="35" t="n">
        <v>59.04</v>
      </c>
      <c r="I65" s="35" t="inlineStr">
        <is>
          <t xml:space="preserve">Rolamentos </t>
        </is>
      </c>
      <c r="J65" s="46" t="inlineStr">
        <is>
          <t>Lei nº 1.810, art. 49, § 1º, XXIX</t>
        </is>
      </c>
      <c r="L65" s="29">
        <f>IF(D65="NCM/SH","",COUNTIF($D$5:$D$1506,D65))</f>
        <v/>
      </c>
    </row>
    <row r="66" ht="15.75" customHeight="1" thickBot="1">
      <c r="A66" s="1" t="inlineStr">
        <is>
          <t>02APças</t>
        </is>
      </c>
      <c r="B66" s="164" t="inlineStr">
        <is>
          <t>50.0</t>
        </is>
      </c>
      <c r="C66" s="35" t="inlineStr">
        <is>
          <t>01.050.00</t>
        </is>
      </c>
      <c r="D66" s="35" t="n">
        <v>8483</v>
      </c>
      <c r="E66" s="35" t="n">
        <v>50</v>
      </c>
      <c r="F66" s="35" t="n">
        <v>73.48999999999999</v>
      </c>
      <c r="G66" s="35" t="n">
        <v>68.06999999999999</v>
      </c>
      <c r="H66" s="35" t="n">
        <v>59.04</v>
      </c>
      <c r="I66" s="35" t="inlineStr">
        <is>
          <t xml:space="preserve">Árvores de transmissão (incluídas as árvores de "cames"e virabrequins) e manivelas; mancais e "bronzes"; engrenagens e rodas de fricção; eixos de esferas ou de roletes; redutores, multiplicadores, caixas de transmissão e variadores de velocidade, incluídos os conversores de torque; volantes e polias, incluídas as polias para cadernais; embreagens e dispositivos de acoplamento, incluídas as juntas de articulação </t>
        </is>
      </c>
      <c r="J66" s="38" t="inlineStr">
        <is>
          <t>Lei nº 1.810, art. 49, § 1º, XXIX</t>
        </is>
      </c>
      <c r="L66" s="29">
        <f>IF(D66="NCM/SH","",COUNTIF($D$5:$D$1506,D66))</f>
        <v/>
      </c>
    </row>
    <row r="67" ht="15.75" customHeight="1" thickBot="1">
      <c r="A67" s="1" t="inlineStr">
        <is>
          <t>02APças</t>
        </is>
      </c>
      <c r="B67" s="164" t="inlineStr">
        <is>
          <t>51.0</t>
        </is>
      </c>
      <c r="C67" s="35" t="inlineStr">
        <is>
          <t>01.051.00</t>
        </is>
      </c>
      <c r="D67" s="35" t="n">
        <v>8484</v>
      </c>
      <c r="E67" s="35" t="n">
        <v>50</v>
      </c>
      <c r="F67" s="35" t="n">
        <v>73.48999999999999</v>
      </c>
      <c r="G67" s="35" t="n">
        <v>68.06999999999999</v>
      </c>
      <c r="H67" s="35" t="n">
        <v>59.04</v>
      </c>
      <c r="I67" s="35" t="inlineStr">
        <is>
          <t xml:space="preserve">Juntas metaloplásticas; jogos ou sortidos de juntas de composições diferentes, apresentados em bolsas, envelopes ou embalagens semelhantes; juntas de vedação mecânicas (selos mecânicos) </t>
        </is>
      </c>
      <c r="J67" s="38" t="inlineStr">
        <is>
          <t>Lei nº 1.810, art. 49, § 1º, XXIX</t>
        </is>
      </c>
      <c r="L67" s="29">
        <f>IF(D67="NCM/SH","",COUNTIF($D$5:$D$1506,D67))</f>
        <v/>
      </c>
    </row>
    <row r="68" ht="15.75" customHeight="1" thickBot="1">
      <c r="A68" s="1" t="inlineStr">
        <is>
          <t>02APças</t>
        </is>
      </c>
      <c r="B68" s="164" t="inlineStr">
        <is>
          <t>52.0</t>
        </is>
      </c>
      <c r="C68" s="35" t="inlineStr">
        <is>
          <t>01.052.00</t>
        </is>
      </c>
      <c r="D68" s="35" t="inlineStr">
        <is>
          <t>8505.20</t>
        </is>
      </c>
      <c r="E68" s="35" t="n">
        <v>50</v>
      </c>
      <c r="F68" s="35" t="n">
        <v>73.48999999999999</v>
      </c>
      <c r="G68" s="35" t="n">
        <v>68.06999999999999</v>
      </c>
      <c r="H68" s="35" t="n">
        <v>59.04</v>
      </c>
      <c r="I68" s="35" t="inlineStr">
        <is>
          <t xml:space="preserve">Acoplamentos, embreagens, variadores de velocidade e freios, eletromagnéticos </t>
        </is>
      </c>
      <c r="J68" s="40" t="inlineStr">
        <is>
          <t>Lei nº 1.810, art. 49, § 1º, XXIX</t>
        </is>
      </c>
      <c r="L68" s="29">
        <f>IF(D68="NCM/SH","",COUNTIF($D$5:$D$1506,D68))</f>
        <v/>
      </c>
    </row>
    <row r="69" ht="15.75" customHeight="1" thickBot="1">
      <c r="A69" s="1" t="inlineStr">
        <is>
          <t>02APças</t>
        </is>
      </c>
      <c r="B69" s="164" t="inlineStr">
        <is>
          <t>53.0</t>
        </is>
      </c>
      <c r="C69" s="35" t="inlineStr">
        <is>
          <t>01.053.00</t>
        </is>
      </c>
      <c r="D69" s="35" t="inlineStr">
        <is>
          <t>8507.10</t>
        </is>
      </c>
      <c r="E69" s="35" t="n">
        <v>50</v>
      </c>
      <c r="F69" s="35" t="n">
        <v>73.48999999999999</v>
      </c>
      <c r="G69" s="35" t="n">
        <v>68.06999999999999</v>
      </c>
      <c r="H69" s="35" t="n">
        <v>59.04</v>
      </c>
      <c r="I69" s="48" t="inlineStr">
        <is>
          <t>Acumuladores elétricos de chumbo, do tipo utilizado para o arranque dos motores de pistão, exceto os classificados no CEST 01.053.01</t>
        </is>
      </c>
      <c r="J69" s="40" t="inlineStr">
        <is>
          <t>Lei nº 1.810, art. 49, § 1º, XXIX</t>
        </is>
      </c>
      <c r="K69" s="49" t="inlineStr">
        <is>
          <t>(Item 53.0: nova redação dada pelo Decreto n° 14.818/2017. Efeitos a partir de 1°.09.2017.)</t>
        </is>
      </c>
      <c r="L69" s="29">
        <f>IF(D69="NCM/SH","",COUNTIF($D$5:$D$1506,D69))</f>
        <v/>
      </c>
    </row>
    <row r="70" ht="15.75" customHeight="1" thickBot="1">
      <c r="A70" s="1" t="inlineStr">
        <is>
          <t>02APças</t>
        </is>
      </c>
      <c r="B70" s="46" t="inlineStr">
        <is>
          <t>53.1</t>
        </is>
      </c>
      <c r="C70" s="48" t="inlineStr">
        <is>
          <t>01.053.01</t>
        </is>
      </c>
      <c r="D70" s="48" t="inlineStr">
        <is>
          <t>8507.10.10</t>
        </is>
      </c>
      <c r="E70" s="35" t="n">
        <v>50</v>
      </c>
      <c r="F70" s="35" t="n">
        <v>73.48999999999999</v>
      </c>
      <c r="G70" s="35" t="n">
        <v>68.06999999999999</v>
      </c>
      <c r="H70" s="35" t="n">
        <v>59.04</v>
      </c>
      <c r="I70" s="48" t="inlineStr">
        <is>
          <t>Acumuladores elétricos de chumbo, do tipo utilizado para o arranque dos motores de pistão e de capacidade inferior ou igual a 20 Ah e tensão inferior ou igual a 12 V</t>
        </is>
      </c>
      <c r="J70" s="40" t="inlineStr">
        <is>
          <t>Lei nº 1.810, art. 49, § 1º, XXIX</t>
        </is>
      </c>
      <c r="K70" s="49" t="inlineStr">
        <is>
          <t>(Item 53.1: nova redação dada pelo Decreto n° 14.913/2017. Efeitos a partir de 1°.01.2018.)</t>
        </is>
      </c>
      <c r="L70" s="29">
        <f>IF(D70="NCM/SH","",COUNTIF($D$5:$D$1506,D70))</f>
        <v/>
      </c>
    </row>
    <row r="71" ht="15.75" customHeight="1" thickBot="1">
      <c r="A71" s="1" t="inlineStr">
        <is>
          <t>02APças</t>
        </is>
      </c>
      <c r="B71" s="164" t="inlineStr">
        <is>
          <t>54.0</t>
        </is>
      </c>
      <c r="C71" s="35" t="inlineStr">
        <is>
          <t>01.054.00</t>
        </is>
      </c>
      <c r="D71" s="35" t="n">
        <v>8511</v>
      </c>
      <c r="E71" s="35" t="n">
        <v>50</v>
      </c>
      <c r="F71" s="35" t="n">
        <v>73.48999999999999</v>
      </c>
      <c r="G71" s="35" t="n">
        <v>68.06999999999999</v>
      </c>
      <c r="H71" s="35" t="n">
        <v>59.04</v>
      </c>
      <c r="I71" s="35" t="inlineStr">
        <is>
          <t>Aparelhos e dispositivos elétricos de ignição ou de arranque para motores de ignição por centelha ou por compressão (por exemplo, magnetos, dínamos-magnetos, bobinas de ignição, velas de ignição ou de aquecimento, motores de arranque); geradores (dínamos e alternadores, por exemplo) e conjuntores-disjuntores utilizados com estes motores</t>
        </is>
      </c>
      <c r="J71" s="40" t="inlineStr">
        <is>
          <t>Lei nº 1.810, art. 49, § 1º, XXIX</t>
        </is>
      </c>
      <c r="L71" s="29">
        <f>IF(D71="NCM/SH","",COUNTIF($D$5:$D$1506,D71))</f>
        <v/>
      </c>
    </row>
    <row r="72">
      <c r="A72" s="1" t="inlineStr">
        <is>
          <t>02APças</t>
        </is>
      </c>
      <c r="B72" s="163" t="inlineStr">
        <is>
          <t>55.0</t>
        </is>
      </c>
      <c r="C72" s="163" t="inlineStr">
        <is>
          <t>01.055.00</t>
        </is>
      </c>
      <c r="D72" s="37" t="inlineStr">
        <is>
          <t>8512.20</t>
        </is>
      </c>
      <c r="E72" s="163" t="n">
        <v>50</v>
      </c>
      <c r="F72" s="163" t="n">
        <v>73.48999999999999</v>
      </c>
      <c r="G72" s="163" t="n">
        <v>68.06999999999999</v>
      </c>
      <c r="H72" s="163" t="n">
        <v>59.04</v>
      </c>
      <c r="I72" s="163" t="inlineStr">
        <is>
          <t>Aparelhos elétricos de iluminação ou de sinalização (exceto os da posição 8539), limpadores de para-brisas, degeladores e desembaçadores (desembaciadores) elétricos e suas partes</t>
        </is>
      </c>
      <c r="J72" s="40" t="inlineStr">
        <is>
          <t>Lei nº 1.810, art. 49, § 1º, XXIX</t>
        </is>
      </c>
      <c r="L72" s="29">
        <f>IF(D72="NCM/SH","",COUNTIF($D$5:$D$1506,D72))</f>
        <v/>
      </c>
    </row>
    <row r="73">
      <c r="A73" s="1" t="inlineStr">
        <is>
          <t>02APças</t>
        </is>
      </c>
      <c r="B73" s="44" t="n">
        <v>55</v>
      </c>
      <c r="C73" s="44" t="inlineStr">
        <is>
          <t>01.055.00</t>
        </is>
      </c>
      <c r="D73" s="37" t="inlineStr">
        <is>
          <t>8512.40</t>
        </is>
      </c>
      <c r="E73" s="44" t="n">
        <v>50</v>
      </c>
      <c r="F73" s="44" t="n">
        <v>73.48999999999999</v>
      </c>
      <c r="G73" s="44" t="n">
        <v>68.06999999999999</v>
      </c>
      <c r="H73" s="44" t="n">
        <v>59.04</v>
      </c>
      <c r="I73" s="44" t="inlineStr">
        <is>
          <t>Aparelhos elétricos de iluminação ou de sinalização (exceto os da posição 8539), limpadores de para-brisas, degeladores e desembaçadores (desembaciadores) elétricos e suas partes</t>
        </is>
      </c>
      <c r="J73" s="40" t="inlineStr">
        <is>
          <t>Lei nº 1.810, art. 49, § 1º, XXIX</t>
        </is>
      </c>
      <c r="L73" s="29">
        <f>IF(D73="NCM/SH","",COUNTIF($D$5:$D$1506,D73))</f>
        <v/>
      </c>
    </row>
    <row r="74" ht="15.75" customHeight="1" thickBot="1">
      <c r="A74" s="1" t="inlineStr">
        <is>
          <t>02APças</t>
        </is>
      </c>
      <c r="B74" s="164" t="n">
        <v>55</v>
      </c>
      <c r="C74" s="164" t="inlineStr">
        <is>
          <t>01.055.00</t>
        </is>
      </c>
      <c r="D74" s="35" t="inlineStr">
        <is>
          <t>8512.90.00</t>
        </is>
      </c>
      <c r="E74" s="164" t="n">
        <v>50</v>
      </c>
      <c r="F74" s="164" t="n">
        <v>73.48999999999999</v>
      </c>
      <c r="G74" s="164" t="n">
        <v>68.06999999999999</v>
      </c>
      <c r="H74" s="164" t="n">
        <v>59.04</v>
      </c>
      <c r="I74" s="164" t="inlineStr">
        <is>
          <t>Aparelhos elétricos de iluminação ou de sinalização (exceto os da posição 8539), limpadores de para-brisas, degeladores e desembaçadores (desembaciadores) elétricos e suas partes</t>
        </is>
      </c>
      <c r="J74" s="40" t="inlineStr">
        <is>
          <t>Lei nº 1.810, art. 49, § 1º, XXIX</t>
        </is>
      </c>
      <c r="L74" s="29">
        <f>IF(D74="NCM/SH","",COUNTIF($D$5:$D$1506,D74))</f>
        <v/>
      </c>
    </row>
    <row r="75" ht="15.75" customHeight="1" thickBot="1">
      <c r="A75" s="1" t="inlineStr">
        <is>
          <t>02APças</t>
        </is>
      </c>
      <c r="B75" s="164" t="inlineStr">
        <is>
          <t>56.0</t>
        </is>
      </c>
      <c r="C75" s="35" t="inlineStr">
        <is>
          <t>01.056.00</t>
        </is>
      </c>
      <c r="D75" s="35" t="inlineStr">
        <is>
          <t>8517.14.10</t>
        </is>
      </c>
      <c r="E75" s="35" t="n">
        <v>50</v>
      </c>
      <c r="F75" s="35" t="n">
        <v>73.48999999999999</v>
      </c>
      <c r="G75" s="35" t="n">
        <v>68.06999999999999</v>
      </c>
      <c r="H75" s="35" t="n">
        <v>59.04</v>
      </c>
      <c r="I75" s="35" t="inlineStr">
        <is>
          <t>Telefones móveis do tipo dos utilizados em veículos automóveis.</t>
        </is>
      </c>
      <c r="J75" s="40" t="inlineStr">
        <is>
          <t>Lei nº 1.810, art. 49, § 1º, XXIX</t>
        </is>
      </c>
      <c r="K75" s="47" t="inlineStr">
        <is>
          <t>(Item 56.0: nova redação dada pelo Decreto nº 16.011/2022. Efeitos a partir de 16.08.2022)</t>
        </is>
      </c>
      <c r="L75" s="29">
        <f>IF(D75="NCM/SH","",COUNTIF($D$5:$D$1506,D75))</f>
        <v/>
      </c>
    </row>
    <row r="76" ht="15.75" customHeight="1" thickBot="1">
      <c r="A76" s="1" t="inlineStr">
        <is>
          <t>02APças</t>
        </is>
      </c>
      <c r="B76" s="164" t="inlineStr">
        <is>
          <t>57.0</t>
        </is>
      </c>
      <c r="C76" s="35" t="inlineStr">
        <is>
          <t>01.057.00</t>
        </is>
      </c>
      <c r="D76" s="35" t="n">
        <v>8518</v>
      </c>
      <c r="E76" s="35" t="n">
        <v>50</v>
      </c>
      <c r="F76" s="35" t="n">
        <v>73.48999999999999</v>
      </c>
      <c r="G76" s="35" t="n">
        <v>68.06999999999999</v>
      </c>
      <c r="H76" s="35" t="n">
        <v>59.04</v>
      </c>
      <c r="I76" s="35" t="inlineStr">
        <is>
          <t>Alto-falantes, amplificadores elétricos de audiofrequência e partes</t>
        </is>
      </c>
      <c r="J76" s="45" t="inlineStr">
        <is>
          <t>Lei nº 1.810, art. 49, § 1º, XXIX</t>
        </is>
      </c>
      <c r="L76" s="29">
        <f>IF(D76="NCM/SH","",COUNTIF($D$5:$D$1506,D76))</f>
        <v/>
      </c>
    </row>
    <row r="77" ht="15.75" customHeight="1" thickBot="1">
      <c r="A77" s="1" t="inlineStr">
        <is>
          <t>02APças</t>
        </is>
      </c>
      <c r="B77" s="164" t="inlineStr">
        <is>
          <t>58.0</t>
        </is>
      </c>
      <c r="C77" s="35" t="inlineStr">
        <is>
          <t>01.058.00</t>
        </is>
      </c>
      <c r="D77" s="35" t="inlineStr">
        <is>
          <t>8518.50.00</t>
        </is>
      </c>
      <c r="E77" s="35" t="n">
        <v>50</v>
      </c>
      <c r="F77" s="35" t="n">
        <v>73.48999999999999</v>
      </c>
      <c r="G77" s="35" t="n">
        <v>68.06999999999999</v>
      </c>
      <c r="H77" s="35" t="n">
        <v>59.04</v>
      </c>
      <c r="I77" s="35" t="inlineStr">
        <is>
          <t>Aparelhos elétricos de amplificação de som para veículos automotores</t>
        </is>
      </c>
      <c r="J77" s="45" t="inlineStr">
        <is>
          <t>Lei nº 1.810, art. 49, § 1º, XXIX</t>
        </is>
      </c>
      <c r="L77" s="29">
        <f>IF(D77="NCM/SH","",COUNTIF($D$5:$D$1506,D77))</f>
        <v/>
      </c>
    </row>
    <row r="78" ht="15.75" customHeight="1" thickBot="1">
      <c r="A78" s="1" t="inlineStr">
        <is>
          <t>02APças</t>
        </is>
      </c>
      <c r="B78" s="164" t="inlineStr">
        <is>
          <t>59.0</t>
        </is>
      </c>
      <c r="C78" s="35" t="inlineStr">
        <is>
          <t>01.059.00</t>
        </is>
      </c>
      <c r="D78" s="35" t="inlineStr">
        <is>
          <t>8519.81</t>
        </is>
      </c>
      <c r="E78" s="35" t="n">
        <v>50</v>
      </c>
      <c r="F78" s="35" t="n">
        <v>73.48999999999999</v>
      </c>
      <c r="G78" s="35" t="n">
        <v>68.06999999999999</v>
      </c>
      <c r="H78" s="35" t="n">
        <v>59.04</v>
      </c>
      <c r="I78" s="35" t="inlineStr">
        <is>
          <t xml:space="preserve">Aparelhos de reprodução de som </t>
        </is>
      </c>
      <c r="J78" s="46" t="inlineStr">
        <is>
          <t>Lei nº 1.810, art. 49, § 1º, XXIX</t>
        </is>
      </c>
      <c r="L78" s="29">
        <f>IF(D78="NCM/SH","",COUNTIF($D$5:$D$1506,D78))</f>
        <v/>
      </c>
    </row>
    <row r="79">
      <c r="A79" s="1" t="inlineStr">
        <is>
          <t>02APças</t>
        </is>
      </c>
      <c r="B79" s="163" t="inlineStr">
        <is>
          <t>60.0</t>
        </is>
      </c>
      <c r="C79" s="163" t="inlineStr">
        <is>
          <t>01.060.00</t>
        </is>
      </c>
      <c r="D79" s="37" t="inlineStr">
        <is>
          <t>8525.50.1</t>
        </is>
      </c>
      <c r="E79" s="163" t="n">
        <v>50</v>
      </c>
      <c r="F79" s="163" t="n">
        <v>73.48999999999999</v>
      </c>
      <c r="G79" s="163" t="n">
        <v>68.06999999999999</v>
      </c>
      <c r="H79" s="163" t="n">
        <v>59.04</v>
      </c>
      <c r="I79" s="163" t="inlineStr">
        <is>
          <t xml:space="preserve">Aparelhos transmissores (emissores) de radiotelefonia ou radiotelegrafia (rádio receptor/transmissor) </t>
        </is>
      </c>
      <c r="J79" s="38" t="inlineStr">
        <is>
          <t>Lei nº 1.810, art. 49, § 1º, XXIX</t>
        </is>
      </c>
      <c r="L79" s="29">
        <f>IF(D79="NCM/SH","",COUNTIF($D$5:$D$1506,D79))</f>
        <v/>
      </c>
    </row>
    <row r="80" ht="15.75" customHeight="1" thickBot="1">
      <c r="A80" s="1" t="inlineStr">
        <is>
          <t>02APças</t>
        </is>
      </c>
      <c r="B80" s="164" t="n">
        <v>60</v>
      </c>
      <c r="C80" s="164" t="inlineStr">
        <is>
          <t>01.060.00</t>
        </is>
      </c>
      <c r="D80" s="35" t="inlineStr">
        <is>
          <t>8525.60.10</t>
        </is>
      </c>
      <c r="E80" s="164" t="n">
        <v>50</v>
      </c>
      <c r="F80" s="164" t="n">
        <v>73.48999999999999</v>
      </c>
      <c r="G80" s="164" t="n">
        <v>68.06999999999999</v>
      </c>
      <c r="H80" s="164" t="n">
        <v>59.04</v>
      </c>
      <c r="I80" s="164" t="inlineStr">
        <is>
          <t xml:space="preserve">Aparelhos transmissores (emissores) de radiotelefonia ou radiotelegrafia (rádio receptor/transmissor) </t>
        </is>
      </c>
      <c r="J80" s="38" t="inlineStr">
        <is>
          <t>Lei nº 1.810, art. 49, § 1º, XXIX</t>
        </is>
      </c>
      <c r="L80" s="29">
        <f>IF(D80="NCM/SH","",COUNTIF($D$5:$D$1506,D80))</f>
        <v/>
      </c>
    </row>
    <row r="81" ht="15.75" customHeight="1" thickBot="1">
      <c r="A81" s="1" t="inlineStr">
        <is>
          <t>02APças</t>
        </is>
      </c>
      <c r="B81" s="164" t="inlineStr">
        <is>
          <t>61.0</t>
        </is>
      </c>
      <c r="C81" s="35" t="inlineStr">
        <is>
          <t>01.061.00</t>
        </is>
      </c>
      <c r="D81" s="35" t="inlineStr">
        <is>
          <t>8527.21.00</t>
        </is>
      </c>
      <c r="E81" s="35" t="n">
        <v>50</v>
      </c>
      <c r="F81" s="35" t="n">
        <v>73.48999999999999</v>
      </c>
      <c r="G81" s="35" t="n">
        <v>68.06999999999999</v>
      </c>
      <c r="H81" s="35" t="n">
        <v>59.04</v>
      </c>
      <c r="I81" s="48" t="inlineStr">
        <is>
          <t>Aparelhos receptores de radiodifusão que só funcionem com fonte externa de energia combinados com um aparelho de gravação ou de reprodução de som, do tipo utilizado em veículos automóveis</t>
        </is>
      </c>
      <c r="J81" s="40" t="inlineStr">
        <is>
          <t>Lei nº 1.810, art. 49, § 1º, XXIX</t>
        </is>
      </c>
      <c r="K81" s="43" t="inlineStr">
        <is>
          <t>(Item 61.0: nova redação dada pelo Decreto nº 14.668/2017. Efeitos a partir de 1º.02.2017.)</t>
        </is>
      </c>
      <c r="L81" s="29">
        <f>IF(D81="NCM/SH","",COUNTIF($D$5:$D$1506,D81))</f>
        <v/>
      </c>
    </row>
    <row r="82" ht="15.75" customHeight="1" thickBot="1">
      <c r="A82" s="1" t="inlineStr">
        <is>
          <t>02APças</t>
        </is>
      </c>
      <c r="B82" s="164" t="inlineStr">
        <is>
          <t>62.0</t>
        </is>
      </c>
      <c r="C82" s="35" t="inlineStr">
        <is>
          <t>01.062.00</t>
        </is>
      </c>
      <c r="D82" s="35" t="inlineStr">
        <is>
          <t>8527.29.00</t>
        </is>
      </c>
      <c r="E82" s="35" t="n">
        <v>50</v>
      </c>
      <c r="F82" s="35" t="n">
        <v>73.48999999999999</v>
      </c>
      <c r="G82" s="35" t="n">
        <v>68.06999999999999</v>
      </c>
      <c r="H82" s="35" t="n">
        <v>59.04</v>
      </c>
      <c r="I82" s="48" t="inlineStr">
        <is>
          <t>Outros aparelhos receptores de radiodifusão que só funcionem com fonte externa de energia, do tipo utilizado em veículos automóveis</t>
        </is>
      </c>
      <c r="J82" s="40" t="inlineStr">
        <is>
          <t>Lei nº 1.810, art. 49, § 1º, XXIX</t>
        </is>
      </c>
      <c r="K82" s="43" t="inlineStr">
        <is>
          <t>(Item 62.0: nova redação dada pelo Decreto nº 14.668/2017. Efeitos a partir de 1º.02.2017.)</t>
        </is>
      </c>
      <c r="L82" s="29">
        <f>IF(D82="NCM/SH","",COUNTIF($D$5:$D$1506,D82))</f>
        <v/>
      </c>
    </row>
    <row r="83" ht="15.75" customHeight="1" thickBot="1">
      <c r="A83" s="1" t="inlineStr">
        <is>
          <t>02APças</t>
        </is>
      </c>
      <c r="B83" s="46" t="inlineStr">
        <is>
          <t>62.1</t>
        </is>
      </c>
      <c r="C83" s="48" t="inlineStr">
        <is>
          <t>01.062.01</t>
        </is>
      </c>
      <c r="D83" s="48" t="inlineStr">
        <is>
          <t>8521.90.90</t>
        </is>
      </c>
      <c r="E83" s="48" t="n">
        <v>50</v>
      </c>
      <c r="F83" s="48" t="n">
        <v>73.48999999999999</v>
      </c>
      <c r="G83" s="48" t="n">
        <v>68.06999999999999</v>
      </c>
      <c r="H83" s="48" t="n">
        <v>59.04</v>
      </c>
      <c r="I83" s="48" t="inlineStr">
        <is>
          <t>Outros aparelhos videofônicos de gravação ou de reprodução, mesmo incorporando um receptor de sinais videofônicos, dos tipos utilizados exclusivamente em veículos automotores</t>
        </is>
      </c>
      <c r="J83" s="38" t="inlineStr">
        <is>
          <t>Lei nº 1.810, art. 49, § 1º, XXIX</t>
        </is>
      </c>
      <c r="K83" s="43" t="inlineStr">
        <is>
          <t>(Item 62.1: acrescentado pelo Decreto nº 14.645/2016. Efeitos a partir de 1º.01.2017.)</t>
        </is>
      </c>
      <c r="L83" s="29">
        <f>IF(D83="NCM/SH","",COUNTIF($D$5:$D$1506,D83))</f>
        <v/>
      </c>
    </row>
    <row r="84" ht="15.75" customHeight="1" thickBot="1">
      <c r="A84" s="1" t="inlineStr">
        <is>
          <t>02APças</t>
        </is>
      </c>
      <c r="B84" s="164" t="inlineStr">
        <is>
          <t>63.0</t>
        </is>
      </c>
      <c r="C84" s="35" t="inlineStr">
        <is>
          <t>01.063.00</t>
        </is>
      </c>
      <c r="D84" s="35" t="inlineStr">
        <is>
          <t>8529.10</t>
        </is>
      </c>
      <c r="E84" s="35" t="n">
        <v>50</v>
      </c>
      <c r="F84" s="35" t="n">
        <v>73.48999999999999</v>
      </c>
      <c r="G84" s="35" t="n">
        <v>68.06999999999999</v>
      </c>
      <c r="H84" s="35" t="n">
        <v>59.04</v>
      </c>
      <c r="I84" s="35" t="inlineStr">
        <is>
          <t xml:space="preserve">Antenas </t>
        </is>
      </c>
      <c r="J84" s="38" t="inlineStr">
        <is>
          <t>Lei nº 1.810, art. 49, § 1º, XXIX</t>
        </is>
      </c>
      <c r="K84" s="47" t="inlineStr">
        <is>
          <t>(Item 63.0: nova redação dada pelo Decreto nº 16.011/2022. Efeitos a partir de 16.08.2022)</t>
        </is>
      </c>
      <c r="L84" s="29">
        <f>IF(D84="NCM/SH","",COUNTIF($D$5:$D$1506,D84))</f>
        <v/>
      </c>
    </row>
    <row r="85" ht="15.75" customHeight="1" thickBot="1">
      <c r="A85" s="1" t="inlineStr">
        <is>
          <t>02APças</t>
        </is>
      </c>
      <c r="B85" s="164" t="inlineStr">
        <is>
          <t>64.0</t>
        </is>
      </c>
      <c r="C85" s="35" t="inlineStr">
        <is>
          <t>01.064.00</t>
        </is>
      </c>
      <c r="D85" s="35" t="inlineStr">
        <is>
          <t>8534.00</t>
        </is>
      </c>
      <c r="E85" s="35" t="n">
        <v>50</v>
      </c>
      <c r="F85" s="35" t="n">
        <v>73.48999999999999</v>
      </c>
      <c r="G85" s="35" t="n">
        <v>68.06999999999999</v>
      </c>
      <c r="H85" s="35" t="n">
        <v>59.04</v>
      </c>
      <c r="I85" s="35" t="inlineStr">
        <is>
          <t xml:space="preserve">Circuitos impressos </t>
        </is>
      </c>
      <c r="J85" s="38" t="inlineStr">
        <is>
          <t>Lei nº 1.810, art. 49, § 1º, XXIX</t>
        </is>
      </c>
      <c r="K85" s="43" t="inlineStr">
        <is>
          <t>(Item 64.0: nova redação dada pelo Decreto nº 14.645/2016. Efeitos a partir de 1º.01.2017.)</t>
        </is>
      </c>
      <c r="L85" s="29">
        <f>IF(D85="NCM/SH","",COUNTIF($D$5:$D$1506,D85))</f>
        <v/>
      </c>
    </row>
    <row r="86">
      <c r="A86" s="1" t="inlineStr">
        <is>
          <t>02APças</t>
        </is>
      </c>
      <c r="B86" s="163" t="inlineStr">
        <is>
          <t>65.0</t>
        </is>
      </c>
      <c r="C86" s="163" t="inlineStr">
        <is>
          <t>01.065.00</t>
        </is>
      </c>
      <c r="D86" s="37" t="inlineStr">
        <is>
          <t>8535.30</t>
        </is>
      </c>
      <c r="E86" s="163" t="n">
        <v>50</v>
      </c>
      <c r="F86" s="163" t="n">
        <v>73.48999999999999</v>
      </c>
      <c r="G86" s="163" t="n">
        <v>68.06999999999999</v>
      </c>
      <c r="H86" s="163" t="n">
        <v>59.04</v>
      </c>
      <c r="I86" s="163" t="inlineStr">
        <is>
          <t xml:space="preserve">Interruptores e seccionadores e comutadores </t>
        </is>
      </c>
      <c r="J86" s="45" t="inlineStr">
        <is>
          <t>Lei nº 1.810, art. 49, § 1º, XXIX</t>
        </is>
      </c>
      <c r="L86" s="29">
        <f>IF(D86="NCM/SH","",COUNTIF($D$5:$D$1506,D86))</f>
        <v/>
      </c>
    </row>
    <row r="87" ht="15.75" customHeight="1" thickBot="1">
      <c r="A87" s="1" t="inlineStr">
        <is>
          <t>02APças</t>
        </is>
      </c>
      <c r="B87" s="164" t="n">
        <v>65</v>
      </c>
      <c r="C87" s="164" t="inlineStr">
        <is>
          <t>01.065.00</t>
        </is>
      </c>
      <c r="D87" s="35" t="inlineStr">
        <is>
          <t>8536.50</t>
        </is>
      </c>
      <c r="E87" s="164" t="n">
        <v>50</v>
      </c>
      <c r="F87" s="164" t="n">
        <v>73.48999999999999</v>
      </c>
      <c r="G87" s="164" t="n">
        <v>68.06999999999999</v>
      </c>
      <c r="H87" s="164" t="n">
        <v>59.04</v>
      </c>
      <c r="I87" s="164" t="inlineStr">
        <is>
          <t xml:space="preserve">Interruptores e seccionadores e comutadores </t>
        </is>
      </c>
      <c r="J87" s="45" t="inlineStr">
        <is>
          <t>Lei nº 1.810, art. 49, § 1º, XXIX</t>
        </is>
      </c>
      <c r="L87" s="29">
        <f>IF(D87="NCM/SH","",COUNTIF($D$5:$D$1506,D87))</f>
        <v/>
      </c>
    </row>
    <row r="88" ht="15.75" customHeight="1" thickBot="1">
      <c r="A88" s="1" t="inlineStr">
        <is>
          <t>02APças</t>
        </is>
      </c>
      <c r="B88" s="164" t="inlineStr">
        <is>
          <t>66.0</t>
        </is>
      </c>
      <c r="C88" s="35" t="inlineStr">
        <is>
          <t>01.066.00</t>
        </is>
      </c>
      <c r="D88" s="35" t="inlineStr">
        <is>
          <t>8536.10.00</t>
        </is>
      </c>
      <c r="E88" s="35" t="n">
        <v>50</v>
      </c>
      <c r="F88" s="35" t="n">
        <v>73.48999999999999</v>
      </c>
      <c r="G88" s="35" t="n">
        <v>68.06999999999999</v>
      </c>
      <c r="H88" s="35" t="n">
        <v>59.04</v>
      </c>
      <c r="I88" s="35" t="inlineStr">
        <is>
          <t xml:space="preserve">Fusíveis e corta-circuitos de fusíveis </t>
        </is>
      </c>
      <c r="J88" s="45" t="inlineStr">
        <is>
          <t>Lei nº 1.810, art. 49, § 1º, XXIX</t>
        </is>
      </c>
      <c r="L88" s="29">
        <f>IF(D88="NCM/SH","",COUNTIF($D$5:$D$1506,D88))</f>
        <v/>
      </c>
    </row>
    <row r="89" ht="15.75" customHeight="1" thickBot="1">
      <c r="A89" s="1" t="inlineStr">
        <is>
          <t>02APças</t>
        </is>
      </c>
      <c r="B89" s="164" t="inlineStr">
        <is>
          <t>67.0</t>
        </is>
      </c>
      <c r="C89" s="35" t="inlineStr">
        <is>
          <t>01.067.00</t>
        </is>
      </c>
      <c r="D89" s="35" t="inlineStr">
        <is>
          <t>8536.20.00</t>
        </is>
      </c>
      <c r="E89" s="35" t="n">
        <v>50</v>
      </c>
      <c r="F89" s="35" t="n">
        <v>73.48999999999999</v>
      </c>
      <c r="G89" s="35" t="n">
        <v>68.06999999999999</v>
      </c>
      <c r="H89" s="35" t="n">
        <v>59.04</v>
      </c>
      <c r="I89" s="35" t="inlineStr">
        <is>
          <t xml:space="preserve">Disjuntores </t>
        </is>
      </c>
      <c r="J89" s="45" t="inlineStr">
        <is>
          <t>Lei nº 1.810, art. 49, § 1º, XXIX</t>
        </is>
      </c>
      <c r="L89" s="29">
        <f>IF(D89="NCM/SH","",COUNTIF($D$5:$D$1506,D89))</f>
        <v/>
      </c>
    </row>
    <row r="90" ht="15.75" customHeight="1" thickBot="1">
      <c r="A90" s="1" t="inlineStr">
        <is>
          <t>02APças</t>
        </is>
      </c>
      <c r="B90" s="164" t="inlineStr">
        <is>
          <t>68.0</t>
        </is>
      </c>
      <c r="C90" s="35" t="inlineStr">
        <is>
          <t>01.068.00</t>
        </is>
      </c>
      <c r="D90" s="35" t="inlineStr">
        <is>
          <t>8536.4</t>
        </is>
      </c>
      <c r="E90" s="35" t="n">
        <v>50</v>
      </c>
      <c r="F90" s="35" t="n">
        <v>73.48999999999999</v>
      </c>
      <c r="G90" s="35" t="n">
        <v>68.06999999999999</v>
      </c>
      <c r="H90" s="35" t="n">
        <v>59.04</v>
      </c>
      <c r="I90" s="35" t="inlineStr">
        <is>
          <t xml:space="preserve">Relés </t>
        </is>
      </c>
      <c r="J90" s="45" t="inlineStr">
        <is>
          <t>Lei nº 1.810, art. 49, § 1º, XXIX</t>
        </is>
      </c>
      <c r="L90" s="29">
        <f>IF(D90="NCM/SH","",COUNTIF($D$5:$D$1506,D90))</f>
        <v/>
      </c>
    </row>
    <row r="91" ht="15.75" customHeight="1" thickBot="1">
      <c r="A91" s="1" t="inlineStr">
        <is>
          <t>02APças</t>
        </is>
      </c>
      <c r="B91" s="164" t="inlineStr">
        <is>
          <t>69.0</t>
        </is>
      </c>
      <c r="C91" s="35" t="inlineStr">
        <is>
          <t>01.069.00</t>
        </is>
      </c>
      <c r="D91" s="35" t="n">
        <v>8538</v>
      </c>
      <c r="E91" s="35" t="n">
        <v>50</v>
      </c>
      <c r="F91" s="35" t="n">
        <v>73.48999999999999</v>
      </c>
      <c r="G91" s="35" t="n">
        <v>68.06999999999999</v>
      </c>
      <c r="H91" s="35" t="n">
        <v>59.04</v>
      </c>
      <c r="I91" s="48" t="inlineStr">
        <is>
          <t>Partes reconhecíveis como exclusivas ou principalmente destinados aos aparelhos dos CEST 01.065.00, 01.066.00, 01.067.00 e 01.068.00</t>
        </is>
      </c>
      <c r="J91" s="45" t="inlineStr">
        <is>
          <t>Lei nº 1.810, art. 49, § 1º, XXIX</t>
        </is>
      </c>
      <c r="K91" s="43" t="inlineStr">
        <is>
          <t>(Item 69.0: nova redação dada pelo Decreto nº 14.645/2016. Efeitos a partir de 1º.01.2017.)</t>
        </is>
      </c>
      <c r="L91" s="29">
        <f>IF(D91="NCM/SH","",COUNTIF($D$5:$D$1506,D91))</f>
        <v/>
      </c>
    </row>
    <row r="92" ht="15.75" customHeight="1" thickBot="1">
      <c r="A92" s="1" t="inlineStr">
        <is>
          <t>02APças</t>
        </is>
      </c>
      <c r="B92" s="164" t="inlineStr">
        <is>
          <t>70.0</t>
        </is>
      </c>
      <c r="C92" s="35" t="inlineStr">
        <is>
          <t>01.070.00</t>
        </is>
      </c>
      <c r="D92" s="35" t="inlineStr">
        <is>
          <t>8539.10</t>
        </is>
      </c>
      <c r="E92" s="35" t="n">
        <v>50</v>
      </c>
      <c r="F92" s="35" t="n">
        <v>73.48999999999999</v>
      </c>
      <c r="G92" s="35" t="n">
        <v>68.06999999999999</v>
      </c>
      <c r="H92" s="35" t="n">
        <v>59.04</v>
      </c>
      <c r="I92" s="35" t="inlineStr">
        <is>
          <t xml:space="preserve">Faróis e projetores, em unidades seladas </t>
        </is>
      </c>
      <c r="J92" s="45" t="inlineStr">
        <is>
          <t>Lei nº 1.810, art. 49, § 1º, XXIX</t>
        </is>
      </c>
      <c r="L92" s="29">
        <f>IF(D92="NCM/SH","",COUNTIF($D$5:$D$1506,D92))</f>
        <v/>
      </c>
    </row>
    <row r="93" ht="15.75" customHeight="1" thickBot="1">
      <c r="A93" s="1" t="inlineStr">
        <is>
          <t>02APças</t>
        </is>
      </c>
      <c r="B93" s="164" t="inlineStr">
        <is>
          <t>71.0</t>
        </is>
      </c>
      <c r="C93" s="35" t="inlineStr">
        <is>
          <t>01.071.00</t>
        </is>
      </c>
      <c r="D93" s="35" t="inlineStr">
        <is>
          <t>8539.2</t>
        </is>
      </c>
      <c r="E93" s="35" t="n">
        <v>50</v>
      </c>
      <c r="F93" s="35" t="n">
        <v>73.48999999999999</v>
      </c>
      <c r="G93" s="35" t="n">
        <v>68.06999999999999</v>
      </c>
      <c r="H93" s="35" t="n">
        <v>59.04</v>
      </c>
      <c r="I93" s="35" t="inlineStr">
        <is>
          <t xml:space="preserve">Lâmpadas e tubos de incandescência, exceto de raios ultravioleta ou infravermelhos </t>
        </is>
      </c>
      <c r="J93" s="45" t="inlineStr">
        <is>
          <t>Lei nº 1.810, art. 49, § 1º, XXIX</t>
        </is>
      </c>
      <c r="L93" s="29">
        <f>IF(D93="NCM/SH","",COUNTIF($D$5:$D$1506,D93))</f>
        <v/>
      </c>
    </row>
    <row r="94" ht="15.75" customHeight="1" thickBot="1">
      <c r="A94" s="1" t="inlineStr">
        <is>
          <t>02APças</t>
        </is>
      </c>
      <c r="B94" s="164" t="inlineStr">
        <is>
          <t>72.0</t>
        </is>
      </c>
      <c r="C94" s="35" t="inlineStr">
        <is>
          <t>01.072.00</t>
        </is>
      </c>
      <c r="D94" s="35" t="inlineStr">
        <is>
          <t>8544.20.00</t>
        </is>
      </c>
      <c r="E94" s="35" t="n">
        <v>50</v>
      </c>
      <c r="F94" s="35" t="n">
        <v>73.48999999999999</v>
      </c>
      <c r="G94" s="35" t="n">
        <v>68.06999999999999</v>
      </c>
      <c r="H94" s="35" t="n">
        <v>59.04</v>
      </c>
      <c r="I94" s="35" t="inlineStr">
        <is>
          <t xml:space="preserve">Cabos coaxiais e outros condutores elétricos coaxiais </t>
        </is>
      </c>
      <c r="J94" s="45" t="inlineStr">
        <is>
          <t>Lei nº 1.810, art. 49, § 1º, XXIX</t>
        </is>
      </c>
      <c r="L94" s="29">
        <f>IF(D94="NCM/SH","",COUNTIF($D$5:$D$1506,D94))</f>
        <v/>
      </c>
    </row>
    <row r="95" ht="15.75" customHeight="1" thickBot="1">
      <c r="A95" s="1" t="inlineStr">
        <is>
          <t>02APças</t>
        </is>
      </c>
      <c r="B95" s="164" t="inlineStr">
        <is>
          <t>73.0</t>
        </is>
      </c>
      <c r="C95" s="35" t="inlineStr">
        <is>
          <t>01.073.00</t>
        </is>
      </c>
      <c r="D95" s="35" t="inlineStr">
        <is>
          <t>8544.30.00</t>
        </is>
      </c>
      <c r="E95" s="35" t="n">
        <v>50</v>
      </c>
      <c r="F95" s="35" t="n">
        <v>73.48999999999999</v>
      </c>
      <c r="G95" s="35" t="n">
        <v>68.06999999999999</v>
      </c>
      <c r="H95" s="35" t="n">
        <v>59.04</v>
      </c>
      <c r="I95" s="35" t="inlineStr">
        <is>
          <t xml:space="preserve">Jogos de fios para velas de ignição e outros jogos de fios </t>
        </is>
      </c>
      <c r="J95" s="45" t="inlineStr">
        <is>
          <t>Lei nº 1.810, art. 49, § 1º, XXIX</t>
        </is>
      </c>
      <c r="L95" s="29">
        <f>IF(D95="NCM/SH","",COUNTIF($D$5:$D$1506,D95))</f>
        <v/>
      </c>
    </row>
    <row r="96" ht="15.75" customHeight="1" thickBot="1">
      <c r="A96" s="1" t="inlineStr">
        <is>
          <t>02APças</t>
        </is>
      </c>
      <c r="B96" s="164" t="inlineStr">
        <is>
          <t>74.0</t>
        </is>
      </c>
      <c r="C96" s="35" t="inlineStr">
        <is>
          <t>01.074.00</t>
        </is>
      </c>
      <c r="D96" s="35" t="n">
        <v>8707</v>
      </c>
      <c r="E96" s="35" t="n">
        <v>50</v>
      </c>
      <c r="F96" s="35" t="n">
        <v>73.48999999999999</v>
      </c>
      <c r="G96" s="35" t="n">
        <v>68.06999999999999</v>
      </c>
      <c r="H96" s="35" t="n">
        <v>59.04</v>
      </c>
      <c r="I96" s="35" t="inlineStr">
        <is>
          <t>Carroçarias para os veículos automóveis das posições 8701 a 8705, incluídas as cabinas</t>
        </is>
      </c>
      <c r="J96" s="45" t="inlineStr">
        <is>
          <t>Lei nº 1.810, art. 49, § 1º, XXIX</t>
        </is>
      </c>
      <c r="L96" s="29">
        <f>IF(D96="NCM/SH","",COUNTIF($D$5:$D$1506,D96))</f>
        <v/>
      </c>
    </row>
    <row r="97" ht="15.75" customHeight="1" thickBot="1">
      <c r="A97" s="1" t="inlineStr">
        <is>
          <t>02APças</t>
        </is>
      </c>
      <c r="B97" s="164" t="inlineStr">
        <is>
          <t>75.0</t>
        </is>
      </c>
      <c r="C97" s="35" t="inlineStr">
        <is>
          <t>01.075.00</t>
        </is>
      </c>
      <c r="D97" s="35" t="n">
        <v>8708</v>
      </c>
      <c r="E97" s="35" t="n">
        <v>50</v>
      </c>
      <c r="F97" s="35" t="n">
        <v>73.48999999999999</v>
      </c>
      <c r="G97" s="35" t="n">
        <v>68.06999999999999</v>
      </c>
      <c r="H97" s="35" t="n">
        <v>59.04</v>
      </c>
      <c r="I97" s="35" t="inlineStr">
        <is>
          <t>Partes e acessórios dos veículos automóveis das posições 8701 a 8705</t>
        </is>
      </c>
      <c r="J97" s="45" t="inlineStr">
        <is>
          <t>Lei nº 1.810, art. 49, § 1º, XXIX</t>
        </is>
      </c>
      <c r="L97" s="29">
        <f>IF(D97="NCM/SH","",COUNTIF($D$5:$D$1506,D97))</f>
        <v/>
      </c>
    </row>
    <row r="98" ht="15.75" customHeight="1" thickBot="1">
      <c r="A98" s="1" t="inlineStr">
        <is>
          <t>02APças</t>
        </is>
      </c>
      <c r="B98" s="164" t="inlineStr">
        <is>
          <t>76.0</t>
        </is>
      </c>
      <c r="C98" s="35" t="inlineStr">
        <is>
          <t>01.076.00</t>
        </is>
      </c>
      <c r="D98" s="35" t="inlineStr">
        <is>
          <t>8714.1</t>
        </is>
      </c>
      <c r="E98" s="35" t="n">
        <v>50</v>
      </c>
      <c r="F98" s="35" t="n">
        <v>73.48999999999999</v>
      </c>
      <c r="G98" s="35" t="n">
        <v>68.06999999999999</v>
      </c>
      <c r="H98" s="35" t="n">
        <v>59.04</v>
      </c>
      <c r="I98" s="35" t="inlineStr">
        <is>
          <t xml:space="preserve">Parte e acessórios de motocicletas (incluídos os ciclomotores) </t>
        </is>
      </c>
      <c r="J98" s="46" t="inlineStr">
        <is>
          <t>Lei nº 1.810, art. 49, § 1º, XXIX</t>
        </is>
      </c>
      <c r="L98" s="29">
        <f>IF(D98="NCM/SH","",COUNTIF($D$5:$D$1506,D98))</f>
        <v/>
      </c>
    </row>
    <row r="99" ht="15.75" customHeight="1" thickBot="1">
      <c r="A99" s="1" t="inlineStr">
        <is>
          <t>02APças</t>
        </is>
      </c>
      <c r="B99" s="164" t="inlineStr">
        <is>
          <t>77.0</t>
        </is>
      </c>
      <c r="C99" s="35" t="inlineStr">
        <is>
          <t>01.077.00</t>
        </is>
      </c>
      <c r="D99" s="35" t="inlineStr">
        <is>
          <t>8716.90.90</t>
        </is>
      </c>
      <c r="E99" s="35" t="n">
        <v>50</v>
      </c>
      <c r="F99" s="35" t="n">
        <v>73.48999999999999</v>
      </c>
      <c r="G99" s="35" t="n">
        <v>68.06999999999999</v>
      </c>
      <c r="H99" s="35" t="n">
        <v>59.04</v>
      </c>
      <c r="I99" s="35" t="inlineStr">
        <is>
          <t xml:space="preserve">Engates para reboques e semirreboques </t>
        </is>
      </c>
      <c r="J99" s="38" t="inlineStr">
        <is>
          <t>Lei nº 1.810, art. 49, § 1º, XXIX</t>
        </is>
      </c>
      <c r="L99" s="29">
        <f>IF(D99="NCM/SH","",COUNTIF($D$5:$D$1506,D99))</f>
        <v/>
      </c>
    </row>
    <row r="100" ht="15.75" customHeight="1" thickBot="1">
      <c r="A100" s="1" t="inlineStr">
        <is>
          <t>02APças</t>
        </is>
      </c>
      <c r="B100" s="164" t="inlineStr">
        <is>
          <t>78.0</t>
        </is>
      </c>
      <c r="C100" s="35" t="inlineStr">
        <is>
          <t>01.078.00</t>
        </is>
      </c>
      <c r="D100" s="35" t="inlineStr">
        <is>
          <t>9026.10</t>
        </is>
      </c>
      <c r="E100" s="35" t="n">
        <v>50</v>
      </c>
      <c r="F100" s="35" t="n">
        <v>73.48999999999999</v>
      </c>
      <c r="G100" s="35" t="n">
        <v>68.06999999999999</v>
      </c>
      <c r="H100" s="35" t="n">
        <v>59.04</v>
      </c>
      <c r="I100" s="35" t="inlineStr">
        <is>
          <t xml:space="preserve">Medidores de nível; Medidores de vazão </t>
        </is>
      </c>
      <c r="J100" s="38" t="inlineStr">
        <is>
          <t>Lei nº 1.810, art. 49, § 1º, XXIX</t>
        </is>
      </c>
      <c r="L100" s="29">
        <f>IF(D100="NCM/SH","",COUNTIF($D$5:$D$1506,D100))</f>
        <v/>
      </c>
    </row>
    <row r="101" ht="15.75" customHeight="1" thickBot="1">
      <c r="A101" s="1" t="inlineStr">
        <is>
          <t>02APças</t>
        </is>
      </c>
      <c r="B101" s="164" t="inlineStr">
        <is>
          <t>79.0</t>
        </is>
      </c>
      <c r="C101" s="35" t="inlineStr">
        <is>
          <t>01.079.00</t>
        </is>
      </c>
      <c r="D101" s="35" t="inlineStr">
        <is>
          <t>9026.20</t>
        </is>
      </c>
      <c r="E101" s="35" t="n">
        <v>50</v>
      </c>
      <c r="F101" s="35" t="n">
        <v>73.48999999999999</v>
      </c>
      <c r="G101" s="35" t="n">
        <v>68.06999999999999</v>
      </c>
      <c r="H101" s="35" t="n">
        <v>59.04</v>
      </c>
      <c r="I101" s="35" t="inlineStr">
        <is>
          <t xml:space="preserve">Aparelhos para medida ou controle da pressão </t>
        </is>
      </c>
      <c r="J101" s="40" t="inlineStr">
        <is>
          <t>Lei nº 1.810, art. 49, § 1º, XXIX</t>
        </is>
      </c>
      <c r="L101" s="29">
        <f>IF(D101="NCM/SH","",COUNTIF($D$5:$D$1506,D101))</f>
        <v/>
      </c>
    </row>
    <row r="102" ht="15.75" customHeight="1" thickBot="1">
      <c r="A102" s="1" t="inlineStr">
        <is>
          <t>02APças</t>
        </is>
      </c>
      <c r="B102" s="164" t="inlineStr">
        <is>
          <t>80.0</t>
        </is>
      </c>
      <c r="C102" s="35" t="inlineStr">
        <is>
          <t>01.080.00</t>
        </is>
      </c>
      <c r="D102" s="35" t="n">
        <v>9029</v>
      </c>
      <c r="E102" s="35" t="n">
        <v>50</v>
      </c>
      <c r="F102" s="35" t="n">
        <v>73.48999999999999</v>
      </c>
      <c r="G102" s="35" t="n">
        <v>68.06999999999999</v>
      </c>
      <c r="H102" s="35" t="n">
        <v>59.04</v>
      </c>
      <c r="I102" s="35" t="inlineStr">
        <is>
          <t xml:space="preserve">Contadores, indicadores de velocidade e tacômetros, suas partes e acessórios </t>
        </is>
      </c>
      <c r="J102" s="40" t="inlineStr">
        <is>
          <t>Lei nº 1.810, art. 49, § 1º, XXIX</t>
        </is>
      </c>
      <c r="L102" s="29">
        <f>IF(D102="NCM/SH","",COUNTIF($D$5:$D$1506,D102))</f>
        <v/>
      </c>
    </row>
    <row r="103" ht="15.75" customHeight="1" thickBot="1">
      <c r="A103" s="1" t="inlineStr">
        <is>
          <t>02APças</t>
        </is>
      </c>
      <c r="B103" s="164" t="inlineStr">
        <is>
          <t>81.0</t>
        </is>
      </c>
      <c r="C103" s="35" t="inlineStr">
        <is>
          <t>01.081.00</t>
        </is>
      </c>
      <c r="D103" s="35" t="inlineStr">
        <is>
          <t>9030.33.21</t>
        </is>
      </c>
      <c r="E103" s="35" t="n">
        <v>50</v>
      </c>
      <c r="F103" s="35" t="n">
        <v>73.48999999999999</v>
      </c>
      <c r="G103" s="35" t="n">
        <v>68.06999999999999</v>
      </c>
      <c r="H103" s="35" t="n">
        <v>59.04</v>
      </c>
      <c r="I103" s="35" t="inlineStr">
        <is>
          <t xml:space="preserve">Amperímetros </t>
        </is>
      </c>
      <c r="J103" s="40" t="inlineStr">
        <is>
          <t>Lei nº 1.810, art. 49, § 1º, XXIX</t>
        </is>
      </c>
      <c r="L103" s="29">
        <f>IF(D103="NCM/SH","",COUNTIF($D$5:$D$1506,D103))</f>
        <v/>
      </c>
    </row>
    <row r="104" ht="15.75" customHeight="1" thickBot="1">
      <c r="A104" s="1" t="inlineStr">
        <is>
          <t>02APças</t>
        </is>
      </c>
      <c r="B104" s="164" t="inlineStr">
        <is>
          <t>82.0</t>
        </is>
      </c>
      <c r="C104" s="35" t="inlineStr">
        <is>
          <t>01.082.00</t>
        </is>
      </c>
      <c r="D104" s="35" t="inlineStr">
        <is>
          <t>9031.80.40</t>
        </is>
      </c>
      <c r="E104" s="35" t="n">
        <v>50</v>
      </c>
      <c r="F104" s="35" t="n">
        <v>73.48999999999999</v>
      </c>
      <c r="G104" s="35" t="n">
        <v>68.06999999999999</v>
      </c>
      <c r="H104" s="35" t="n">
        <v>59.04</v>
      </c>
      <c r="I104" s="35" t="inlineStr">
        <is>
          <t xml:space="preserve">Aparelhos digitais, de uso em veículos automóveis, para medida e indicação de múltiplas grandezas tais como: velocidade média, consumos instantâneo e médio e autonomia (computador de bordo) </t>
        </is>
      </c>
      <c r="J104" s="40" t="inlineStr">
        <is>
          <t>Lei nº 1.810, art. 49, § 1º, XXIX</t>
        </is>
      </c>
      <c r="L104" s="29">
        <f>IF(D104="NCM/SH","",COUNTIF($D$5:$D$1506,D104))</f>
        <v/>
      </c>
    </row>
    <row r="105" ht="15.75" customHeight="1" thickBot="1">
      <c r="A105" s="1" t="inlineStr">
        <is>
          <t>02APças</t>
        </is>
      </c>
      <c r="B105" s="164" t="inlineStr">
        <is>
          <t>83.0</t>
        </is>
      </c>
      <c r="C105" s="35" t="inlineStr">
        <is>
          <t>01.083.00</t>
        </is>
      </c>
      <c r="D105" s="35" t="inlineStr">
        <is>
          <t>9032.89.2</t>
        </is>
      </c>
      <c r="E105" s="35" t="n">
        <v>50</v>
      </c>
      <c r="F105" s="35" t="n">
        <v>73.48999999999999</v>
      </c>
      <c r="G105" s="35" t="n">
        <v>68.06999999999999</v>
      </c>
      <c r="H105" s="35" t="n">
        <v>59.04</v>
      </c>
      <c r="I105" s="35" t="inlineStr">
        <is>
          <t xml:space="preserve">Controladores eletrônicos </t>
        </is>
      </c>
      <c r="J105" s="40" t="inlineStr">
        <is>
          <t>Lei nº 1.810, art. 49, § 1º, XXIX</t>
        </is>
      </c>
      <c r="L105" s="29">
        <f>IF(D105="NCM/SH","",COUNTIF($D$5:$D$1506,D105))</f>
        <v/>
      </c>
    </row>
    <row r="106" ht="15.75" customHeight="1" thickBot="1">
      <c r="A106" s="1" t="inlineStr">
        <is>
          <t>02APças</t>
        </is>
      </c>
      <c r="B106" s="164" t="inlineStr">
        <is>
          <t>84.0</t>
        </is>
      </c>
      <c r="C106" s="35" t="inlineStr">
        <is>
          <t>01.084.00</t>
        </is>
      </c>
      <c r="D106" s="35" t="inlineStr">
        <is>
          <t>9104.00.00</t>
        </is>
      </c>
      <c r="E106" s="35" t="n">
        <v>50</v>
      </c>
      <c r="F106" s="35" t="n">
        <v>73.48999999999999</v>
      </c>
      <c r="G106" s="35" t="n">
        <v>68.06999999999999</v>
      </c>
      <c r="H106" s="35" t="n">
        <v>59.04</v>
      </c>
      <c r="I106" s="35" t="inlineStr">
        <is>
          <t xml:space="preserve">Relógios para painéis de instrumentos e relógios semelhantes </t>
        </is>
      </c>
      <c r="J106" s="40" t="inlineStr">
        <is>
          <t>Lei nº 1.810, art. 49, § 1º, XXIX</t>
        </is>
      </c>
      <c r="L106" s="29">
        <f>IF(D106="NCM/SH","",COUNTIF($D$5:$D$1506,D106))</f>
        <v/>
      </c>
    </row>
    <row r="107" ht="15.75" customHeight="1" thickBot="1">
      <c r="A107" s="1" t="inlineStr">
        <is>
          <t>02APças</t>
        </is>
      </c>
      <c r="B107" s="163" t="inlineStr">
        <is>
          <t>85.0</t>
        </is>
      </c>
      <c r="C107" s="163" t="inlineStr">
        <is>
          <t>01.085.00</t>
        </is>
      </c>
      <c r="D107" s="37" t="inlineStr">
        <is>
          <t>9401.20.00</t>
        </is>
      </c>
      <c r="E107" s="163" t="n">
        <v>50</v>
      </c>
      <c r="F107" s="163" t="n">
        <v>73.48999999999999</v>
      </c>
      <c r="G107" s="163" t="n">
        <v>68.06999999999999</v>
      </c>
      <c r="H107" s="163" t="n">
        <v>59.04</v>
      </c>
      <c r="I107" s="163" t="inlineStr">
        <is>
          <t xml:space="preserve">Assentos e partes de assentos </t>
        </is>
      </c>
      <c r="J107" s="40" t="inlineStr">
        <is>
          <t>Lei nº 1.810, art. 49, § 1º, XXIX</t>
        </is>
      </c>
      <c r="L107" s="29">
        <f>IF(D107="NCM/SH","",COUNTIF($D$5:$D$1506,D107))</f>
        <v/>
      </c>
    </row>
    <row r="108" ht="15.75" customHeight="1" thickBot="1">
      <c r="A108" s="1" t="inlineStr">
        <is>
          <t>02APças</t>
        </is>
      </c>
      <c r="B108" s="164" t="n">
        <v>85</v>
      </c>
      <c r="C108" s="164" t="inlineStr">
        <is>
          <t>01.085.00</t>
        </is>
      </c>
      <c r="D108" s="35" t="inlineStr">
        <is>
          <t>9401.99.00</t>
        </is>
      </c>
      <c r="E108" s="164" t="n">
        <v>50</v>
      </c>
      <c r="F108" s="164" t="n">
        <v>73.48999999999999</v>
      </c>
      <c r="G108" s="164" t="n">
        <v>68.06999999999999</v>
      </c>
      <c r="H108" s="164" t="n">
        <v>59.04</v>
      </c>
      <c r="I108" s="164" t="inlineStr">
        <is>
          <t xml:space="preserve">Assentos e partes de assentos </t>
        </is>
      </c>
      <c r="J108" s="40" t="inlineStr">
        <is>
          <t>Lei nº 1.810, art. 49, § 1º, XXIX</t>
        </is>
      </c>
      <c r="K108" s="47" t="inlineStr">
        <is>
          <t>(Item 85.0: nova redação dada pelo Decreto nº 16.011/2022. Efeitos a partir de 16.08.2022)</t>
        </is>
      </c>
      <c r="L108" s="29">
        <f>IF(D108="NCM/SH","",COUNTIF($D$5:$D$1506,D108))</f>
        <v/>
      </c>
    </row>
    <row r="109" ht="15.75" customHeight="1" thickBot="1">
      <c r="A109" s="1" t="inlineStr">
        <is>
          <t>02APças</t>
        </is>
      </c>
      <c r="B109" s="164" t="inlineStr">
        <is>
          <t>86.0</t>
        </is>
      </c>
      <c r="C109" s="35" t="inlineStr">
        <is>
          <t>01.086.00</t>
        </is>
      </c>
      <c r="D109" s="35" t="inlineStr">
        <is>
          <t>9613.80.00</t>
        </is>
      </c>
      <c r="E109" s="35" t="n">
        <v>50</v>
      </c>
      <c r="F109" s="35" t="n">
        <v>73.48999999999999</v>
      </c>
      <c r="G109" s="35" t="n">
        <v>68.06999999999999</v>
      </c>
      <c r="H109" s="35" t="n">
        <v>59.04</v>
      </c>
      <c r="I109" s="35" t="inlineStr">
        <is>
          <t xml:space="preserve">Acendedores </t>
        </is>
      </c>
      <c r="J109" s="45" t="inlineStr">
        <is>
          <t>Lei nº 1.810, art. 49, § 1º, XXIX</t>
        </is>
      </c>
      <c r="L109" s="29">
        <f>IF(D109="NCM/SH","",COUNTIF($D$5:$D$1506,D109))</f>
        <v/>
      </c>
    </row>
    <row r="110" ht="15.75" customHeight="1" thickBot="1">
      <c r="A110" s="1" t="inlineStr">
        <is>
          <t>02APças</t>
        </is>
      </c>
      <c r="B110" s="164" t="inlineStr">
        <is>
          <t>87.0</t>
        </is>
      </c>
      <c r="C110" s="35" t="inlineStr">
        <is>
          <t>01.087.00</t>
        </is>
      </c>
      <c r="D110" s="35" t="n">
        <v>4009</v>
      </c>
      <c r="E110" s="35" t="n">
        <v>50</v>
      </c>
      <c r="F110" s="35" t="n">
        <v>73.48999999999999</v>
      </c>
      <c r="G110" s="35" t="n">
        <v>68.06999999999999</v>
      </c>
      <c r="H110" s="35" t="n">
        <v>59.04</v>
      </c>
      <c r="I110" s="35" t="inlineStr">
        <is>
          <t xml:space="preserve">Tubos de borracha vulcanizada não endurecida, mesmo providos de seus acessórios </t>
        </is>
      </c>
      <c r="J110" s="45" t="inlineStr">
        <is>
          <t>Lei nº 1.810, art. 49, § 1º, XXIX</t>
        </is>
      </c>
      <c r="L110" s="29">
        <f>IF(D110="NCM/SH","",COUNTIF($D$5:$D$1506,D110))</f>
        <v/>
      </c>
    </row>
    <row r="111" ht="15.75" customHeight="1" thickBot="1">
      <c r="A111" s="1" t="inlineStr">
        <is>
          <t>02APças</t>
        </is>
      </c>
      <c r="B111" s="164" t="inlineStr">
        <is>
          <t>88.0</t>
        </is>
      </c>
      <c r="C111" s="35" t="inlineStr">
        <is>
          <t>01.088.00</t>
        </is>
      </c>
      <c r="D111" s="35" t="inlineStr">
        <is>
          <t>4504.90.00 6812.99.10</t>
        </is>
      </c>
      <c r="E111" s="35" t="n">
        <v>50</v>
      </c>
      <c r="F111" s="35" t="n">
        <v>73.48999999999999</v>
      </c>
      <c r="G111" s="35" t="n">
        <v>68.06999999999999</v>
      </c>
      <c r="H111" s="35" t="n">
        <v>59.04</v>
      </c>
      <c r="I111" s="35" t="inlineStr">
        <is>
          <t xml:space="preserve">Juntas de vedação de cortiça natural e de amianto </t>
        </is>
      </c>
      <c r="J111" s="45" t="inlineStr">
        <is>
          <t>Lei nº 1.810, art. 49, § 1º, XXIX</t>
        </is>
      </c>
      <c r="L111" s="29">
        <f>IF(D111="NCM/SH","",COUNTIF($D$5:$D$1506,D111))</f>
        <v/>
      </c>
    </row>
    <row r="112" ht="15.75" customHeight="1" thickBot="1">
      <c r="A112" s="1" t="inlineStr">
        <is>
          <t>02APças</t>
        </is>
      </c>
      <c r="B112" s="164" t="inlineStr">
        <is>
          <t>89.0</t>
        </is>
      </c>
      <c r="C112" s="35" t="inlineStr">
        <is>
          <t>01.089.00</t>
        </is>
      </c>
      <c r="D112" s="35" t="inlineStr">
        <is>
          <t>4823.40.00</t>
        </is>
      </c>
      <c r="E112" s="35" t="n">
        <v>50</v>
      </c>
      <c r="F112" s="35" t="n">
        <v>73.48999999999999</v>
      </c>
      <c r="G112" s="35" t="n">
        <v>68.06999999999999</v>
      </c>
      <c r="H112" s="35" t="n">
        <v>59.04</v>
      </c>
      <c r="I112" s="35" t="inlineStr">
        <is>
          <t>Papel-diagrama para tacógrafo, em disco</t>
        </is>
      </c>
      <c r="J112" s="45" t="inlineStr">
        <is>
          <t>Lei nº 1.810, art. 49, § 1º, XXIX</t>
        </is>
      </c>
      <c r="L112" s="29">
        <f>IF(D112="NCM/SH","",COUNTIF($D$5:$D$1506,D112))</f>
        <v/>
      </c>
    </row>
    <row r="113" ht="15.75" customHeight="1" thickBot="1">
      <c r="A113" s="1" t="inlineStr">
        <is>
          <t>02APças</t>
        </is>
      </c>
      <c r="B113" s="163" t="inlineStr">
        <is>
          <t>90.0</t>
        </is>
      </c>
      <c r="C113" s="163" t="inlineStr">
        <is>
          <t>01.090.00</t>
        </is>
      </c>
      <c r="D113" s="37" t="inlineStr">
        <is>
          <t>3919.10</t>
        </is>
      </c>
      <c r="E113" s="163" t="n">
        <v>50</v>
      </c>
      <c r="F113" s="163" t="n">
        <v>73.48999999999999</v>
      </c>
      <c r="G113" s="163" t="n">
        <v>68.06999999999999</v>
      </c>
      <c r="H113" s="163" t="n">
        <v>59.04</v>
      </c>
      <c r="I113" s="163" t="inlineStr">
        <is>
          <t>Fitas, tiras, adesivos, autocolantes, de plástico, refletores, mesmo em rolos; placas metálicas com película de plástico refletora, próprias para colocação em carrocerias, para-choques de veículos de carga, motocicletas, ciclomotores, capacetes, bonés de agentes de trânsito e de condutores de veículos, atuando como dispositivos refletivos de segurança rodoviários</t>
        </is>
      </c>
      <c r="J113" s="45" t="inlineStr">
        <is>
          <t>Lei nº 1.810, art. 49, § 1º, XXIX</t>
        </is>
      </c>
      <c r="K113" s="47" t="inlineStr">
        <is>
          <t>(Item 90.0: nova redação dada pelo Decreto nº 16.011/2022. Efeitos a partir de 16.08.2022)</t>
        </is>
      </c>
      <c r="L113" s="29">
        <f>IF(D113="NCM/SH","",COUNTIF($D$5:$D$1506,D113))</f>
        <v/>
      </c>
    </row>
    <row r="114" ht="15.75" customHeight="1" thickBot="1">
      <c r="A114" s="1" t="inlineStr">
        <is>
          <t>02APças</t>
        </is>
      </c>
      <c r="B114" s="44" t="n">
        <v>90</v>
      </c>
      <c r="C114" s="44" t="inlineStr">
        <is>
          <t>01.090.00</t>
        </is>
      </c>
      <c r="D114" s="37" t="inlineStr">
        <is>
          <t>3919.90</t>
        </is>
      </c>
      <c r="E114" s="44" t="n">
        <v>50</v>
      </c>
      <c r="F114" s="44" t="n">
        <v>73.48999999999999</v>
      </c>
      <c r="G114" s="44" t="n">
        <v>68.06999999999999</v>
      </c>
      <c r="H114" s="44" t="n">
        <v>59.04</v>
      </c>
      <c r="I114" s="44" t="inlineStr">
        <is>
          <t>Fitas, tiras, adesivos, autocolantes, de plástico, refletores, mesmo em rolos; placas metálicas com película de plástico refletora, próprias para colocação em carrocerias, para-choques de veículos de carga, motocicletas, ciclomotores, capacetes, bonés de agentes de trânsito e de condutores de veículos, atuando como dispositivos refletivos de segurança rodoviários</t>
        </is>
      </c>
      <c r="J114" s="45" t="inlineStr">
        <is>
          <t>Lei nº 1.810, art. 49, § 1º, XXIX</t>
        </is>
      </c>
      <c r="K114" s="47" t="inlineStr">
        <is>
          <t>(Item 90.0: nova redação dada pelo Decreto nº 16.011/2022. Efeitos a partir de 16.08.2022)</t>
        </is>
      </c>
      <c r="L114" s="29">
        <f>IF(D114="NCM/SH","",COUNTIF($D$5:$D$1506,D114))</f>
        <v/>
      </c>
    </row>
    <row r="115" ht="15.75" customHeight="1" thickBot="1">
      <c r="A115" s="1" t="inlineStr">
        <is>
          <t>02APças</t>
        </is>
      </c>
      <c r="B115" s="164" t="n">
        <v>90</v>
      </c>
      <c r="C115" s="164" t="inlineStr">
        <is>
          <t>01.090.00</t>
        </is>
      </c>
      <c r="D115" s="35" t="inlineStr">
        <is>
          <t>8708.29.99</t>
        </is>
      </c>
      <c r="E115" s="164" t="n">
        <v>50</v>
      </c>
      <c r="F115" s="164" t="n">
        <v>73.48999999999999</v>
      </c>
      <c r="G115" s="164" t="n">
        <v>68.06999999999999</v>
      </c>
      <c r="H115" s="164" t="n">
        <v>59.04</v>
      </c>
      <c r="I115" s="164" t="inlineStr">
        <is>
          <t>Fitas, tiras, adesivos, autocolantes, de plástico, refletores, mesmo em rolos; placas metálicas com película de plástico refletora, próprias para colocação em carrocerias, para-choques de veículos de carga, motocicletas, ciclomotores, capacetes, bonés de agentes de trânsito e de condutores de veículos, atuando como dispositivos refletivos de segurança rodoviários</t>
        </is>
      </c>
      <c r="J115" s="45" t="inlineStr">
        <is>
          <t>Lei nº 1.810, art. 49, § 1º, XXIX</t>
        </is>
      </c>
      <c r="K115" s="47" t="inlineStr">
        <is>
          <t>(Item 90.0: nova redação dada pelo Decreto nº 16.011/2022. Efeitos a partir de 16.08.2022)</t>
        </is>
      </c>
      <c r="L115" s="29">
        <f>IF(D115="NCM/SH","",COUNTIF($D$5:$D$1506,D115))</f>
        <v/>
      </c>
    </row>
    <row r="116" ht="15.75" customHeight="1" thickBot="1">
      <c r="A116" s="1" t="inlineStr">
        <is>
          <t>02APças</t>
        </is>
      </c>
      <c r="B116" s="164" t="inlineStr">
        <is>
          <t>91.0</t>
        </is>
      </c>
      <c r="C116" s="35" t="inlineStr">
        <is>
          <t>01.091.00</t>
        </is>
      </c>
      <c r="D116" s="35" t="inlineStr">
        <is>
          <t>8412.31.10</t>
        </is>
      </c>
      <c r="E116" s="35" t="n">
        <v>50</v>
      </c>
      <c r="F116" s="35" t="n">
        <v>73.48999999999999</v>
      </c>
      <c r="G116" s="35" t="n">
        <v>68.06999999999999</v>
      </c>
      <c r="H116" s="35" t="n">
        <v>59.04</v>
      </c>
      <c r="I116" s="35" t="inlineStr">
        <is>
          <t xml:space="preserve">Cilindros pneumáticos </t>
        </is>
      </c>
      <c r="J116" s="45" t="inlineStr">
        <is>
          <t>Lei nº 1.810, art. 49, § 1º, XXIX</t>
        </is>
      </c>
      <c r="L116" s="29">
        <f>IF(D116="NCM/SH","",COUNTIF($D$5:$D$1506,D116))</f>
        <v/>
      </c>
    </row>
    <row r="117" ht="15.75" customHeight="1" thickBot="1">
      <c r="A117" s="1" t="inlineStr">
        <is>
          <t>02APças</t>
        </is>
      </c>
      <c r="B117" s="164" t="inlineStr">
        <is>
          <t>92.0</t>
        </is>
      </c>
      <c r="C117" s="35" t="inlineStr">
        <is>
          <t>01.092.00</t>
        </is>
      </c>
      <c r="D117" s="35" t="inlineStr">
        <is>
          <t>8413.19.00 8413.50.90 8413.81.00</t>
        </is>
      </c>
      <c r="E117" s="35" t="n">
        <v>50</v>
      </c>
      <c r="F117" s="35" t="n">
        <v>73.48999999999999</v>
      </c>
      <c r="G117" s="35" t="n">
        <v>68.06999999999999</v>
      </c>
      <c r="H117" s="35" t="n">
        <v>59.04</v>
      </c>
      <c r="I117" s="35" t="inlineStr">
        <is>
          <t xml:space="preserve">Bomba elétrica de lavador de para-brisa </t>
        </is>
      </c>
      <c r="J117" s="46" t="inlineStr">
        <is>
          <t>Lei nº 1.810, art. 49, § 1º, XXIX</t>
        </is>
      </c>
      <c r="L117" s="29">
        <f>IF(D117="NCM/SH","",COUNTIF($D$5:$D$1506,D117))</f>
        <v/>
      </c>
    </row>
    <row r="118" ht="15.75" customHeight="1" thickBot="1">
      <c r="A118" s="1" t="inlineStr">
        <is>
          <t>02APças</t>
        </is>
      </c>
      <c r="B118" s="164" t="inlineStr">
        <is>
          <t>93.0</t>
        </is>
      </c>
      <c r="C118" s="35" t="inlineStr">
        <is>
          <t>01.093.00</t>
        </is>
      </c>
      <c r="D118" s="35" t="inlineStr">
        <is>
          <t>8413.60.19 8413.70.10</t>
        </is>
      </c>
      <c r="E118" s="35" t="n">
        <v>50</v>
      </c>
      <c r="F118" s="35" t="n">
        <v>73.48999999999999</v>
      </c>
      <c r="G118" s="35" t="n">
        <v>68.06999999999999</v>
      </c>
      <c r="H118" s="35" t="n">
        <v>59.04</v>
      </c>
      <c r="I118" s="35" t="inlineStr">
        <is>
          <t xml:space="preserve">Bomba de assistência de direção hidráulica </t>
        </is>
      </c>
      <c r="J118" s="38" t="inlineStr">
        <is>
          <t>Lei nº 1.810, art. 49, § 1º, XXIX</t>
        </is>
      </c>
      <c r="L118" s="29">
        <f>IF(D118="NCM/SH","",COUNTIF($D$5:$D$1506,D118))</f>
        <v/>
      </c>
    </row>
    <row r="119" ht="15.75" customHeight="1" thickBot="1">
      <c r="A119" s="1" t="inlineStr">
        <is>
          <t>02APças</t>
        </is>
      </c>
      <c r="B119" s="164" t="inlineStr">
        <is>
          <t>94.0</t>
        </is>
      </c>
      <c r="C119" s="35" t="inlineStr">
        <is>
          <t>01.094.00</t>
        </is>
      </c>
      <c r="D119" s="35" t="inlineStr">
        <is>
          <t>8414.59.10 8414.59.90</t>
        </is>
      </c>
      <c r="E119" s="35" t="n">
        <v>50</v>
      </c>
      <c r="F119" s="35" t="n">
        <v>73.48999999999999</v>
      </c>
      <c r="G119" s="35" t="n">
        <v>68.06999999999999</v>
      </c>
      <c r="H119" s="35" t="n">
        <v>59.04</v>
      </c>
      <c r="I119" s="35" t="inlineStr">
        <is>
          <t xml:space="preserve">Motoventiladores </t>
        </is>
      </c>
      <c r="J119" s="38" t="inlineStr">
        <is>
          <t>Lei nº 1.810, art. 49, § 1º, XXIX</t>
        </is>
      </c>
      <c r="L119" s="29">
        <f>IF(D119="NCM/SH","",COUNTIF($D$5:$D$1506,D119))</f>
        <v/>
      </c>
    </row>
    <row r="120" ht="15.75" customHeight="1" thickBot="1">
      <c r="A120" s="1" t="inlineStr">
        <is>
          <t>02APças</t>
        </is>
      </c>
      <c r="B120" s="164" t="inlineStr">
        <is>
          <t>95.0</t>
        </is>
      </c>
      <c r="C120" s="35" t="inlineStr">
        <is>
          <t>01.095.00</t>
        </is>
      </c>
      <c r="D120" s="35" t="inlineStr">
        <is>
          <t>8421.39.90</t>
        </is>
      </c>
      <c r="E120" s="35" t="n">
        <v>50</v>
      </c>
      <c r="F120" s="35" t="n">
        <v>73.48999999999999</v>
      </c>
      <c r="G120" s="35" t="n">
        <v>68.06999999999999</v>
      </c>
      <c r="H120" s="35" t="n">
        <v>59.04</v>
      </c>
      <c r="I120" s="35" t="inlineStr">
        <is>
          <t xml:space="preserve">Filtros de pólen do ar-condicionado </t>
        </is>
      </c>
      <c r="J120" s="40" t="inlineStr">
        <is>
          <t>Lei nº 1.810, art. 49, § 1º, XXIX</t>
        </is>
      </c>
      <c r="L120" s="29">
        <f>IF(D120="NCM/SH","",COUNTIF($D$5:$D$1506,D120))</f>
        <v/>
      </c>
    </row>
    <row r="121" ht="15.75" customHeight="1" thickBot="1">
      <c r="A121" s="1" t="inlineStr">
        <is>
          <t>02APças</t>
        </is>
      </c>
      <c r="B121" s="164" t="inlineStr">
        <is>
          <t>96.0</t>
        </is>
      </c>
      <c r="C121" s="35" t="inlineStr">
        <is>
          <t>01.096.00</t>
        </is>
      </c>
      <c r="D121" s="35" t="inlineStr">
        <is>
          <t>8501.10.19</t>
        </is>
      </c>
      <c r="E121" s="35" t="n">
        <v>50</v>
      </c>
      <c r="F121" s="35" t="n">
        <v>73.48999999999999</v>
      </c>
      <c r="G121" s="35" t="n">
        <v>68.06999999999999</v>
      </c>
      <c r="H121" s="35" t="n">
        <v>59.04</v>
      </c>
      <c r="I121" s="35" t="inlineStr">
        <is>
          <t xml:space="preserve">"Máquina" de vidro elétrico de porta </t>
        </is>
      </c>
      <c r="J121" s="40" t="inlineStr">
        <is>
          <t>Lei nº 1.810, art. 49, § 1º, XXIX</t>
        </is>
      </c>
      <c r="L121" s="29">
        <f>IF(D121="NCM/SH","",COUNTIF($D$5:$D$1506,D121))</f>
        <v/>
      </c>
    </row>
    <row r="122" ht="15.75" customHeight="1" thickBot="1">
      <c r="A122" s="1" t="inlineStr">
        <is>
          <t>02APças</t>
        </is>
      </c>
      <c r="B122" s="164" t="inlineStr">
        <is>
          <t>97.0</t>
        </is>
      </c>
      <c r="C122" s="35" t="inlineStr">
        <is>
          <t>01.097.00</t>
        </is>
      </c>
      <c r="D122" s="35" t="inlineStr">
        <is>
          <t>8501.31.10</t>
        </is>
      </c>
      <c r="E122" s="35" t="n">
        <v>50</v>
      </c>
      <c r="F122" s="35" t="n">
        <v>73.48999999999999</v>
      </c>
      <c r="G122" s="35" t="n">
        <v>68.06999999999999</v>
      </c>
      <c r="H122" s="35" t="n">
        <v>59.04</v>
      </c>
      <c r="I122" s="35" t="inlineStr">
        <is>
          <t xml:space="preserve">Motor de limpador de para-brisa </t>
        </is>
      </c>
      <c r="J122" s="40" t="inlineStr">
        <is>
          <t>Lei nº 1.810, art. 49, § 1º, XXIX</t>
        </is>
      </c>
      <c r="L122" s="29">
        <f>IF(D122="NCM/SH","",COUNTIF($D$5:$D$1506,D122))</f>
        <v/>
      </c>
    </row>
    <row r="123" ht="15.75" customHeight="1" thickBot="1">
      <c r="A123" s="1" t="inlineStr">
        <is>
          <t>02APças</t>
        </is>
      </c>
      <c r="B123" s="164" t="inlineStr">
        <is>
          <t>98.0</t>
        </is>
      </c>
      <c r="C123" s="35" t="inlineStr">
        <is>
          <t>01.098.00</t>
        </is>
      </c>
      <c r="D123" s="35" t="inlineStr">
        <is>
          <t>8504.50.00</t>
        </is>
      </c>
      <c r="E123" s="35" t="n">
        <v>50</v>
      </c>
      <c r="F123" s="35" t="n">
        <v>73.48999999999999</v>
      </c>
      <c r="G123" s="35" t="n">
        <v>68.06999999999999</v>
      </c>
      <c r="H123" s="35" t="n">
        <v>59.04</v>
      </c>
      <c r="I123" s="35" t="inlineStr">
        <is>
          <t>Bobinas de reatância e de autoindução</t>
        </is>
      </c>
      <c r="J123" s="40" t="inlineStr">
        <is>
          <t>Lei nº 1.810, art. 49, § 1º, XXIX</t>
        </is>
      </c>
      <c r="L123" s="29">
        <f>IF(D123="NCM/SH","",COUNTIF($D$5:$D$1506,D123))</f>
        <v/>
      </c>
    </row>
    <row r="124">
      <c r="A124" s="1" t="inlineStr">
        <is>
          <t>02APças</t>
        </is>
      </c>
      <c r="B124" s="163" t="inlineStr">
        <is>
          <t>99.0</t>
        </is>
      </c>
      <c r="C124" s="163" t="inlineStr">
        <is>
          <t>01.099.00</t>
        </is>
      </c>
      <c r="D124" s="37" t="inlineStr">
        <is>
          <t>8507.20</t>
        </is>
      </c>
      <c r="E124" s="163" t="n">
        <v>50</v>
      </c>
      <c r="F124" s="163" t="n">
        <v>73.48999999999999</v>
      </c>
      <c r="G124" s="163" t="n">
        <v>68.06999999999999</v>
      </c>
      <c r="H124" s="163" t="n">
        <v>59.04</v>
      </c>
      <c r="I124" s="163" t="inlineStr">
        <is>
          <t xml:space="preserve">Baterias de chumbo e de níquel-cádmio </t>
        </is>
      </c>
      <c r="J124" s="40" t="inlineStr">
        <is>
          <t>Lei nº 1.810, art. 49, § 1º, XXIX</t>
        </is>
      </c>
      <c r="L124" s="29">
        <f>IF(D124="NCM/SH","",COUNTIF($D$5:$D$1506,D124))</f>
        <v/>
      </c>
    </row>
    <row r="125" ht="15.75" customHeight="1" thickBot="1">
      <c r="A125" s="1" t="inlineStr">
        <is>
          <t>02APças</t>
        </is>
      </c>
      <c r="B125" s="164" t="n">
        <v>99</v>
      </c>
      <c r="C125" s="164" t="inlineStr">
        <is>
          <t>01.099.00</t>
        </is>
      </c>
      <c r="D125" s="35" t="inlineStr">
        <is>
          <t>8507.30</t>
        </is>
      </c>
      <c r="E125" s="164" t="n">
        <v>50</v>
      </c>
      <c r="F125" s="164" t="n">
        <v>73.48999999999999</v>
      </c>
      <c r="G125" s="164" t="n">
        <v>68.06999999999999</v>
      </c>
      <c r="H125" s="164" t="n">
        <v>59.04</v>
      </c>
      <c r="I125" s="164" t="inlineStr">
        <is>
          <t xml:space="preserve">Baterias de chumbo e de níquel-cádmio </t>
        </is>
      </c>
      <c r="J125" s="40" t="inlineStr">
        <is>
          <t>Lei nº 1.810, art. 49, § 1º, XXIX</t>
        </is>
      </c>
      <c r="L125" s="29">
        <f>IF(D125="NCM/SH","",COUNTIF($D$5:$D$1506,D125))</f>
        <v/>
      </c>
    </row>
    <row r="126" ht="15.75" customHeight="1" thickBot="1">
      <c r="A126" s="1" t="inlineStr">
        <is>
          <t>02APças</t>
        </is>
      </c>
      <c r="B126" s="164" t="inlineStr">
        <is>
          <t>100.0</t>
        </is>
      </c>
      <c r="C126" s="35" t="inlineStr">
        <is>
          <t>01.100.00</t>
        </is>
      </c>
      <c r="D126" s="35" t="inlineStr">
        <is>
          <t>8512.30.00</t>
        </is>
      </c>
      <c r="E126" s="35" t="n">
        <v>50</v>
      </c>
      <c r="F126" s="35" t="n">
        <v>73.48999999999999</v>
      </c>
      <c r="G126" s="35" t="n">
        <v>68.06999999999999</v>
      </c>
      <c r="H126" s="35" t="n">
        <v>59.04</v>
      </c>
      <c r="I126" s="35" t="inlineStr">
        <is>
          <t xml:space="preserve">Aparelhos de sinalização acústica (buzina) </t>
        </is>
      </c>
      <c r="J126" s="40" t="inlineStr">
        <is>
          <t>Lei nº 1.810, art. 49, § 1º, XXIX</t>
        </is>
      </c>
      <c r="L126" s="29">
        <f>IF(D126="NCM/SH","",COUNTIF($D$5:$D$1506,D126))</f>
        <v/>
      </c>
    </row>
    <row r="127">
      <c r="A127" s="1" t="inlineStr">
        <is>
          <t>02APças</t>
        </is>
      </c>
      <c r="B127" s="163" t="inlineStr">
        <is>
          <t>101.0</t>
        </is>
      </c>
      <c r="C127" s="163" t="inlineStr">
        <is>
          <t>01.101.00</t>
        </is>
      </c>
      <c r="D127" s="37" t="inlineStr">
        <is>
          <t>9032.89.8</t>
        </is>
      </c>
      <c r="E127" s="163" t="n">
        <v>50</v>
      </c>
      <c r="F127" s="163" t="n">
        <v>73.48999999999999</v>
      </c>
      <c r="G127" s="163" t="n">
        <v>68.06999999999999</v>
      </c>
      <c r="H127" s="163" t="n">
        <v>59.04</v>
      </c>
      <c r="I127" s="163" t="inlineStr">
        <is>
          <t xml:space="preserve">Instrumentos para regulação de grandezas não elétricas </t>
        </is>
      </c>
      <c r="J127" s="40" t="inlineStr">
        <is>
          <t>Lei nº 1.810, art. 49, § 1º, XXIX</t>
        </is>
      </c>
      <c r="L127" s="29">
        <f>IF(D127="NCM/SH","",COUNTIF($D$5:$D$1506,D127))</f>
        <v/>
      </c>
    </row>
    <row r="128" ht="15.75" customHeight="1" thickBot="1">
      <c r="A128" s="1" t="inlineStr">
        <is>
          <t>02APças</t>
        </is>
      </c>
      <c r="B128" s="164" t="n">
        <v>101</v>
      </c>
      <c r="C128" s="164" t="inlineStr">
        <is>
          <t>01.101.00</t>
        </is>
      </c>
      <c r="D128" s="35" t="inlineStr">
        <is>
          <t>9032.89.9</t>
        </is>
      </c>
      <c r="E128" s="164" t="n">
        <v>50</v>
      </c>
      <c r="F128" s="164" t="n">
        <v>73.48999999999999</v>
      </c>
      <c r="G128" s="164" t="n">
        <v>68.06999999999999</v>
      </c>
      <c r="H128" s="164" t="n">
        <v>59.04</v>
      </c>
      <c r="I128" s="164" t="inlineStr">
        <is>
          <t xml:space="preserve">Instrumentos para regulação de grandezas não elétricas </t>
        </is>
      </c>
      <c r="J128" s="40" t="inlineStr">
        <is>
          <t>Lei nº 1.810, art. 49, § 1º, XXIX</t>
        </is>
      </c>
      <c r="L128" s="29">
        <f>IF(D128="NCM/SH","",COUNTIF($D$5:$D$1506,D128))</f>
        <v/>
      </c>
    </row>
    <row r="129" ht="15.75" customHeight="1" thickBot="1">
      <c r="A129" s="1" t="inlineStr">
        <is>
          <t>02APças</t>
        </is>
      </c>
      <c r="B129" s="164" t="inlineStr">
        <is>
          <t>102.0</t>
        </is>
      </c>
      <c r="C129" s="35" t="inlineStr">
        <is>
          <t>01.102.00</t>
        </is>
      </c>
      <c r="D129" s="35" t="inlineStr">
        <is>
          <t>9027.10.00</t>
        </is>
      </c>
      <c r="E129" s="35" t="n">
        <v>50</v>
      </c>
      <c r="F129" s="35" t="n">
        <v>73.48999999999999</v>
      </c>
      <c r="G129" s="35" t="n">
        <v>68.06999999999999</v>
      </c>
      <c r="H129" s="35" t="n">
        <v>59.04</v>
      </c>
      <c r="I129" s="35" t="inlineStr">
        <is>
          <t xml:space="preserve">Analisadores de gases ou de fumaça (sonda lambda) </t>
        </is>
      </c>
      <c r="J129" s="40" t="inlineStr">
        <is>
          <t>Lei nº 1.810, art. 49, § 1º, XXIX</t>
        </is>
      </c>
      <c r="L129" s="29">
        <f>IF(D129="NCM/SH","",COUNTIF($D$5:$D$1506,D129))</f>
        <v/>
      </c>
    </row>
    <row r="130" ht="15.75" customHeight="1" thickBot="1">
      <c r="A130" s="1" t="inlineStr">
        <is>
          <t>02APças</t>
        </is>
      </c>
      <c r="B130" s="164" t="inlineStr">
        <is>
          <t>103.0</t>
        </is>
      </c>
      <c r="C130" s="35" t="inlineStr">
        <is>
          <t>01.103.00</t>
        </is>
      </c>
      <c r="D130" s="35" t="inlineStr">
        <is>
          <t>4008.11.00</t>
        </is>
      </c>
      <c r="E130" s="35" t="n">
        <v>50</v>
      </c>
      <c r="F130" s="35" t="n">
        <v>73.48999999999999</v>
      </c>
      <c r="G130" s="35" t="n">
        <v>68.06999999999999</v>
      </c>
      <c r="H130" s="35" t="n">
        <v>59.04</v>
      </c>
      <c r="I130" s="35" t="inlineStr">
        <is>
          <t xml:space="preserve">Perfilados de borracha vulcanizada não endurecida </t>
        </is>
      </c>
      <c r="J130" s="40" t="inlineStr">
        <is>
          <t>Lei nº 1.810, art. 49, § 1º, XXIX</t>
        </is>
      </c>
      <c r="L130" s="29">
        <f>IF(D130="NCM/SH","",COUNTIF($D$5:$D$1506,D130))</f>
        <v/>
      </c>
    </row>
    <row r="131" ht="15.75" customHeight="1" thickBot="1">
      <c r="A131" s="1" t="inlineStr">
        <is>
          <t>02APças</t>
        </is>
      </c>
      <c r="B131" s="164" t="inlineStr">
        <is>
          <t>104.0</t>
        </is>
      </c>
      <c r="C131" s="35" t="inlineStr">
        <is>
          <t>01.104.00</t>
        </is>
      </c>
      <c r="D131" s="35" t="inlineStr">
        <is>
          <t>5601.22.19</t>
        </is>
      </c>
      <c r="E131" s="35" t="n">
        <v>50</v>
      </c>
      <c r="F131" s="35" t="n">
        <v>73.48999999999999</v>
      </c>
      <c r="G131" s="35" t="n">
        <v>68.06999999999999</v>
      </c>
      <c r="H131" s="35" t="n">
        <v>59.04</v>
      </c>
      <c r="I131" s="35" t="inlineStr">
        <is>
          <t xml:space="preserve">Artefatos de pasta de fibra de uso automotivo </t>
        </is>
      </c>
      <c r="J131" s="40" t="inlineStr">
        <is>
          <t>Lei nº 1.810, art. 49, § 1º, XXIX</t>
        </is>
      </c>
      <c r="L131" s="29">
        <f>IF(D131="NCM/SH","",COUNTIF($D$5:$D$1506,D131))</f>
        <v/>
      </c>
    </row>
    <row r="132" ht="15.75" customHeight="1" thickBot="1">
      <c r="A132" s="1" t="inlineStr">
        <is>
          <t>02APças</t>
        </is>
      </c>
      <c r="B132" s="164" t="inlineStr">
        <is>
          <t>105.0</t>
        </is>
      </c>
      <c r="C132" s="35" t="inlineStr">
        <is>
          <t>01.105.00</t>
        </is>
      </c>
      <c r="D132" s="35" t="inlineStr">
        <is>
          <t>5703.29.00</t>
        </is>
      </c>
      <c r="E132" s="35" t="n">
        <v>50</v>
      </c>
      <c r="F132" s="35" t="n">
        <v>73.48999999999999</v>
      </c>
      <c r="G132" s="35" t="n">
        <v>68.06999999999999</v>
      </c>
      <c r="H132" s="35" t="n">
        <v>59.04</v>
      </c>
      <c r="I132" s="35" t="inlineStr">
        <is>
          <t>Tapetes/carpetes - náilon</t>
        </is>
      </c>
      <c r="J132" s="40" t="inlineStr">
        <is>
          <t>Lei nº 1.810, art. 49, § 1º, XXIX</t>
        </is>
      </c>
      <c r="K132" s="47" t="inlineStr">
        <is>
          <t>(Item 105.0: nova redação dada pelo Decreto nº 16.011/2022. Efeitos a partir de 16.08.2022)</t>
        </is>
      </c>
      <c r="L132" s="29">
        <f>IF(D132="NCM/SH","",COUNTIF($D$5:$D$1506,D132))</f>
        <v/>
      </c>
    </row>
    <row r="133" ht="15.75" customHeight="1" thickBot="1">
      <c r="A133" s="1" t="inlineStr">
        <is>
          <t>02APças</t>
        </is>
      </c>
      <c r="B133" s="164" t="inlineStr">
        <is>
          <t>106.0</t>
        </is>
      </c>
      <c r="C133" s="35" t="inlineStr">
        <is>
          <t>01.106.00</t>
        </is>
      </c>
      <c r="D133" s="35" t="inlineStr">
        <is>
          <t>5703.39.00</t>
        </is>
      </c>
      <c r="E133" s="35" t="n">
        <v>50</v>
      </c>
      <c r="F133" s="35" t="n">
        <v>73.48999999999999</v>
      </c>
      <c r="G133" s="35" t="n">
        <v>68.06999999999999</v>
      </c>
      <c r="H133" s="35" t="n">
        <v>59.04</v>
      </c>
      <c r="I133" s="35" t="inlineStr">
        <is>
          <t xml:space="preserve">Tapetes de matérias têxteis sintéticas </t>
        </is>
      </c>
      <c r="J133" s="38" t="inlineStr">
        <is>
          <t>Lei nº 1.810, art. 49, § 1º, XXIX</t>
        </is>
      </c>
      <c r="K133" s="47" t="inlineStr">
        <is>
          <t>(Item 106.0: nova redação dada pelo Decreto nº 16.011/2022. Efeitos a partir de 16.08.2022)</t>
        </is>
      </c>
      <c r="L133" s="29">
        <f>IF(D133="NCM/SH","",COUNTIF($D$5:$D$1506,D133))</f>
        <v/>
      </c>
    </row>
    <row r="134" ht="15.75" customHeight="1" thickBot="1">
      <c r="A134" s="1" t="inlineStr">
        <is>
          <t>02APças</t>
        </is>
      </c>
      <c r="B134" s="164" t="inlineStr">
        <is>
          <t>107.0</t>
        </is>
      </c>
      <c r="C134" s="35" t="inlineStr">
        <is>
          <t>01.107.00</t>
        </is>
      </c>
      <c r="D134" s="35" t="inlineStr">
        <is>
          <t>5911.90.00</t>
        </is>
      </c>
      <c r="E134" s="35" t="n">
        <v>50</v>
      </c>
      <c r="F134" s="35" t="n">
        <v>73.48999999999999</v>
      </c>
      <c r="G134" s="35" t="n">
        <v>68.06999999999999</v>
      </c>
      <c r="H134" s="35" t="n">
        <v>59.04</v>
      </c>
      <c r="I134" s="35" t="inlineStr">
        <is>
          <t xml:space="preserve">Forração interior capacete </t>
        </is>
      </c>
      <c r="J134" s="45" t="inlineStr">
        <is>
          <t>Lei nº 1.810, art. 49, § 1º, XXIX</t>
        </is>
      </c>
      <c r="L134" s="29">
        <f>IF(D134="NCM/SH","",COUNTIF($D$5:$D$1506,D134))</f>
        <v/>
      </c>
    </row>
    <row r="135" ht="15.75" customHeight="1" thickBot="1">
      <c r="A135" s="1" t="inlineStr">
        <is>
          <t>02APças</t>
        </is>
      </c>
      <c r="B135" s="164" t="inlineStr">
        <is>
          <t>108.0</t>
        </is>
      </c>
      <c r="C135" s="35" t="inlineStr">
        <is>
          <t>01.108.00</t>
        </is>
      </c>
      <c r="D135" s="35" t="inlineStr">
        <is>
          <t>6903.90.99</t>
        </is>
      </c>
      <c r="E135" s="35" t="n">
        <v>50</v>
      </c>
      <c r="F135" s="35" t="n">
        <v>73.48999999999999</v>
      </c>
      <c r="G135" s="35" t="n">
        <v>68.06999999999999</v>
      </c>
      <c r="H135" s="35" t="n">
        <v>59.04</v>
      </c>
      <c r="I135" s="35" t="inlineStr">
        <is>
          <t xml:space="preserve">Outros para-brisas </t>
        </is>
      </c>
      <c r="J135" s="45" t="inlineStr">
        <is>
          <t>Lei nº 1.810, art. 49, § 1º, XXIX</t>
        </is>
      </c>
      <c r="L135" s="29">
        <f>IF(D135="NCM/SH","",COUNTIF($D$5:$D$1506,D135))</f>
        <v/>
      </c>
    </row>
    <row r="136" ht="15.75" customHeight="1" thickBot="1">
      <c r="A136" s="1" t="inlineStr">
        <is>
          <t>02APças</t>
        </is>
      </c>
      <c r="B136" s="164" t="inlineStr">
        <is>
          <t>109.0</t>
        </is>
      </c>
      <c r="C136" s="35" t="inlineStr">
        <is>
          <t>01.109.00</t>
        </is>
      </c>
      <c r="D136" s="35" t="inlineStr">
        <is>
          <t>7007.29.00</t>
        </is>
      </c>
      <c r="E136" s="35" t="n">
        <v>50</v>
      </c>
      <c r="F136" s="35" t="n">
        <v>73.48999999999999</v>
      </c>
      <c r="G136" s="35" t="n">
        <v>68.06999999999999</v>
      </c>
      <c r="H136" s="35" t="n">
        <v>59.04</v>
      </c>
      <c r="I136" s="35" t="inlineStr">
        <is>
          <t xml:space="preserve">Moldura com espelho </t>
        </is>
      </c>
      <c r="J136" s="45" t="inlineStr">
        <is>
          <t>Lei nº 1.810, art. 49, § 1º, XXIX</t>
        </is>
      </c>
      <c r="K136" s="43" t="inlineStr">
        <is>
          <t>(Item 110.0: REVOGADO pelo Decreto nº 15.520/2020. Efeitos a contar de 1º.09.2020.)</t>
        </is>
      </c>
      <c r="L136" s="29">
        <f>IF(D136="NCM/SH","",COUNTIF($D$5:$D$1506,D136))</f>
        <v/>
      </c>
    </row>
    <row r="137" ht="15.75" customHeight="1" thickBot="1">
      <c r="A137" s="1" t="inlineStr">
        <is>
          <t>02APças</t>
        </is>
      </c>
      <c r="B137" s="164" t="inlineStr">
        <is>
          <t>111.0</t>
        </is>
      </c>
      <c r="C137" s="35" t="inlineStr">
        <is>
          <t>01.111.00</t>
        </is>
      </c>
      <c r="D137" s="35" t="inlineStr">
        <is>
          <t>7315.11.00</t>
        </is>
      </c>
      <c r="E137" s="35" t="n">
        <v>50</v>
      </c>
      <c r="F137" s="35" t="n">
        <v>73.48999999999999</v>
      </c>
      <c r="G137" s="35" t="n">
        <v>68.06999999999999</v>
      </c>
      <c r="H137" s="35" t="n">
        <v>59.04</v>
      </c>
      <c r="I137" s="35" t="inlineStr">
        <is>
          <t xml:space="preserve">Corrente transmissão </t>
        </is>
      </c>
      <c r="J137" s="45" t="inlineStr">
        <is>
          <t>Lei nº 1.810, art. 49, § 1º, XXIX</t>
        </is>
      </c>
      <c r="L137" s="29">
        <f>IF(D137="NCM/SH","",COUNTIF($D$5:$D$1506,D137))</f>
        <v/>
      </c>
    </row>
    <row r="138" ht="15.75" customHeight="1" thickBot="1">
      <c r="A138" s="1" t="inlineStr">
        <is>
          <t>02APças</t>
        </is>
      </c>
      <c r="B138" s="164" t="inlineStr">
        <is>
          <t>112.0</t>
        </is>
      </c>
      <c r="C138" s="35" t="inlineStr">
        <is>
          <t>01.112.00</t>
        </is>
      </c>
      <c r="D138" s="35" t="inlineStr">
        <is>
          <t>7315.12.10</t>
        </is>
      </c>
      <c r="E138" s="35" t="n">
        <v>50</v>
      </c>
      <c r="F138" s="35" t="n">
        <v>73.48999999999999</v>
      </c>
      <c r="G138" s="35" t="n">
        <v>68.06999999999999</v>
      </c>
      <c r="H138" s="35" t="n">
        <v>59.04</v>
      </c>
      <c r="I138" s="35" t="inlineStr">
        <is>
          <t>Outras correntes de transmissão</t>
        </is>
      </c>
      <c r="J138" s="45" t="inlineStr">
        <is>
          <t>Lei nº 1.810, art. 49, § 1º, XXIX</t>
        </is>
      </c>
      <c r="L138" s="29">
        <f>IF(D138="NCM/SH","",COUNTIF($D$5:$D$1506,D138))</f>
        <v/>
      </c>
    </row>
    <row r="139" ht="15.75" customHeight="1" thickBot="1">
      <c r="A139" s="1" t="inlineStr">
        <is>
          <t>02APças</t>
        </is>
      </c>
      <c r="B139" s="164" t="inlineStr">
        <is>
          <t>113.0</t>
        </is>
      </c>
      <c r="C139" s="35" t="inlineStr">
        <is>
          <t>01.113.00</t>
        </is>
      </c>
      <c r="D139" s="35" t="inlineStr">
        <is>
          <t>8418.99.00</t>
        </is>
      </c>
      <c r="E139" s="35" t="n">
        <v>50</v>
      </c>
      <c r="F139" s="35" t="n">
        <v>73.48999999999999</v>
      </c>
      <c r="G139" s="35" t="n">
        <v>68.06999999999999</v>
      </c>
      <c r="H139" s="35" t="n">
        <v>59.04</v>
      </c>
      <c r="I139" s="35" t="inlineStr">
        <is>
          <t xml:space="preserve">Condensador tubular metálico </t>
        </is>
      </c>
      <c r="J139" s="45" t="inlineStr">
        <is>
          <t>Lei nº 1.810, art. 49, § 1º, XXIX</t>
        </is>
      </c>
      <c r="L139" s="29">
        <f>IF(D139="NCM/SH","",COUNTIF($D$5:$D$1506,D139))</f>
        <v/>
      </c>
    </row>
    <row r="140" ht="15.75" customHeight="1" thickBot="1">
      <c r="A140" s="1" t="inlineStr">
        <is>
          <t>02APças</t>
        </is>
      </c>
      <c r="B140" s="164" t="inlineStr">
        <is>
          <t>114.0</t>
        </is>
      </c>
      <c r="C140" s="35" t="inlineStr">
        <is>
          <t>01.114.00</t>
        </is>
      </c>
      <c r="D140" s="35" t="inlineStr">
        <is>
          <t>8419.50</t>
        </is>
      </c>
      <c r="E140" s="35" t="n">
        <v>50</v>
      </c>
      <c r="F140" s="35" t="n">
        <v>73.48999999999999</v>
      </c>
      <c r="G140" s="35" t="n">
        <v>68.06999999999999</v>
      </c>
      <c r="H140" s="35" t="n">
        <v>59.04</v>
      </c>
      <c r="I140" s="35" t="inlineStr">
        <is>
          <t xml:space="preserve">Trocadores de calor </t>
        </is>
      </c>
      <c r="J140" s="46" t="inlineStr">
        <is>
          <t>Lei nº 1.810, art. 49, § 1º, XXIX</t>
        </is>
      </c>
      <c r="L140" s="29">
        <f>IF(D140="NCM/SH","",COUNTIF($D$5:$D$1506,D140))</f>
        <v/>
      </c>
    </row>
    <row r="141" ht="15.75" customHeight="1" thickBot="1">
      <c r="A141" s="1" t="inlineStr">
        <is>
          <t>02APças</t>
        </is>
      </c>
      <c r="B141" s="164" t="inlineStr">
        <is>
          <t>115.0</t>
        </is>
      </c>
      <c r="C141" s="35" t="inlineStr">
        <is>
          <t>01.115.00</t>
        </is>
      </c>
      <c r="D141" s="35" t="inlineStr">
        <is>
          <t>8424.90.90</t>
        </is>
      </c>
      <c r="E141" s="35" t="n">
        <v>50</v>
      </c>
      <c r="F141" s="35" t="n">
        <v>73.48999999999999</v>
      </c>
      <c r="G141" s="35" t="n">
        <v>68.06999999999999</v>
      </c>
      <c r="H141" s="35" t="n">
        <v>59.04</v>
      </c>
      <c r="I141" s="35" t="inlineStr">
        <is>
          <t xml:space="preserve">Partes de aparelhos mecânicos de pulverizar ou dispersar </t>
        </is>
      </c>
      <c r="J141" s="38" t="inlineStr">
        <is>
          <t>Lei nº 1.810, art. 49, § 1º, XXIX</t>
        </is>
      </c>
      <c r="L141" s="29">
        <f>IF(D141="NCM/SH","",COUNTIF($D$5:$D$1506,D141))</f>
        <v/>
      </c>
    </row>
    <row r="142" ht="15.75" customHeight="1" thickBot="1">
      <c r="A142" s="1" t="inlineStr">
        <is>
          <t>02APças</t>
        </is>
      </c>
      <c r="B142" s="164" t="inlineStr">
        <is>
          <t>116.0</t>
        </is>
      </c>
      <c r="C142" s="35" t="inlineStr">
        <is>
          <t>01.116.00</t>
        </is>
      </c>
      <c r="D142" s="35" t="inlineStr">
        <is>
          <t>8425.49.10</t>
        </is>
      </c>
      <c r="E142" s="35" t="n">
        <v>50</v>
      </c>
      <c r="F142" s="35" t="n">
        <v>73.48999999999999</v>
      </c>
      <c r="G142" s="35" t="n">
        <v>68.06999999999999</v>
      </c>
      <c r="H142" s="35" t="n">
        <v>59.04</v>
      </c>
      <c r="I142" s="35" t="inlineStr">
        <is>
          <t xml:space="preserve">Macacos manuais para veículos </t>
        </is>
      </c>
      <c r="J142" s="38" t="inlineStr">
        <is>
          <t>Lei nº 1.810, art. 49, § 1º, XXIX</t>
        </is>
      </c>
      <c r="L142" s="29">
        <f>IF(D142="NCM/SH","",COUNTIF($D$5:$D$1506,D142))</f>
        <v/>
      </c>
    </row>
    <row r="143" ht="15.75" customHeight="1" thickBot="1">
      <c r="A143" s="1" t="inlineStr">
        <is>
          <t>02APças</t>
        </is>
      </c>
      <c r="B143" s="164" t="inlineStr">
        <is>
          <t>117.0</t>
        </is>
      </c>
      <c r="C143" s="35" t="inlineStr">
        <is>
          <t>01.117.00</t>
        </is>
      </c>
      <c r="D143" s="35" t="inlineStr">
        <is>
          <t>8431.41.00</t>
        </is>
      </c>
      <c r="E143" s="35" t="n">
        <v>50</v>
      </c>
      <c r="F143" s="35" t="n">
        <v>73.48999999999999</v>
      </c>
      <c r="G143" s="35" t="n">
        <v>68.06999999999999</v>
      </c>
      <c r="H143" s="35" t="n">
        <v>59.04</v>
      </c>
      <c r="I143" s="35" t="inlineStr">
        <is>
          <t xml:space="preserve">Caçambas, pás, ganchos e tenazes para máquinas rodoviárias </t>
        </is>
      </c>
      <c r="J143" s="40" t="inlineStr">
        <is>
          <t>Lei nº 1.810, art. 49, § 1º, XXIX</t>
        </is>
      </c>
      <c r="L143" s="29">
        <f>IF(D143="NCM/SH","",COUNTIF($D$5:$D$1506,D143))</f>
        <v/>
      </c>
    </row>
    <row r="144" ht="15.75" customHeight="1" thickBot="1">
      <c r="A144" s="1" t="inlineStr">
        <is>
          <t>02APças</t>
        </is>
      </c>
      <c r="B144" s="164" t="inlineStr">
        <is>
          <t>118.0</t>
        </is>
      </c>
      <c r="C144" s="35" t="inlineStr">
        <is>
          <t>01.118.00</t>
        </is>
      </c>
      <c r="D144" s="35" t="inlineStr">
        <is>
          <t>8501.61.00</t>
        </is>
      </c>
      <c r="E144" s="35" t="n">
        <v>50</v>
      </c>
      <c r="F144" s="35" t="n">
        <v>73.48999999999999</v>
      </c>
      <c r="G144" s="35" t="n">
        <v>68.06999999999999</v>
      </c>
      <c r="H144" s="35" t="n">
        <v>59.04</v>
      </c>
      <c r="I144" s="35" t="inlineStr">
        <is>
          <t xml:space="preserve">Geradores de corrente alternada de potência não superior a 75 kva </t>
        </is>
      </c>
      <c r="J144" s="40" t="inlineStr">
        <is>
          <t>Lei nº 1.810, art. 49, § 1º, XXIX</t>
        </is>
      </c>
      <c r="L144" s="29">
        <f>IF(D144="NCM/SH","",COUNTIF($D$5:$D$1506,D144))</f>
        <v/>
      </c>
    </row>
    <row r="145" ht="15.75" customHeight="1" thickBot="1">
      <c r="A145" s="1" t="inlineStr">
        <is>
          <t>02APças</t>
        </is>
      </c>
      <c r="B145" s="164" t="inlineStr">
        <is>
          <t>119.0</t>
        </is>
      </c>
      <c r="C145" s="35" t="inlineStr">
        <is>
          <t>01.119.00</t>
        </is>
      </c>
      <c r="D145" s="35" t="inlineStr">
        <is>
          <t>8531.10.90</t>
        </is>
      </c>
      <c r="E145" s="35" t="n">
        <v>50</v>
      </c>
      <c r="F145" s="35" t="n">
        <v>73.48999999999999</v>
      </c>
      <c r="G145" s="35" t="n">
        <v>68.06999999999999</v>
      </c>
      <c r="H145" s="35" t="n">
        <v>59.04</v>
      </c>
      <c r="I145" s="35" t="inlineStr">
        <is>
          <t xml:space="preserve">Aparelhos elétricos para alarme de uso automotivo </t>
        </is>
      </c>
      <c r="J145" s="40" t="inlineStr">
        <is>
          <t>Lei nº 1.810, art. 49, § 1º, XXIX</t>
        </is>
      </c>
      <c r="L145" s="29">
        <f>IF(D145="NCM/SH","",COUNTIF($D$5:$D$1506,D145))</f>
        <v/>
      </c>
    </row>
    <row r="146" ht="15.75" customHeight="1" thickBot="1">
      <c r="A146" s="1" t="inlineStr">
        <is>
          <t>02APças</t>
        </is>
      </c>
      <c r="B146" s="164" t="inlineStr">
        <is>
          <t>120.0</t>
        </is>
      </c>
      <c r="C146" s="35" t="inlineStr">
        <is>
          <t>01.120.00</t>
        </is>
      </c>
      <c r="D146" s="35" t="inlineStr">
        <is>
          <t>9014.10.00</t>
        </is>
      </c>
      <c r="E146" s="35" t="n">
        <v>50</v>
      </c>
      <c r="F146" s="35" t="n">
        <v>73.48999999999999</v>
      </c>
      <c r="G146" s="35" t="n">
        <v>68.06999999999999</v>
      </c>
      <c r="H146" s="35" t="n">
        <v>59.04</v>
      </c>
      <c r="I146" s="35" t="inlineStr">
        <is>
          <t xml:space="preserve">Bússolas </t>
        </is>
      </c>
      <c r="J146" s="40" t="inlineStr">
        <is>
          <t>Lei nº 1.810, art. 49, § 1º, XXIX</t>
        </is>
      </c>
      <c r="L146" s="29">
        <f>IF(D146="NCM/SH","",COUNTIF($D$5:$D$1506,D146))</f>
        <v/>
      </c>
    </row>
    <row r="147" ht="15.75" customHeight="1" thickBot="1">
      <c r="A147" s="1" t="inlineStr">
        <is>
          <t>02APças</t>
        </is>
      </c>
      <c r="B147" s="164" t="inlineStr">
        <is>
          <t>121.0</t>
        </is>
      </c>
      <c r="C147" s="35" t="inlineStr">
        <is>
          <t>01.121.00</t>
        </is>
      </c>
      <c r="D147" s="35" t="inlineStr">
        <is>
          <t>9025.19.90</t>
        </is>
      </c>
      <c r="E147" s="35" t="n">
        <v>50</v>
      </c>
      <c r="F147" s="35" t="n">
        <v>73.48999999999999</v>
      </c>
      <c r="G147" s="35" t="n">
        <v>68.06999999999999</v>
      </c>
      <c r="H147" s="35" t="n">
        <v>59.04</v>
      </c>
      <c r="I147" s="35" t="inlineStr">
        <is>
          <t xml:space="preserve">Indicadores de temperatura </t>
        </is>
      </c>
      <c r="J147" s="40" t="inlineStr">
        <is>
          <t>Lei nº 1.810, art. 49, § 1º, XXIX</t>
        </is>
      </c>
      <c r="L147" s="29">
        <f>IF(D147="NCM/SH","",COUNTIF($D$5:$D$1506,D147))</f>
        <v/>
      </c>
    </row>
    <row r="148" ht="15.75" customHeight="1" thickBot="1">
      <c r="A148" s="1" t="inlineStr">
        <is>
          <t>02APças</t>
        </is>
      </c>
      <c r="B148" s="164" t="inlineStr">
        <is>
          <t>122.0</t>
        </is>
      </c>
      <c r="C148" s="35" t="inlineStr">
        <is>
          <t>01.122.00</t>
        </is>
      </c>
      <c r="D148" s="35" t="inlineStr">
        <is>
          <t>9025.90.10</t>
        </is>
      </c>
      <c r="E148" s="35" t="n">
        <v>50</v>
      </c>
      <c r="F148" s="35" t="n">
        <v>73.48999999999999</v>
      </c>
      <c r="G148" s="35" t="n">
        <v>68.06999999999999</v>
      </c>
      <c r="H148" s="35" t="n">
        <v>59.04</v>
      </c>
      <c r="I148" s="35" t="inlineStr">
        <is>
          <t xml:space="preserve">Partes de indicadores de temperatura </t>
        </is>
      </c>
      <c r="J148" s="40" t="inlineStr">
        <is>
          <t>Lei nº 1.810, art. 49, § 1º, XXIX</t>
        </is>
      </c>
      <c r="L148" s="29">
        <f>IF(D148="NCM/SH","",COUNTIF($D$5:$D$1506,D148))</f>
        <v/>
      </c>
    </row>
    <row r="149" ht="15.75" customHeight="1" thickBot="1">
      <c r="A149" s="1" t="inlineStr">
        <is>
          <t>02APças</t>
        </is>
      </c>
      <c r="B149" s="164" t="inlineStr">
        <is>
          <t>123.0</t>
        </is>
      </c>
      <c r="C149" s="35" t="inlineStr">
        <is>
          <t>01.123.00</t>
        </is>
      </c>
      <c r="D149" s="35" t="inlineStr">
        <is>
          <t>9026.90</t>
        </is>
      </c>
      <c r="E149" s="35" t="n">
        <v>50</v>
      </c>
      <c r="F149" s="35" t="n">
        <v>73.48999999999999</v>
      </c>
      <c r="G149" s="35" t="n">
        <v>68.06999999999999</v>
      </c>
      <c r="H149" s="35" t="n">
        <v>59.04</v>
      </c>
      <c r="I149" s="35" t="inlineStr">
        <is>
          <t xml:space="preserve">Partes de aparelhos de medida ou controle </t>
        </is>
      </c>
      <c r="J149" s="40" t="inlineStr">
        <is>
          <t>Lei nº 1.810, art. 49, § 1º, XXIX</t>
        </is>
      </c>
      <c r="L149" s="29">
        <f>IF(D149="NCM/SH","",COUNTIF($D$5:$D$1506,D149))</f>
        <v/>
      </c>
    </row>
    <row r="150" ht="15.75" customHeight="1" thickBot="1">
      <c r="A150" s="1" t="inlineStr">
        <is>
          <t>02APças</t>
        </is>
      </c>
      <c r="B150" s="164" t="inlineStr">
        <is>
          <t>124.0</t>
        </is>
      </c>
      <c r="C150" s="35" t="inlineStr">
        <is>
          <t>01.124.00</t>
        </is>
      </c>
      <c r="D150" s="35" t="inlineStr">
        <is>
          <t>9032.10.10</t>
        </is>
      </c>
      <c r="E150" s="35" t="n">
        <v>50</v>
      </c>
      <c r="F150" s="35" t="n">
        <v>73.48999999999999</v>
      </c>
      <c r="G150" s="35" t="n">
        <v>68.06999999999999</v>
      </c>
      <c r="H150" s="35" t="n">
        <v>59.04</v>
      </c>
      <c r="I150" s="35" t="inlineStr">
        <is>
          <t xml:space="preserve">Termostatos </t>
        </is>
      </c>
      <c r="J150" s="40" t="inlineStr">
        <is>
          <t>Lei nº 1.810, art. 49, § 1º, XXIX</t>
        </is>
      </c>
      <c r="L150" s="29">
        <f>IF(D150="NCM/SH","",COUNTIF($D$5:$D$1506,D150))</f>
        <v/>
      </c>
    </row>
    <row r="151" ht="15.75" customHeight="1" thickBot="1">
      <c r="A151" s="1" t="inlineStr">
        <is>
          <t>02APças</t>
        </is>
      </c>
      <c r="B151" s="164" t="inlineStr">
        <is>
          <t>125.0</t>
        </is>
      </c>
      <c r="C151" s="35" t="inlineStr">
        <is>
          <t>01.125.00</t>
        </is>
      </c>
      <c r="D151" s="35" t="inlineStr">
        <is>
          <t>9032.10.90</t>
        </is>
      </c>
      <c r="E151" s="35" t="n">
        <v>50</v>
      </c>
      <c r="F151" s="35" t="n">
        <v>73.48999999999999</v>
      </c>
      <c r="G151" s="35" t="n">
        <v>68.06999999999999</v>
      </c>
      <c r="H151" s="35" t="n">
        <v>59.04</v>
      </c>
      <c r="I151" s="35" t="inlineStr">
        <is>
          <t xml:space="preserve">Instrumentos e aparelhos para regulação </t>
        </is>
      </c>
      <c r="J151" s="40" t="inlineStr">
        <is>
          <t>Lei nº 1.810, art. 49, § 1º, XXIX</t>
        </is>
      </c>
      <c r="L151" s="29">
        <f>IF(D151="NCM/SH","",COUNTIF($D$5:$D$1506,D151))</f>
        <v/>
      </c>
    </row>
    <row r="152" ht="15.75" customHeight="1" thickBot="1">
      <c r="A152" s="1" t="inlineStr">
        <is>
          <t>02APças</t>
        </is>
      </c>
      <c r="B152" s="164" t="inlineStr">
        <is>
          <t>126.0</t>
        </is>
      </c>
      <c r="C152" s="35" t="inlineStr">
        <is>
          <t>01.126.00</t>
        </is>
      </c>
      <c r="D152" s="35" t="inlineStr">
        <is>
          <t>9032.20.00</t>
        </is>
      </c>
      <c r="E152" s="35" t="n">
        <v>50</v>
      </c>
      <c r="F152" s="35" t="n">
        <v>73.48999999999999</v>
      </c>
      <c r="G152" s="35" t="n">
        <v>68.06999999999999</v>
      </c>
      <c r="H152" s="35" t="n">
        <v>59.04</v>
      </c>
      <c r="I152" s="35" t="inlineStr">
        <is>
          <t xml:space="preserve">Pressostatos </t>
        </is>
      </c>
      <c r="J152" s="40" t="inlineStr">
        <is>
          <t>Lei nº 1.810, art. 49, § 1º, XXIX</t>
        </is>
      </c>
      <c r="L152" s="29">
        <f>IF(D152="NCM/SH","",COUNTIF($D$5:$D$1506,D152))</f>
        <v/>
      </c>
    </row>
    <row r="153" ht="15.75" customHeight="1" thickBot="1">
      <c r="A153" s="1" t="inlineStr">
        <is>
          <t>02APças</t>
        </is>
      </c>
      <c r="B153" s="164" t="inlineStr">
        <is>
          <t>127.0</t>
        </is>
      </c>
      <c r="C153" s="35" t="inlineStr">
        <is>
          <t>01.127.00</t>
        </is>
      </c>
      <c r="D153" s="35" t="inlineStr">
        <is>
          <t>8716.90</t>
        </is>
      </c>
      <c r="E153" s="35" t="n">
        <v>50</v>
      </c>
      <c r="F153" s="35" t="n">
        <v>73.48999999999999</v>
      </c>
      <c r="G153" s="35" t="n">
        <v>68.06999999999999</v>
      </c>
      <c r="H153" s="35" t="n">
        <v>59.04</v>
      </c>
      <c r="I153" s="48" t="inlineStr">
        <is>
          <t>Peças para reboques e semirreboques, exceto os itens classificados no CEST 01.077.00</t>
        </is>
      </c>
      <c r="J153" s="40" t="inlineStr">
        <is>
          <t>Lei nº 1.810, art. 49, § 1º, XXIX</t>
        </is>
      </c>
      <c r="K153" s="43" t="inlineStr">
        <is>
          <t>(Item 127.0: nova redação dada pelo Decreto nº 14.645/2016. Efeitos a partir de 1º.01.2017.)</t>
        </is>
      </c>
      <c r="L153" s="29">
        <f>IF(D153="NCM/SH","",COUNTIF($D$5:$D$1506,D153))</f>
        <v/>
      </c>
    </row>
    <row r="154" ht="15.75" customHeight="1" thickBot="1">
      <c r="A154" s="1" t="inlineStr">
        <is>
          <t>02APças</t>
        </is>
      </c>
      <c r="B154" s="164" t="inlineStr">
        <is>
          <t>128.0</t>
        </is>
      </c>
      <c r="C154" s="35" t="inlineStr">
        <is>
          <t>01.128.00</t>
        </is>
      </c>
      <c r="D154" s="48" t="inlineStr">
        <is>
          <t>7322.90.10</t>
        </is>
      </c>
      <c r="E154" s="35" t="n">
        <v>50</v>
      </c>
      <c r="F154" s="35" t="n">
        <v>73.48999999999999</v>
      </c>
      <c r="G154" s="35" t="n">
        <v>68.06999999999999</v>
      </c>
      <c r="H154" s="35" t="n">
        <v>59.04</v>
      </c>
      <c r="I154" s="48" t="inlineStr">
        <is>
          <t>Geradores de ar quente a combustível líquido, com capacidade superior ou igual a 1.500 kcal/h, mas inferior ou igual a 10.400 kcal/h, do tipo dos utilizados em veículos automóveis</t>
        </is>
      </c>
      <c r="J154" s="40" t="inlineStr">
        <is>
          <t>Lei nº 1.810, art. 49, § 1º, XXIX</t>
        </is>
      </c>
      <c r="L154" s="29">
        <f>IF(D154="NCM/SH","",COUNTIF($D$5:$D$1506,D154))</f>
        <v/>
      </c>
    </row>
    <row r="155" ht="15.75" customHeight="1" thickBot="1">
      <c r="A155" s="1" t="inlineStr">
        <is>
          <t>02APças</t>
        </is>
      </c>
      <c r="B155" s="164" t="inlineStr">
        <is>
          <t>999.0</t>
        </is>
      </c>
      <c r="C155" s="35" t="inlineStr">
        <is>
          <t>01.999.00</t>
        </is>
      </c>
      <c r="D155" s="35" t="inlineStr">
        <is>
          <t>9999.99.99</t>
        </is>
      </c>
      <c r="E155" s="35" t="n">
        <v>50</v>
      </c>
      <c r="F155" s="35" t="n">
        <v>73.48999999999999</v>
      </c>
      <c r="G155" s="35" t="n">
        <v>68.06999999999999</v>
      </c>
      <c r="H155" s="35" t="n">
        <v>59.04</v>
      </c>
      <c r="I155" s="48" t="inlineStr">
        <is>
          <t>Outras peças, partes e acessórios para veículos automotores não relacionados nos demais itens desta tabela</t>
        </is>
      </c>
      <c r="J155" s="40" t="inlineStr">
        <is>
          <t>Lei nº 1.810, art. 49, § 1º, XXIX</t>
        </is>
      </c>
      <c r="K155" s="43" t="inlineStr">
        <is>
          <t>(Item 999.0: renumerado de item 129.0 para item 999.0 e nova redação dada pelo Decreto nº 14.645/2016. Efeitos a partir de 1º.01.2017.)</t>
        </is>
      </c>
      <c r="L155" s="29">
        <f>IF(D155="NCM/SH","",COUNTIF($D$5:$D$1506,D155))</f>
        <v/>
      </c>
    </row>
    <row r="156">
      <c r="B156" s="31" t="n"/>
      <c r="L156" s="29">
        <f>IF(D156="NCM/SH","",COUNTIF($D$5:$D$1506,D156))</f>
        <v/>
      </c>
    </row>
    <row r="157">
      <c r="B157" s="31" t="n"/>
      <c r="L157" s="29">
        <f>IF(D157="NCM/SH","",COUNTIF($D$5:$D$1506,D157))</f>
        <v/>
      </c>
    </row>
    <row r="158" ht="15.75" customFormat="1" customHeight="1" s="50" thickBot="1">
      <c r="A158" s="50" t="inlineStr">
        <is>
          <t>03aBebid</t>
        </is>
      </c>
      <c r="B158" s="31" t="inlineStr">
        <is>
          <t>Tabela III-A</t>
        </is>
      </c>
      <c r="C158" s="31" t="inlineStr">
        <is>
          <t>BEBIDAS ALCOÓLICAS, EXCETO CERVEJA E CHOPE</t>
        </is>
      </c>
      <c r="F158" s="51" t="inlineStr">
        <is>
          <t>(UFs signatárias do Protocolo ICMS 14/2006, 15/2006 e 14/2007)</t>
        </is>
      </c>
      <c r="L158" s="29">
        <f>IF(D158="NCM/SH","",COUNTIF($D$5:$D$1506,D158))</f>
        <v/>
      </c>
    </row>
    <row r="159" ht="15.75" customHeight="1" thickBot="1">
      <c r="A159" s="50" t="inlineStr">
        <is>
          <t>03aBebid</t>
        </is>
      </c>
      <c r="B159" s="163" t="inlineStr">
        <is>
          <t>ITEM</t>
        </is>
      </c>
      <c r="C159" s="163" t="inlineStr">
        <is>
          <t>CEST</t>
        </is>
      </c>
      <c r="D159" s="163" t="inlineStr">
        <is>
          <t>NCM/SH</t>
        </is>
      </c>
      <c r="E159" s="165" t="inlineStr">
        <is>
          <t>MARGEM DE VALOR AGREGADO</t>
        </is>
      </c>
      <c r="F159" s="165" t="inlineStr">
        <is>
          <t>MARGEM DE VALOR AGREGADO</t>
        </is>
      </c>
      <c r="G159" s="165" t="inlineStr">
        <is>
          <t>MARGEM DE VALOR AGREGADO</t>
        </is>
      </c>
      <c r="H159" s="165" t="inlineStr">
        <is>
          <t>MARGEM DE VALOR AGREGADO</t>
        </is>
      </c>
      <c r="I159" s="163" t="inlineStr">
        <is>
          <t xml:space="preserve">DESCRIÇÃO </t>
        </is>
      </c>
      <c r="J159" s="163" t="inlineStr">
        <is>
          <t>DISPOSITIVO LEGAL</t>
        </is>
      </c>
      <c r="L159" s="29">
        <f>IF(D159="NCM/SH","",COUNTIF($D$5:$D$1506,D159))</f>
        <v/>
      </c>
    </row>
    <row r="160" ht="15.75" customHeight="1" thickBot="1">
      <c r="A160" s="50" t="inlineStr">
        <is>
          <t>03aBebid</t>
        </is>
      </c>
      <c r="B160" s="164" t="inlineStr">
        <is>
          <t>ITEM</t>
        </is>
      </c>
      <c r="C160" s="164" t="inlineStr">
        <is>
          <t>CEST</t>
        </is>
      </c>
      <c r="D160" s="164" t="inlineStr">
        <is>
          <t>NCM/SH</t>
        </is>
      </c>
      <c r="E160" s="35" t="inlineStr">
        <is>
          <t>Oper. interna</t>
        </is>
      </c>
      <c r="F160" s="167" t="inlineStr">
        <is>
          <t>Alíq. 4%</t>
        </is>
      </c>
      <c r="G160" s="167" t="inlineStr">
        <is>
          <t>Alíq. 7%</t>
        </is>
      </c>
      <c r="H160" s="167" t="inlineStr">
        <is>
          <t>Alíq. 12%</t>
        </is>
      </c>
      <c r="I160" s="164" t="inlineStr">
        <is>
          <t xml:space="preserve">DESCRIÇÃO </t>
        </is>
      </c>
      <c r="J160" s="164" t="inlineStr">
        <is>
          <t>DISPOSITIVO LEGAL</t>
        </is>
      </c>
      <c r="L160" s="29">
        <f>IF(D160="NCM/SH","",COUNTIF($D$5:$D$1506,D160))</f>
        <v/>
      </c>
    </row>
    <row r="161">
      <c r="A161" s="50" t="inlineStr">
        <is>
          <t>03aBebid</t>
        </is>
      </c>
      <c r="B161" s="163" t="inlineStr">
        <is>
          <t>1.0</t>
        </is>
      </c>
      <c r="C161" s="163" t="inlineStr">
        <is>
          <t>02.001.00</t>
        </is>
      </c>
      <c r="D161" s="37" t="n">
        <v>2205</v>
      </c>
      <c r="E161" s="163" t="n">
        <v>29.04</v>
      </c>
      <c r="F161" s="163" t="n">
        <v>72.05</v>
      </c>
      <c r="G161" s="163" t="n">
        <v>66.68000000000001</v>
      </c>
      <c r="H161" s="163" t="n">
        <v>57.72</v>
      </c>
      <c r="I161" s="163" t="inlineStr">
        <is>
          <t>Aperitivos, amargos, bitter e similares</t>
        </is>
      </c>
      <c r="J161" s="42" t="inlineStr">
        <is>
          <t>Protocolos ICMS 14/2006, 15/2006 e 14/2007</t>
        </is>
      </c>
      <c r="L161" s="29">
        <f>IF(D161="NCM/SH","",COUNTIF($D$5:$D$1506,D161))</f>
        <v/>
      </c>
    </row>
    <row r="162" ht="15.75" customHeight="1" thickBot="1">
      <c r="A162" s="50" t="inlineStr">
        <is>
          <t>03aBebid</t>
        </is>
      </c>
      <c r="B162" s="164" t="n">
        <v>1</v>
      </c>
      <c r="C162" s="164" t="inlineStr">
        <is>
          <t>02.001.00</t>
        </is>
      </c>
      <c r="D162" s="35" t="inlineStr">
        <is>
          <t>2208.90.00</t>
        </is>
      </c>
      <c r="E162" s="164" t="n">
        <v>29.04</v>
      </c>
      <c r="F162" s="164" t="n">
        <v>72.05</v>
      </c>
      <c r="G162" s="164" t="n">
        <v>66.68000000000001</v>
      </c>
      <c r="H162" s="164" t="n">
        <v>57.72</v>
      </c>
      <c r="I162" s="164" t="inlineStr">
        <is>
          <t>Aperitivos, amargos, bitter e similares</t>
        </is>
      </c>
      <c r="J162" s="45" t="inlineStr">
        <is>
          <t>Protocolos ICMS 14/2006, 15/2006 e 14/2007</t>
        </is>
      </c>
      <c r="L162" s="29">
        <f>IF(D162="NCM/SH","",COUNTIF($D$5:$D$1506,D162))</f>
        <v/>
      </c>
    </row>
    <row r="163" ht="15.75" customHeight="1" thickBot="1">
      <c r="A163" s="50" t="inlineStr">
        <is>
          <t>03aBebid</t>
        </is>
      </c>
      <c r="B163" s="164" t="inlineStr">
        <is>
          <t>2.0</t>
        </is>
      </c>
      <c r="C163" s="35" t="inlineStr">
        <is>
          <t>02.002.00</t>
        </is>
      </c>
      <c r="D163" s="35" t="inlineStr">
        <is>
          <t>2208.90.00</t>
        </is>
      </c>
      <c r="E163" s="35" t="n">
        <v>29.04</v>
      </c>
      <c r="F163" s="35" t="n">
        <v>72.05</v>
      </c>
      <c r="G163" s="35" t="n">
        <v>66.68000000000001</v>
      </c>
      <c r="H163" s="35" t="n">
        <v>57.72</v>
      </c>
      <c r="I163" s="35" t="inlineStr">
        <is>
          <t>Batida e similares</t>
        </is>
      </c>
      <c r="J163" s="45" t="inlineStr">
        <is>
          <t>Protocolos ICMS 14/2006, 15/2006 e 14/2007</t>
        </is>
      </c>
      <c r="L163" s="29">
        <f>IF(D163="NCM/SH","",COUNTIF($D$5:$D$1506,D163))</f>
        <v/>
      </c>
    </row>
    <row r="164" ht="15.75" customHeight="1" thickBot="1">
      <c r="A164" s="50" t="inlineStr">
        <is>
          <t>03aBebid</t>
        </is>
      </c>
      <c r="B164" s="164" t="inlineStr">
        <is>
          <t>3.0</t>
        </is>
      </c>
      <c r="C164" s="35" t="inlineStr">
        <is>
          <t>02.003.00</t>
        </is>
      </c>
      <c r="D164" s="35" t="inlineStr">
        <is>
          <t>2208.90.00</t>
        </is>
      </c>
      <c r="E164" s="35" t="n">
        <v>29.04</v>
      </c>
      <c r="F164" s="35" t="n">
        <v>72.05</v>
      </c>
      <c r="G164" s="35" t="n">
        <v>66.68000000000001</v>
      </c>
      <c r="H164" s="35" t="n">
        <v>57.72</v>
      </c>
      <c r="I164" s="35" t="inlineStr">
        <is>
          <t>Bebida ice</t>
        </is>
      </c>
      <c r="J164" s="45" t="inlineStr">
        <is>
          <t>Protocolos ICMS 14/2006, 15/2006 e 14/2007</t>
        </is>
      </c>
      <c r="L164" s="29">
        <f>IF(D164="NCM/SH","",COUNTIF($D$5:$D$1506,D164))</f>
        <v/>
      </c>
    </row>
    <row r="165">
      <c r="A165" s="50" t="inlineStr">
        <is>
          <t>03aBebid</t>
        </is>
      </c>
      <c r="B165" s="163" t="inlineStr">
        <is>
          <t>4.0</t>
        </is>
      </c>
      <c r="C165" s="163" t="inlineStr">
        <is>
          <t>02.004.00</t>
        </is>
      </c>
      <c r="D165" s="37" t="inlineStr">
        <is>
          <t>2207.20</t>
        </is>
      </c>
      <c r="E165" s="163" t="n">
        <v>29.04</v>
      </c>
      <c r="F165" s="163" t="n">
        <v>72.05</v>
      </c>
      <c r="G165" s="163" t="n">
        <v>66.68000000000001</v>
      </c>
      <c r="H165" s="163" t="n">
        <v>57.72</v>
      </c>
      <c r="I165" s="163" t="inlineStr">
        <is>
          <t>Cachaça e aguardentes</t>
        </is>
      </c>
      <c r="J165" s="45" t="inlineStr">
        <is>
          <t>Protocolos ICMS 14/2006, 15/2006 e 14/2007</t>
        </is>
      </c>
      <c r="L165" s="29">
        <f>IF(D165="NCM/SH","",COUNTIF($D$5:$D$1506,D165))</f>
        <v/>
      </c>
    </row>
    <row r="166" ht="15.75" customHeight="1" thickBot="1">
      <c r="A166" s="50" t="inlineStr">
        <is>
          <t>03aBebid</t>
        </is>
      </c>
      <c r="B166" s="164" t="n">
        <v>4</v>
      </c>
      <c r="C166" s="164" t="inlineStr">
        <is>
          <t>02.004.00</t>
        </is>
      </c>
      <c r="D166" s="35" t="inlineStr">
        <is>
          <t>2208.40.00</t>
        </is>
      </c>
      <c r="E166" s="164" t="n">
        <v>29.04</v>
      </c>
      <c r="F166" s="164" t="n">
        <v>72.05</v>
      </c>
      <c r="G166" s="164" t="n">
        <v>66.68000000000001</v>
      </c>
      <c r="H166" s="164" t="n">
        <v>57.72</v>
      </c>
      <c r="I166" s="164" t="inlineStr">
        <is>
          <t>Cachaça e aguardentes</t>
        </is>
      </c>
      <c r="J166" s="45" t="inlineStr">
        <is>
          <t>Protocolos ICMS 14/2006, 15/2006 e 14/2007</t>
        </is>
      </c>
      <c r="L166" s="29">
        <f>IF(D166="NCM/SH","",COUNTIF($D$5:$D$1506,D166))</f>
        <v/>
      </c>
    </row>
    <row r="167">
      <c r="A167" s="50" t="inlineStr">
        <is>
          <t>03aBebid</t>
        </is>
      </c>
      <c r="B167" s="163" t="inlineStr">
        <is>
          <t>5.0</t>
        </is>
      </c>
      <c r="C167" s="163" t="inlineStr">
        <is>
          <t>02.005.00</t>
        </is>
      </c>
      <c r="D167" s="37" t="n">
        <v>2205</v>
      </c>
      <c r="E167" s="163" t="n">
        <v>29.04</v>
      </c>
      <c r="F167" s="163" t="n">
        <v>72.05</v>
      </c>
      <c r="G167" s="163" t="n">
        <v>66.68000000000001</v>
      </c>
      <c r="H167" s="163" t="n">
        <v>57.72</v>
      </c>
      <c r="I167" s="163" t="inlineStr">
        <is>
          <t>Catuaba e similares</t>
        </is>
      </c>
      <c r="J167" s="45" t="inlineStr">
        <is>
          <t>Protocolos ICMS 14/2006, 15/2006 e 14/2007</t>
        </is>
      </c>
      <c r="L167" s="29">
        <f>IF(D167="NCM/SH","",COUNTIF($D$5:$D$1506,D167))</f>
        <v/>
      </c>
    </row>
    <row r="168">
      <c r="A168" s="50" t="inlineStr">
        <is>
          <t>03aBebid</t>
        </is>
      </c>
      <c r="B168" s="44" t="n">
        <v>5</v>
      </c>
      <c r="C168" s="44" t="inlineStr">
        <is>
          <t>02.005.00</t>
        </is>
      </c>
      <c r="D168" s="37" t="inlineStr">
        <is>
          <t>2206.00.90</t>
        </is>
      </c>
      <c r="E168" s="44" t="n">
        <v>29.04</v>
      </c>
      <c r="F168" s="44" t="n">
        <v>72.05</v>
      </c>
      <c r="G168" s="44" t="n">
        <v>66.68000000000001</v>
      </c>
      <c r="H168" s="44" t="n">
        <v>57.72</v>
      </c>
      <c r="I168" s="44" t="inlineStr">
        <is>
          <t>Catuaba e similares</t>
        </is>
      </c>
      <c r="J168" s="45" t="inlineStr">
        <is>
          <t>Protocolos ICMS 14/2006, 15/2006 e 14/2007</t>
        </is>
      </c>
      <c r="L168" s="29">
        <f>IF(D168="NCM/SH","",COUNTIF($D$5:$D$1506,D168))</f>
        <v/>
      </c>
    </row>
    <row r="169" ht="15.75" customHeight="1" thickBot="1">
      <c r="A169" s="50" t="inlineStr">
        <is>
          <t>03aBebid</t>
        </is>
      </c>
      <c r="B169" s="164" t="n">
        <v>5</v>
      </c>
      <c r="C169" s="164" t="inlineStr">
        <is>
          <t>02.005.00</t>
        </is>
      </c>
      <c r="D169" s="35" t="inlineStr">
        <is>
          <t>2208.90.00</t>
        </is>
      </c>
      <c r="E169" s="164" t="n">
        <v>29.04</v>
      </c>
      <c r="F169" s="164" t="n">
        <v>72.05</v>
      </c>
      <c r="G169" s="164" t="n">
        <v>66.68000000000001</v>
      </c>
      <c r="H169" s="164" t="n">
        <v>57.72</v>
      </c>
      <c r="I169" s="164" t="inlineStr">
        <is>
          <t>Catuaba e similares</t>
        </is>
      </c>
      <c r="J169" s="45" t="inlineStr">
        <is>
          <t>Protocolos ICMS 14/2006, 15/2006 e 14/2007</t>
        </is>
      </c>
      <c r="L169" s="29">
        <f>IF(D169="NCM/SH","",COUNTIF($D$5:$D$1506,D169))</f>
        <v/>
      </c>
    </row>
    <row r="170" ht="15.75" customHeight="1" thickBot="1">
      <c r="A170" s="50" t="inlineStr">
        <is>
          <t>03aBebid</t>
        </is>
      </c>
      <c r="B170" s="164" t="inlineStr">
        <is>
          <t>6.0</t>
        </is>
      </c>
      <c r="C170" s="35" t="inlineStr">
        <is>
          <t>02.006.00</t>
        </is>
      </c>
      <c r="D170" s="35" t="inlineStr">
        <is>
          <t>2208.20.00</t>
        </is>
      </c>
      <c r="E170" s="35" t="n">
        <v>29.04</v>
      </c>
      <c r="F170" s="35" t="n">
        <v>72.05</v>
      </c>
      <c r="G170" s="35" t="n">
        <v>66.68000000000001</v>
      </c>
      <c r="H170" s="35" t="n">
        <v>57.72</v>
      </c>
      <c r="I170" s="35" t="inlineStr">
        <is>
          <t>Conhaque, brandy e similares</t>
        </is>
      </c>
      <c r="J170" s="45" t="inlineStr">
        <is>
          <t>Protocolos ICMS 14/2006, 15/2006 e 14/2007</t>
        </is>
      </c>
      <c r="L170" s="29">
        <f>IF(D170="NCM/SH","",COUNTIF($D$5:$D$1506,D170))</f>
        <v/>
      </c>
    </row>
    <row r="171">
      <c r="A171" s="50" t="inlineStr">
        <is>
          <t>03aBebid</t>
        </is>
      </c>
      <c r="B171" s="163" t="inlineStr">
        <is>
          <t>7.0</t>
        </is>
      </c>
      <c r="C171" s="163" t="inlineStr">
        <is>
          <t>02.007.00</t>
        </is>
      </c>
      <c r="D171" s="37" t="inlineStr">
        <is>
          <t>2206.00.90</t>
        </is>
      </c>
      <c r="E171" s="163" t="n">
        <v>29.04</v>
      </c>
      <c r="F171" s="163" t="n">
        <v>72.05</v>
      </c>
      <c r="G171" s="163" t="n">
        <v>66.68000000000001</v>
      </c>
      <c r="H171" s="163" t="n">
        <v>57.72</v>
      </c>
      <c r="I171" s="163" t="inlineStr">
        <is>
          <t>Cooler</t>
        </is>
      </c>
      <c r="J171" s="45" t="inlineStr">
        <is>
          <t>Protocolos ICMS 14/2006, 15/2006 e 14/2007</t>
        </is>
      </c>
      <c r="L171" s="29">
        <f>IF(D171="NCM/SH","",COUNTIF($D$5:$D$1506,D171))</f>
        <v/>
      </c>
    </row>
    <row r="172" ht="15.75" customHeight="1" thickBot="1">
      <c r="A172" s="50" t="inlineStr">
        <is>
          <t>03aBebid</t>
        </is>
      </c>
      <c r="B172" s="164" t="n">
        <v>7</v>
      </c>
      <c r="C172" s="164" t="inlineStr">
        <is>
          <t>02.007.00</t>
        </is>
      </c>
      <c r="D172" s="35" t="inlineStr">
        <is>
          <t>2208.90.00</t>
        </is>
      </c>
      <c r="E172" s="164" t="n">
        <v>29.04</v>
      </c>
      <c r="F172" s="164" t="n">
        <v>72.05</v>
      </c>
      <c r="G172" s="164" t="n">
        <v>66.68000000000001</v>
      </c>
      <c r="H172" s="164" t="n">
        <v>57.72</v>
      </c>
      <c r="I172" s="164" t="inlineStr">
        <is>
          <t>Cooler</t>
        </is>
      </c>
      <c r="J172" s="45" t="inlineStr">
        <is>
          <t>Protocolos ICMS 14/2006, 15/2006 e 14/2007</t>
        </is>
      </c>
      <c r="L172" s="29">
        <f>IF(D172="NCM/SH","",COUNTIF($D$5:$D$1506,D172))</f>
        <v/>
      </c>
    </row>
    <row r="173" ht="15.75" customHeight="1" thickBot="1">
      <c r="A173" s="50" t="inlineStr">
        <is>
          <t>03aBebid</t>
        </is>
      </c>
      <c r="B173" s="164" t="inlineStr">
        <is>
          <t>8.0</t>
        </is>
      </c>
      <c r="C173" s="35" t="inlineStr">
        <is>
          <t>02.008.00</t>
        </is>
      </c>
      <c r="D173" s="35" t="inlineStr">
        <is>
          <t>2208.50.00</t>
        </is>
      </c>
      <c r="E173" s="35" t="n">
        <v>29.04</v>
      </c>
      <c r="F173" s="35" t="n">
        <v>72.05</v>
      </c>
      <c r="G173" s="35" t="n">
        <v>66.68000000000001</v>
      </c>
      <c r="H173" s="35" t="n">
        <v>57.72</v>
      </c>
      <c r="I173" s="35" t="inlineStr">
        <is>
          <t>Gim (gin) e genebra</t>
        </is>
      </c>
      <c r="J173" s="45" t="inlineStr">
        <is>
          <t>Protocolos ICMS 14/2006, 15/2006 e 14/2007</t>
        </is>
      </c>
      <c r="L173" s="29">
        <f>IF(D173="NCM/SH","",COUNTIF($D$5:$D$1506,D173))</f>
        <v/>
      </c>
    </row>
    <row r="174">
      <c r="A174" s="50" t="inlineStr">
        <is>
          <t>03aBebid</t>
        </is>
      </c>
      <c r="B174" s="163" t="inlineStr">
        <is>
          <t>9.0</t>
        </is>
      </c>
      <c r="C174" s="163" t="inlineStr">
        <is>
          <t>02.009.00</t>
        </is>
      </c>
      <c r="D174" s="37" t="n">
        <v>2205</v>
      </c>
      <c r="E174" s="163" t="n">
        <v>29.04</v>
      </c>
      <c r="F174" s="163" t="n">
        <v>72.05</v>
      </c>
      <c r="G174" s="163" t="n">
        <v>66.68000000000001</v>
      </c>
      <c r="H174" s="163" t="n">
        <v>57.72</v>
      </c>
      <c r="I174" s="163" t="inlineStr">
        <is>
          <t>Jurubeba e similares</t>
        </is>
      </c>
      <c r="J174" s="45" t="inlineStr">
        <is>
          <t>Protocolos ICMS 14/2006, 15/2006 e 14/2007</t>
        </is>
      </c>
      <c r="L174" s="29">
        <f>IF(D174="NCM/SH","",COUNTIF($D$5:$D$1506,D174))</f>
        <v/>
      </c>
    </row>
    <row r="175">
      <c r="A175" s="50" t="inlineStr">
        <is>
          <t>03aBebid</t>
        </is>
      </c>
      <c r="B175" s="44" t="n">
        <v>9</v>
      </c>
      <c r="C175" s="44" t="inlineStr">
        <is>
          <t>02.009.00</t>
        </is>
      </c>
      <c r="D175" s="37" t="inlineStr">
        <is>
          <t>2206.00.90</t>
        </is>
      </c>
      <c r="E175" s="44" t="n">
        <v>29.04</v>
      </c>
      <c r="F175" s="44" t="n">
        <v>72.05</v>
      </c>
      <c r="G175" s="44" t="n">
        <v>66.68000000000001</v>
      </c>
      <c r="H175" s="44" t="n">
        <v>57.72</v>
      </c>
      <c r="I175" s="44" t="inlineStr">
        <is>
          <t>Jurubeba e similares</t>
        </is>
      </c>
      <c r="J175" s="45" t="inlineStr">
        <is>
          <t>Protocolos ICMS 14/2006, 15/2006 e 14/2007</t>
        </is>
      </c>
      <c r="L175" s="29">
        <f>IF(D175="NCM/SH","",COUNTIF($D$5:$D$1506,D175))</f>
        <v/>
      </c>
    </row>
    <row r="176" ht="15.75" customHeight="1" thickBot="1">
      <c r="A176" s="50" t="inlineStr">
        <is>
          <t>03aBebid</t>
        </is>
      </c>
      <c r="B176" s="164" t="n">
        <v>9</v>
      </c>
      <c r="C176" s="164" t="inlineStr">
        <is>
          <t>02.009.00</t>
        </is>
      </c>
      <c r="D176" s="35" t="inlineStr">
        <is>
          <t>2208.90.00</t>
        </is>
      </c>
      <c r="E176" s="164" t="n">
        <v>29.04</v>
      </c>
      <c r="F176" s="164" t="n">
        <v>72.05</v>
      </c>
      <c r="G176" s="164" t="n">
        <v>66.68000000000001</v>
      </c>
      <c r="H176" s="164" t="n">
        <v>57.72</v>
      </c>
      <c r="I176" s="164" t="inlineStr">
        <is>
          <t>Jurubeba e similares</t>
        </is>
      </c>
      <c r="J176" s="45" t="inlineStr">
        <is>
          <t>Protocolos ICMS 14/2006, 15/2006 e 14/2007</t>
        </is>
      </c>
      <c r="L176" s="29">
        <f>IF(D176="NCM/SH","",COUNTIF($D$5:$D$1506,D176))</f>
        <v/>
      </c>
    </row>
    <row r="177" ht="15.75" customHeight="1" thickBot="1">
      <c r="A177" s="50" t="inlineStr">
        <is>
          <t>03aBebid</t>
        </is>
      </c>
      <c r="B177" s="164" t="inlineStr">
        <is>
          <t>10.0</t>
        </is>
      </c>
      <c r="C177" s="35" t="inlineStr">
        <is>
          <t>02.010.00</t>
        </is>
      </c>
      <c r="D177" s="35" t="inlineStr">
        <is>
          <t>2208.70.00</t>
        </is>
      </c>
      <c r="E177" s="35" t="n">
        <v>29.04</v>
      </c>
      <c r="F177" s="35" t="n">
        <v>72.05</v>
      </c>
      <c r="G177" s="35" t="n">
        <v>66.68000000000001</v>
      </c>
      <c r="H177" s="35" t="n">
        <v>57.72</v>
      </c>
      <c r="I177" s="35" t="inlineStr">
        <is>
          <t>Licores e similares</t>
        </is>
      </c>
      <c r="J177" s="45" t="inlineStr">
        <is>
          <t>Protocolos ICMS 14/2006, 15/2006 e 14/2007</t>
        </is>
      </c>
      <c r="L177" s="29">
        <f>IF(D177="NCM/SH","",COUNTIF($D$5:$D$1506,D177))</f>
        <v/>
      </c>
    </row>
    <row r="178" ht="15.75" customHeight="1" thickBot="1">
      <c r="A178" s="50" t="inlineStr">
        <is>
          <t>03aBebid</t>
        </is>
      </c>
      <c r="B178" s="164" t="inlineStr">
        <is>
          <t>11.0</t>
        </is>
      </c>
      <c r="C178" s="35" t="inlineStr">
        <is>
          <t>02.011.00</t>
        </is>
      </c>
      <c r="D178" s="35" t="inlineStr">
        <is>
          <t>2208.20.00</t>
        </is>
      </c>
      <c r="E178" s="35" t="n">
        <v>29.04</v>
      </c>
      <c r="F178" s="35" t="n">
        <v>72.05</v>
      </c>
      <c r="G178" s="35" t="n">
        <v>66.68000000000001</v>
      </c>
      <c r="H178" s="35" t="n">
        <v>57.72</v>
      </c>
      <c r="I178" s="35" t="inlineStr">
        <is>
          <t>Pisco</t>
        </is>
      </c>
      <c r="J178" s="45" t="inlineStr">
        <is>
          <t>Protocolos ICMS 14/2006, 15/2006 e 14/2007</t>
        </is>
      </c>
      <c r="L178" s="29">
        <f>IF(D178="NCM/SH","",COUNTIF($D$5:$D$1506,D178))</f>
        <v/>
      </c>
    </row>
    <row r="179" ht="15.75" customHeight="1" thickBot="1">
      <c r="A179" s="50" t="inlineStr">
        <is>
          <t>03aBebid</t>
        </is>
      </c>
      <c r="B179" s="164" t="inlineStr">
        <is>
          <t>12.0</t>
        </is>
      </c>
      <c r="C179" s="35" t="inlineStr">
        <is>
          <t>02.012.00</t>
        </is>
      </c>
      <c r="D179" s="35" t="inlineStr">
        <is>
          <t>2208.40.00</t>
        </is>
      </c>
      <c r="E179" s="35" t="n">
        <v>29.04</v>
      </c>
      <c r="F179" s="35" t="n">
        <v>72.05</v>
      </c>
      <c r="G179" s="35" t="n">
        <v>66.68000000000001</v>
      </c>
      <c r="H179" s="35" t="n">
        <v>57.72</v>
      </c>
      <c r="I179" s="35" t="inlineStr">
        <is>
          <t>Rum</t>
        </is>
      </c>
      <c r="J179" s="45" t="inlineStr">
        <is>
          <t>Protocolos ICMS 14/2006, 15/2006 e 14/2007</t>
        </is>
      </c>
      <c r="L179" s="29">
        <f>IF(D179="NCM/SH","",COUNTIF($D$5:$D$1506,D179))</f>
        <v/>
      </c>
    </row>
    <row r="180" ht="15.75" customHeight="1" thickBot="1">
      <c r="A180" s="50" t="inlineStr">
        <is>
          <t>03aBebid</t>
        </is>
      </c>
      <c r="B180" s="164" t="inlineStr">
        <is>
          <t>13.0</t>
        </is>
      </c>
      <c r="C180" s="35" t="inlineStr">
        <is>
          <t>02.013.00</t>
        </is>
      </c>
      <c r="D180" s="35" t="inlineStr">
        <is>
          <t>2206.00.90</t>
        </is>
      </c>
      <c r="E180" s="35" t="n">
        <v>29.04</v>
      </c>
      <c r="F180" s="35" t="n">
        <v>72.05</v>
      </c>
      <c r="G180" s="35" t="n">
        <v>66.68000000000001</v>
      </c>
      <c r="H180" s="35" t="n">
        <v>57.72</v>
      </c>
      <c r="I180" s="35" t="inlineStr">
        <is>
          <t>Saque</t>
        </is>
      </c>
      <c r="J180" s="45" t="inlineStr">
        <is>
          <t>Protocolos ICMS 14/2006, 15/2006 e 14/2007</t>
        </is>
      </c>
      <c r="L180" s="29">
        <f>IF(D180="NCM/SH","",COUNTIF($D$5:$D$1506,D180))</f>
        <v/>
      </c>
    </row>
    <row r="181" ht="15.75" customHeight="1" thickBot="1">
      <c r="A181" s="50" t="inlineStr">
        <is>
          <t>03aBebid</t>
        </is>
      </c>
      <c r="B181" s="164" t="inlineStr">
        <is>
          <t>14.0</t>
        </is>
      </c>
      <c r="C181" s="35" t="inlineStr">
        <is>
          <t>02.014.00</t>
        </is>
      </c>
      <c r="D181" s="35" t="inlineStr">
        <is>
          <t>2208.90.00</t>
        </is>
      </c>
      <c r="E181" s="35" t="n">
        <v>29.04</v>
      </c>
      <c r="F181" s="35" t="n">
        <v>72.05</v>
      </c>
      <c r="G181" s="35" t="n">
        <v>66.68000000000001</v>
      </c>
      <c r="H181" s="35" t="n">
        <v>57.72</v>
      </c>
      <c r="I181" s="35" t="inlineStr">
        <is>
          <t>Steinhaeger</t>
        </is>
      </c>
      <c r="J181" s="45" t="inlineStr">
        <is>
          <t>Protocolos ICMS 14/2006, 15/2006 e 14/2007</t>
        </is>
      </c>
      <c r="L181" s="29">
        <f>IF(D181="NCM/SH","",COUNTIF($D$5:$D$1506,D181))</f>
        <v/>
      </c>
    </row>
    <row r="182" ht="15.75" customHeight="1" thickBot="1">
      <c r="A182" s="50" t="inlineStr">
        <is>
          <t>03aBebid</t>
        </is>
      </c>
      <c r="B182" s="164" t="inlineStr">
        <is>
          <t>15.0</t>
        </is>
      </c>
      <c r="C182" s="35" t="inlineStr">
        <is>
          <t>02.015.00</t>
        </is>
      </c>
      <c r="D182" s="35" t="inlineStr">
        <is>
          <t>2208.90.00</t>
        </is>
      </c>
      <c r="E182" s="35" t="n">
        <v>29.04</v>
      </c>
      <c r="F182" s="35" t="n">
        <v>72.05</v>
      </c>
      <c r="G182" s="35" t="n">
        <v>66.68000000000001</v>
      </c>
      <c r="H182" s="35" t="n">
        <v>57.72</v>
      </c>
      <c r="I182" s="35" t="inlineStr">
        <is>
          <t>Tequila</t>
        </is>
      </c>
      <c r="J182" s="45" t="inlineStr">
        <is>
          <t>Protocolos ICMS 14/2006, 15/2006 e 14/2007</t>
        </is>
      </c>
      <c r="L182" s="29">
        <f>IF(D182="NCM/SH","",COUNTIF($D$5:$D$1506,D182))</f>
        <v/>
      </c>
    </row>
    <row r="183" ht="15.75" customHeight="1" thickBot="1">
      <c r="A183" s="50" t="inlineStr">
        <is>
          <t>03aBebid</t>
        </is>
      </c>
      <c r="B183" s="164" t="inlineStr">
        <is>
          <t>16.0</t>
        </is>
      </c>
      <c r="C183" s="35" t="inlineStr">
        <is>
          <t>02.016.00</t>
        </is>
      </c>
      <c r="D183" s="35" t="inlineStr">
        <is>
          <t>2208.30</t>
        </is>
      </c>
      <c r="E183" s="35" t="n">
        <v>29.04</v>
      </c>
      <c r="F183" s="35" t="n">
        <v>72.05</v>
      </c>
      <c r="G183" s="35" t="n">
        <v>66.68000000000001</v>
      </c>
      <c r="H183" s="35" t="n">
        <v>57.72</v>
      </c>
      <c r="I183" s="35" t="inlineStr">
        <is>
          <t>Uísque</t>
        </is>
      </c>
      <c r="J183" s="45" t="inlineStr">
        <is>
          <t>Protocolos ICMS 14/2006, 15/2006 e 14/2007</t>
        </is>
      </c>
      <c r="L183" s="29">
        <f>IF(D183="NCM/SH","",COUNTIF($D$5:$D$1506,D183))</f>
        <v/>
      </c>
    </row>
    <row r="184" ht="15.75" customHeight="1" thickBot="1">
      <c r="A184" s="50" t="inlineStr">
        <is>
          <t>03aBebid</t>
        </is>
      </c>
      <c r="B184" s="164" t="inlineStr">
        <is>
          <t>17.0</t>
        </is>
      </c>
      <c r="C184" s="35" t="inlineStr">
        <is>
          <t>02.017.00</t>
        </is>
      </c>
      <c r="D184" s="35" t="n">
        <v>2205</v>
      </c>
      <c r="E184" s="35" t="n">
        <v>29.04</v>
      </c>
      <c r="F184" s="35" t="n">
        <v>72.05</v>
      </c>
      <c r="G184" s="35" t="n">
        <v>66.68000000000001</v>
      </c>
      <c r="H184" s="35" t="n">
        <v>57.72</v>
      </c>
      <c r="I184" s="35" t="inlineStr">
        <is>
          <t>Vermute e similares</t>
        </is>
      </c>
      <c r="J184" s="45" t="inlineStr">
        <is>
          <t>Protocolos ICMS 14/2006, 15/2006 e 14/2007</t>
        </is>
      </c>
      <c r="L184" s="29">
        <f>IF(D184="NCM/SH","",COUNTIF($D$5:$D$1506,D184))</f>
        <v/>
      </c>
    </row>
    <row r="185" ht="15.75" customHeight="1" thickBot="1">
      <c r="A185" s="50" t="inlineStr">
        <is>
          <t>03aBebid</t>
        </is>
      </c>
      <c r="B185" s="164" t="inlineStr">
        <is>
          <t>18.0</t>
        </is>
      </c>
      <c r="C185" s="35" t="inlineStr">
        <is>
          <t>02.018.00</t>
        </is>
      </c>
      <c r="D185" s="35" t="inlineStr">
        <is>
          <t>2208.60.00</t>
        </is>
      </c>
      <c r="E185" s="35" t="n">
        <v>29.04</v>
      </c>
      <c r="F185" s="35" t="n">
        <v>72.05</v>
      </c>
      <c r="G185" s="35" t="n">
        <v>66.68000000000001</v>
      </c>
      <c r="H185" s="35" t="n">
        <v>57.72</v>
      </c>
      <c r="I185" s="35" t="inlineStr">
        <is>
          <t>Vodka</t>
        </is>
      </c>
      <c r="J185" s="45" t="inlineStr">
        <is>
          <t>Protocolos ICMS 14/2006, 15/2006 e 14/2007</t>
        </is>
      </c>
      <c r="L185" s="29">
        <f>IF(D185="NCM/SH","",COUNTIF($D$5:$D$1506,D185))</f>
        <v/>
      </c>
    </row>
    <row r="186" ht="15.75" customHeight="1" thickBot="1">
      <c r="A186" s="50" t="inlineStr">
        <is>
          <t>03aBebid</t>
        </is>
      </c>
      <c r="B186" s="164" t="inlineStr">
        <is>
          <t>19.0</t>
        </is>
      </c>
      <c r="C186" s="35" t="inlineStr">
        <is>
          <t>02.019.00</t>
        </is>
      </c>
      <c r="D186" s="35" t="inlineStr">
        <is>
          <t>2208.90.00</t>
        </is>
      </c>
      <c r="E186" s="35" t="n">
        <v>29.04</v>
      </c>
      <c r="F186" s="35" t="n">
        <v>72.05</v>
      </c>
      <c r="G186" s="35" t="n">
        <v>66.68000000000001</v>
      </c>
      <c r="H186" s="35" t="n">
        <v>57.72</v>
      </c>
      <c r="I186" s="35" t="inlineStr">
        <is>
          <t>Derivados de vodka</t>
        </is>
      </c>
      <c r="J186" s="45" t="inlineStr">
        <is>
          <t>Protocolos ICMS 14/2006, 15/2006 e 14/2007</t>
        </is>
      </c>
      <c r="L186" s="29">
        <f>IF(D186="NCM/SH","",COUNTIF($D$5:$D$1506,D186))</f>
        <v/>
      </c>
    </row>
    <row r="187" ht="15.75" customHeight="1" thickBot="1">
      <c r="A187" s="50" t="inlineStr">
        <is>
          <t>03aBebid</t>
        </is>
      </c>
      <c r="B187" s="164" t="inlineStr">
        <is>
          <t>20.0</t>
        </is>
      </c>
      <c r="C187" s="35" t="inlineStr">
        <is>
          <t>02.020.00</t>
        </is>
      </c>
      <c r="D187" s="35" t="inlineStr">
        <is>
          <t>2208.90.00</t>
        </is>
      </c>
      <c r="E187" s="35" t="n">
        <v>29.04</v>
      </c>
      <c r="F187" s="35" t="n">
        <v>72.05</v>
      </c>
      <c r="G187" s="35" t="n">
        <v>66.68000000000001</v>
      </c>
      <c r="H187" s="35" t="n">
        <v>57.72</v>
      </c>
      <c r="I187" s="35" t="inlineStr">
        <is>
          <t>Arak</t>
        </is>
      </c>
      <c r="J187" s="45" t="inlineStr">
        <is>
          <t>Protocolos ICMS 14/2006, 15/2006 e 14/2007</t>
        </is>
      </c>
      <c r="L187" s="29">
        <f>IF(D187="NCM/SH","",COUNTIF($D$5:$D$1506,D187))</f>
        <v/>
      </c>
    </row>
    <row r="188" ht="15.75" customHeight="1" thickBot="1">
      <c r="A188" s="50" t="inlineStr">
        <is>
          <t>03aBebid</t>
        </is>
      </c>
      <c r="B188" s="164" t="inlineStr">
        <is>
          <t>21.0</t>
        </is>
      </c>
      <c r="C188" s="35" t="inlineStr">
        <is>
          <t>02.021.00</t>
        </is>
      </c>
      <c r="D188" s="35" t="inlineStr">
        <is>
          <t>2208.20.00</t>
        </is>
      </c>
      <c r="E188" s="35" t="n">
        <v>29.04</v>
      </c>
      <c r="F188" s="35" t="n">
        <v>72.05</v>
      </c>
      <c r="G188" s="35" t="n">
        <v>66.68000000000001</v>
      </c>
      <c r="H188" s="35" t="n">
        <v>57.72</v>
      </c>
      <c r="I188" s="35" t="inlineStr">
        <is>
          <t>Aguardente vínica / grappa</t>
        </is>
      </c>
      <c r="J188" s="45" t="inlineStr">
        <is>
          <t>Protocolos ICMS 14/2006, 15/2006 e 14/2007</t>
        </is>
      </c>
      <c r="L188" s="29">
        <f>IF(D188="NCM/SH","",COUNTIF($D$5:$D$1506,D188))</f>
        <v/>
      </c>
    </row>
    <row r="189" ht="15.75" customHeight="1" thickBot="1">
      <c r="A189" s="50" t="inlineStr">
        <is>
          <t>03aBebid</t>
        </is>
      </c>
      <c r="B189" s="164" t="inlineStr">
        <is>
          <t>22.0</t>
        </is>
      </c>
      <c r="C189" s="35" t="inlineStr">
        <is>
          <t>02.022.00</t>
        </is>
      </c>
      <c r="D189" s="35" t="inlineStr">
        <is>
          <t>2206.00.10</t>
        </is>
      </c>
      <c r="E189" s="35" t="n">
        <v>29.04</v>
      </c>
      <c r="F189" s="35" t="n">
        <v>72.05</v>
      </c>
      <c r="G189" s="35" t="n">
        <v>66.68000000000001</v>
      </c>
      <c r="H189" s="35" t="n">
        <v>57.72</v>
      </c>
      <c r="I189" s="35" t="inlineStr">
        <is>
          <t>Sidra e similares</t>
        </is>
      </c>
      <c r="J189" s="45" t="inlineStr">
        <is>
          <t>Protocolos ICMS 14/2006, 15/2006 e 14/2007</t>
        </is>
      </c>
      <c r="L189" s="29">
        <f>IF(D189="NCM/SH","",COUNTIF($D$5:$D$1506,D189))</f>
        <v/>
      </c>
    </row>
    <row r="190">
      <c r="A190" s="50" t="inlineStr">
        <is>
          <t>03aBebid</t>
        </is>
      </c>
      <c r="B190" s="163" t="inlineStr">
        <is>
          <t>23.0</t>
        </is>
      </c>
      <c r="C190" s="163" t="inlineStr">
        <is>
          <t>02.023.00</t>
        </is>
      </c>
      <c r="D190" s="37" t="n">
        <v>2205</v>
      </c>
      <c r="E190" s="163" t="n">
        <v>29.04</v>
      </c>
      <c r="F190" s="163" t="n">
        <v>72.05</v>
      </c>
      <c r="G190" s="163" t="n">
        <v>66.68000000000001</v>
      </c>
      <c r="H190" s="163" t="n">
        <v>57.72</v>
      </c>
      <c r="I190" s="163" t="inlineStr">
        <is>
          <t>Sangrias e coquetéis</t>
        </is>
      </c>
      <c r="J190" s="45" t="inlineStr">
        <is>
          <t>Protocolos ICMS 14/2006, 15/2006 e 14/2007</t>
        </is>
      </c>
      <c r="L190" s="29">
        <f>IF(D190="NCM/SH","",COUNTIF($D$5:$D$1506,D190))</f>
        <v/>
      </c>
    </row>
    <row r="191">
      <c r="A191" s="50" t="inlineStr">
        <is>
          <t>03aBebid</t>
        </is>
      </c>
      <c r="B191" s="44" t="n">
        <v>23</v>
      </c>
      <c r="C191" s="44" t="inlineStr">
        <is>
          <t>02.023.00</t>
        </is>
      </c>
      <c r="D191" s="37" t="inlineStr">
        <is>
          <t>2206.00.90</t>
        </is>
      </c>
      <c r="E191" s="44" t="n">
        <v>29.04</v>
      </c>
      <c r="F191" s="44" t="n">
        <v>72.05</v>
      </c>
      <c r="G191" s="44" t="n">
        <v>66.68000000000001</v>
      </c>
      <c r="H191" s="44" t="n">
        <v>57.72</v>
      </c>
      <c r="I191" s="44" t="inlineStr">
        <is>
          <t>Sangrias e coquetéis</t>
        </is>
      </c>
      <c r="J191" s="45" t="inlineStr">
        <is>
          <t>Protocolos ICMS 14/2006, 15/2006 e 14/2007</t>
        </is>
      </c>
      <c r="L191" s="29">
        <f>IF(D191="NCM/SH","",COUNTIF($D$5:$D$1506,D191))</f>
        <v/>
      </c>
    </row>
    <row r="192" ht="15.75" customHeight="1" thickBot="1">
      <c r="A192" s="50" t="inlineStr">
        <is>
          <t>03aBebid</t>
        </is>
      </c>
      <c r="B192" s="164" t="n">
        <v>23</v>
      </c>
      <c r="C192" s="164" t="inlineStr">
        <is>
          <t>02.023.00</t>
        </is>
      </c>
      <c r="D192" s="35" t="inlineStr">
        <is>
          <t>2208.90.00</t>
        </is>
      </c>
      <c r="E192" s="164" t="n">
        <v>29.04</v>
      </c>
      <c r="F192" s="164" t="n">
        <v>72.05</v>
      </c>
      <c r="G192" s="164" t="n">
        <v>66.68000000000001</v>
      </c>
      <c r="H192" s="164" t="n">
        <v>57.72</v>
      </c>
      <c r="I192" s="164" t="inlineStr">
        <is>
          <t>Sangrias e coquetéis</t>
        </is>
      </c>
      <c r="J192" s="46" t="inlineStr">
        <is>
          <t>Protocolos ICMS 14/2006, 15/2006 e 14/2007</t>
        </is>
      </c>
      <c r="L192" s="29">
        <f>IF(D192="NCM/SH","",COUNTIF($D$5:$D$1506,D192))</f>
        <v/>
      </c>
    </row>
    <row r="193" ht="15.75" customHeight="1" thickBot="1">
      <c r="A193" s="50" t="inlineStr">
        <is>
          <t>03aBebid</t>
        </is>
      </c>
      <c r="B193" s="164" t="inlineStr">
        <is>
          <t>24.0</t>
        </is>
      </c>
      <c r="C193" s="35" t="inlineStr">
        <is>
          <t>02.024.00</t>
        </is>
      </c>
      <c r="D193" s="35" t="n">
        <v>2204</v>
      </c>
      <c r="E193" s="35" t="n">
        <v>29.04</v>
      </c>
      <c r="F193" s="35" t="n">
        <v>72.05</v>
      </c>
      <c r="G193" s="35" t="n">
        <v>66.68000000000001</v>
      </c>
      <c r="H193" s="35" t="n">
        <v>57.72</v>
      </c>
      <c r="I193" s="35" t="inlineStr">
        <is>
          <t>Vinhos de uvas frescas, incluindo os vinhos enriquecidos com álcool; mostos de uvas.</t>
        </is>
      </c>
      <c r="J193" s="52" t="inlineStr">
        <is>
          <t>Protocolos ICMS 14/2006, 15/2006 *(Redação dada pelo Decreto nº 16.458/2024. Efeitos a partir de 20.06.2024)</t>
        </is>
      </c>
      <c r="L193" s="29">
        <f>IF(D193="NCM/SH","",COUNTIF($D$5:$D$1506,D193))</f>
        <v/>
      </c>
    </row>
    <row r="194" ht="15.75" customHeight="1" thickBot="1">
      <c r="A194" s="50" t="inlineStr">
        <is>
          <t>03aBebid</t>
        </is>
      </c>
      <c r="B194" s="163" t="inlineStr">
        <is>
          <t>999.0</t>
        </is>
      </c>
      <c r="C194" s="163" t="inlineStr">
        <is>
          <t>02.999.00</t>
        </is>
      </c>
      <c r="D194" s="37" t="n">
        <v>2205</v>
      </c>
      <c r="E194" s="163" t="n">
        <v>29.04</v>
      </c>
      <c r="F194" s="163" t="n">
        <v>72.05</v>
      </c>
      <c r="G194" s="163" t="n">
        <v>66.68000000000001</v>
      </c>
      <c r="H194" s="163" t="n">
        <v>57.72</v>
      </c>
      <c r="I194" s="42" t="inlineStr">
        <is>
          <t>Outras bebidas alcoólicas não especificadas nos itens anteriores</t>
        </is>
      </c>
      <c r="J194" s="42" t="inlineStr">
        <is>
          <t>Protocolos ICMS 14/2006, 15/2006 e 14/2007</t>
        </is>
      </c>
      <c r="K194" s="43" t="inlineStr">
        <is>
          <t>(Item 999.0: renumerado de item 25.0 para item 999.0 e nova redação dados pelo Decreto nº 14.645/2016. Efeitos a partir de 1º.01.2017.)</t>
        </is>
      </c>
      <c r="L194" s="29">
        <f>IF(D194="NCM/SH","",COUNTIF($D$5:$D$1506,D194))</f>
        <v/>
      </c>
    </row>
    <row r="195">
      <c r="A195" s="50" t="inlineStr">
        <is>
          <t>03aBebid</t>
        </is>
      </c>
      <c r="B195" s="44" t="n">
        <v>999</v>
      </c>
      <c r="C195" s="44" t="inlineStr">
        <is>
          <t>02.999.00</t>
        </is>
      </c>
      <c r="D195" s="37" t="n">
        <v>2206</v>
      </c>
      <c r="E195" s="44" t="n">
        <v>29.04</v>
      </c>
      <c r="F195" s="44" t="n">
        <v>72.05</v>
      </c>
      <c r="G195" s="44" t="n">
        <v>66.68000000000001</v>
      </c>
      <c r="H195" s="44" t="n">
        <v>57.72</v>
      </c>
      <c r="I195" s="45" t="inlineStr">
        <is>
          <t>Outras bebidas alcoólicas não especificadas nos itens anteriores</t>
        </is>
      </c>
      <c r="J195" s="45" t="inlineStr">
        <is>
          <t>Protocolos ICMS 14/2006, 15/2006 e 14/2007</t>
        </is>
      </c>
      <c r="L195" s="29">
        <f>IF(D195="NCM/SH","",COUNTIF($D$5:$D$1506,D195))</f>
        <v/>
      </c>
    </row>
    <row r="196">
      <c r="A196" s="50" t="inlineStr">
        <is>
          <t>03aBebid</t>
        </is>
      </c>
      <c r="B196" s="44" t="n">
        <v>999</v>
      </c>
      <c r="C196" s="44" t="inlineStr">
        <is>
          <t>02.999.00</t>
        </is>
      </c>
      <c r="D196" s="37" t="n">
        <v>2207</v>
      </c>
      <c r="E196" s="44" t="n">
        <v>29.04</v>
      </c>
      <c r="F196" s="44" t="n">
        <v>72.05</v>
      </c>
      <c r="G196" s="44" t="n">
        <v>66.68000000000001</v>
      </c>
      <c r="H196" s="44" t="n">
        <v>57.72</v>
      </c>
      <c r="I196" s="45" t="inlineStr">
        <is>
          <t>Outras bebidas alcoólicas não especificadas nos itens anteriores</t>
        </is>
      </c>
      <c r="J196" s="45" t="inlineStr">
        <is>
          <t>Protocolos ICMS 14/2006, 15/2006 e 14/2007</t>
        </is>
      </c>
      <c r="L196" s="29">
        <f>IF(D196="NCM/SH","",COUNTIF($D$5:$D$1506,D196))</f>
        <v/>
      </c>
    </row>
    <row r="197" ht="15.75" customHeight="1" thickBot="1">
      <c r="A197" s="50" t="inlineStr">
        <is>
          <t>03aBebid</t>
        </is>
      </c>
      <c r="B197" s="164" t="n">
        <v>999</v>
      </c>
      <c r="C197" s="164" t="inlineStr">
        <is>
          <t>02.999.00</t>
        </is>
      </c>
      <c r="D197" s="35" t="n">
        <v>2208</v>
      </c>
      <c r="E197" s="164" t="n">
        <v>29.04</v>
      </c>
      <c r="F197" s="164" t="n">
        <v>72.05</v>
      </c>
      <c r="G197" s="164" t="n">
        <v>66.68000000000001</v>
      </c>
      <c r="H197" s="164" t="n">
        <v>57.72</v>
      </c>
      <c r="I197" s="46" t="inlineStr">
        <is>
          <t>Outras bebidas alcoólicas não especificadas nos itens anteriores</t>
        </is>
      </c>
      <c r="J197" s="46" t="inlineStr">
        <is>
          <t>Protocolos ICMS 14/2006, 15/2006 e 14/2007</t>
        </is>
      </c>
      <c r="L197" s="29">
        <f>IF(D197="NCM/SH","",COUNTIF($D$5:$D$1506,D197))</f>
        <v/>
      </c>
    </row>
    <row r="198" ht="15.75" customHeight="1" thickBot="1">
      <c r="A198" s="50" t="inlineStr">
        <is>
          <t>03aBebid</t>
        </is>
      </c>
      <c r="B198" s="1" t="n">
        <v>999</v>
      </c>
      <c r="C198" s="53" t="inlineStr">
        <is>
          <t>02.999.00</t>
        </is>
      </c>
      <c r="D198" s="53" t="n">
        <v>2208</v>
      </c>
      <c r="E198" s="53" t="n">
        <v>29.04</v>
      </c>
      <c r="F198" s="53" t="n">
        <v>72.05</v>
      </c>
      <c r="G198" s="53" t="n">
        <v>66.68000000000001</v>
      </c>
      <c r="H198" s="53" t="n">
        <v>57.72</v>
      </c>
      <c r="I198" s="54" t="inlineStr">
        <is>
          <t>Outras bebidas alcoólicas não especificadas nos itens anteriores</t>
        </is>
      </c>
      <c r="J198" s="48" t="inlineStr">
        <is>
          <t>Protocolos ICMS 14/2006, 15/2006 e 14/2007</t>
        </is>
      </c>
      <c r="L198" s="29">
        <f>IF(D198="NCM/SH","",COUNTIF($D$5:$D$1506,D198))</f>
        <v/>
      </c>
    </row>
    <row r="199">
      <c r="B199" s="31" t="n"/>
      <c r="L199" s="29">
        <f>IF(D199="NCM/SH","",COUNTIF($D$5:$D$1506,D199))</f>
        <v/>
      </c>
    </row>
    <row r="200">
      <c r="B200" s="31" t="n"/>
      <c r="L200" s="29">
        <f>IF(D200="NCM/SH","",COUNTIF($D$5:$D$1506,D200))</f>
        <v/>
      </c>
    </row>
    <row r="201" ht="15.75" customHeight="1" thickBot="1">
      <c r="A201" s="1" t="inlineStr">
        <is>
          <t>03bBebid</t>
        </is>
      </c>
      <c r="B201" s="28" t="inlineStr">
        <is>
          <t>Tabela III-B</t>
        </is>
      </c>
      <c r="C201" s="1" t="inlineStr">
        <is>
          <t>BEBIDAS ALCOÓLICAS, EXCETO CERVEJA E CHOPE</t>
        </is>
      </c>
      <c r="F201" s="55" t="inlineStr">
        <is>
          <t>(UFs não signatárias do Protocolo ICMS 14/2006, 15/2006 e 14/2007)</t>
        </is>
      </c>
      <c r="L201" s="29">
        <f>IF(D201="NCM/SH","",COUNTIF($D$5:$D$1506,D201))</f>
        <v/>
      </c>
    </row>
    <row r="202" ht="15" customHeight="1" thickBot="1">
      <c r="A202" s="1" t="inlineStr">
        <is>
          <t>03bBebid</t>
        </is>
      </c>
      <c r="B202" s="163" t="inlineStr">
        <is>
          <t>ITEM</t>
        </is>
      </c>
      <c r="C202" s="163" t="inlineStr">
        <is>
          <t>CEST</t>
        </is>
      </c>
      <c r="D202" s="163" t="inlineStr">
        <is>
          <t>NCM/SH</t>
        </is>
      </c>
      <c r="E202" s="165" t="inlineStr">
        <is>
          <t>MARGEM DE VALOR AGREGADO</t>
        </is>
      </c>
      <c r="F202" s="165" t="inlineStr">
        <is>
          <t>MARGEM DE VALOR AGREGADO</t>
        </is>
      </c>
      <c r="G202" s="165" t="inlineStr">
        <is>
          <t>MARGEM DE VALOR AGREGADO</t>
        </is>
      </c>
      <c r="H202" s="165" t="inlineStr">
        <is>
          <t>MARGEM DE VALOR AGREGADO</t>
        </is>
      </c>
      <c r="I202" s="163" t="inlineStr">
        <is>
          <t xml:space="preserve">DESCRIÇÃO </t>
        </is>
      </c>
      <c r="J202" s="163" t="inlineStr">
        <is>
          <t>DISPOSITIVO LEGAL</t>
        </is>
      </c>
      <c r="L202" s="29">
        <f>IF(D202="NCM/SH","",COUNTIF($D$5:$D$1506,D202))</f>
        <v/>
      </c>
    </row>
    <row r="203" ht="15.75" customHeight="1" thickBot="1">
      <c r="A203" s="1" t="inlineStr">
        <is>
          <t>03bBebid</t>
        </is>
      </c>
      <c r="B203" s="164" t="inlineStr">
        <is>
          <t>ITEM</t>
        </is>
      </c>
      <c r="C203" s="164" t="inlineStr">
        <is>
          <t>CEST</t>
        </is>
      </c>
      <c r="D203" s="164" t="inlineStr">
        <is>
          <t>NCM/SH</t>
        </is>
      </c>
      <c r="E203" s="35" t="inlineStr">
        <is>
          <t>Oper. interna</t>
        </is>
      </c>
      <c r="F203" s="167" t="inlineStr">
        <is>
          <t>Alíq. 4%</t>
        </is>
      </c>
      <c r="G203" s="167" t="inlineStr">
        <is>
          <t>Alíq. 7%</t>
        </is>
      </c>
      <c r="H203" s="167" t="inlineStr">
        <is>
          <t>Alíq. 12%</t>
        </is>
      </c>
      <c r="I203" s="164" t="inlineStr">
        <is>
          <t xml:space="preserve">DESCRIÇÃO </t>
        </is>
      </c>
      <c r="J203" s="164" t="inlineStr">
        <is>
          <t>DISPOSITIVO LEGAL</t>
        </is>
      </c>
      <c r="L203" s="29">
        <f>IF(D203="NCM/SH","",COUNTIF($D$5:$D$1506,D203))</f>
        <v/>
      </c>
    </row>
    <row r="204" ht="14.45" customHeight="1">
      <c r="A204" s="1" t="inlineStr">
        <is>
          <t>03bBebid</t>
        </is>
      </c>
      <c r="B204" s="163" t="inlineStr">
        <is>
          <t>1.0</t>
        </is>
      </c>
      <c r="C204" s="163" t="inlineStr">
        <is>
          <t>02.001.00</t>
        </is>
      </c>
      <c r="D204" s="37" t="n">
        <v>2205</v>
      </c>
      <c r="E204" s="163" t="n">
        <v>29.04</v>
      </c>
      <c r="F204" s="163" t="n">
        <v>86.88</v>
      </c>
      <c r="G204" s="163" t="n">
        <v>80</v>
      </c>
      <c r="H204" s="163" t="n">
        <v>68.5</v>
      </c>
      <c r="I204" s="163" t="inlineStr">
        <is>
          <t>Aperitivos, amargos, bitter e similares</t>
        </is>
      </c>
      <c r="J204" s="163" t="inlineStr">
        <is>
          <t>Protocolos ICMS 14/2006, 15/2006 e 14/2007</t>
        </is>
      </c>
      <c r="L204" s="29">
        <f>IF(D204="NCM/SH","",COUNTIF($D$5:$D$1506,D204))</f>
        <v/>
      </c>
    </row>
    <row r="205" ht="15.75" customHeight="1" thickBot="1">
      <c r="A205" s="1" t="inlineStr">
        <is>
          <t>03bBebid</t>
        </is>
      </c>
      <c r="B205" s="164" t="n">
        <v>1</v>
      </c>
      <c r="C205" s="164" t="inlineStr">
        <is>
          <t>02.001.00</t>
        </is>
      </c>
      <c r="D205" s="35" t="inlineStr">
        <is>
          <t>2208.90.00</t>
        </is>
      </c>
      <c r="E205" s="164" t="n">
        <v>29.04</v>
      </c>
      <c r="F205" s="164" t="n">
        <v>86.88</v>
      </c>
      <c r="G205" s="164" t="n">
        <v>80</v>
      </c>
      <c r="H205" s="164" t="n">
        <v>68.5</v>
      </c>
      <c r="I205" s="164" t="inlineStr">
        <is>
          <t>Aperitivos, amargos, bitter e similares</t>
        </is>
      </c>
      <c r="J205" s="44" t="inlineStr">
        <is>
          <t>Protocolos ICMS 14/2006, 15/2006 e 14/2007</t>
        </is>
      </c>
      <c r="L205" s="29">
        <f>IF(D205="NCM/SH","",COUNTIF($D$5:$D$1506,D205))</f>
        <v/>
      </c>
    </row>
    <row r="206" ht="15.75" customHeight="1" thickBot="1">
      <c r="A206" s="1" t="inlineStr">
        <is>
          <t>03bBebid</t>
        </is>
      </c>
      <c r="B206" s="164" t="inlineStr">
        <is>
          <t>2.0</t>
        </is>
      </c>
      <c r="C206" s="35" t="inlineStr">
        <is>
          <t>02.002.00</t>
        </is>
      </c>
      <c r="D206" s="35" t="inlineStr">
        <is>
          <t>2208.90.00</t>
        </is>
      </c>
      <c r="E206" s="35" t="n">
        <v>29.04</v>
      </c>
      <c r="F206" s="35" t="n">
        <v>86.88</v>
      </c>
      <c r="G206" s="35" t="n">
        <v>80</v>
      </c>
      <c r="H206" s="35" t="n">
        <v>68.5</v>
      </c>
      <c r="I206" s="35" t="inlineStr">
        <is>
          <t>Batida e similares</t>
        </is>
      </c>
      <c r="J206" s="44" t="inlineStr">
        <is>
          <t>Protocolos ICMS 14/2006, 15/2006 e 14/2007</t>
        </is>
      </c>
      <c r="L206" s="29">
        <f>IF(D206="NCM/SH","",COUNTIF($D$5:$D$1506,D206))</f>
        <v/>
      </c>
    </row>
    <row r="207" ht="15.75" customHeight="1" thickBot="1">
      <c r="A207" s="1" t="inlineStr">
        <is>
          <t>03bBebid</t>
        </is>
      </c>
      <c r="B207" s="164" t="inlineStr">
        <is>
          <t>3.0</t>
        </is>
      </c>
      <c r="C207" s="35" t="inlineStr">
        <is>
          <t>02.003.00</t>
        </is>
      </c>
      <c r="D207" s="35" t="inlineStr">
        <is>
          <t>2208.90.00</t>
        </is>
      </c>
      <c r="E207" s="35" t="n">
        <v>29.04</v>
      </c>
      <c r="F207" s="35" t="n">
        <v>86.88</v>
      </c>
      <c r="G207" s="35" t="n">
        <v>80</v>
      </c>
      <c r="H207" s="35" t="n">
        <v>68.5</v>
      </c>
      <c r="I207" s="35" t="inlineStr">
        <is>
          <t>Bebida ice</t>
        </is>
      </c>
      <c r="J207" s="44" t="inlineStr">
        <is>
          <t>Protocolos ICMS 14/2006, 15/2006 e 14/2007</t>
        </is>
      </c>
      <c r="L207" s="29">
        <f>IF(D207="NCM/SH","",COUNTIF($D$5:$D$1506,D207))</f>
        <v/>
      </c>
    </row>
    <row r="208">
      <c r="A208" s="1" t="inlineStr">
        <is>
          <t>03bBebid</t>
        </is>
      </c>
      <c r="B208" s="163" t="inlineStr">
        <is>
          <t>4.0</t>
        </is>
      </c>
      <c r="C208" s="163" t="inlineStr">
        <is>
          <t>02.004.00</t>
        </is>
      </c>
      <c r="D208" s="37" t="inlineStr">
        <is>
          <t>2207.20</t>
        </is>
      </c>
      <c r="E208" s="163" t="n">
        <v>29.04</v>
      </c>
      <c r="F208" s="163" t="n">
        <v>86.88</v>
      </c>
      <c r="G208" s="163" t="n">
        <v>80</v>
      </c>
      <c r="H208" s="163" t="n">
        <v>68.5</v>
      </c>
      <c r="I208" s="163" t="inlineStr">
        <is>
          <t>Cachaça e aguardentes</t>
        </is>
      </c>
      <c r="J208" s="44" t="inlineStr">
        <is>
          <t>Protocolos ICMS 14/2006, 15/2006 e 14/2007</t>
        </is>
      </c>
      <c r="L208" s="29">
        <f>IF(D208="NCM/SH","",COUNTIF($D$5:$D$1506,D208))</f>
        <v/>
      </c>
    </row>
    <row r="209" ht="15.75" customHeight="1" thickBot="1">
      <c r="A209" s="1" t="inlineStr">
        <is>
          <t>03bBebid</t>
        </is>
      </c>
      <c r="B209" s="164" t="n">
        <v>4</v>
      </c>
      <c r="C209" s="164" t="inlineStr">
        <is>
          <t>02.004.00</t>
        </is>
      </c>
      <c r="D209" s="35" t="inlineStr">
        <is>
          <t>2208.40.00</t>
        </is>
      </c>
      <c r="E209" s="164" t="n">
        <v>29.04</v>
      </c>
      <c r="F209" s="164" t="n">
        <v>86.88</v>
      </c>
      <c r="G209" s="164" t="n">
        <v>80</v>
      </c>
      <c r="H209" s="164" t="n">
        <v>68.5</v>
      </c>
      <c r="I209" s="164" t="inlineStr">
        <is>
          <t>Cachaça e aguardentes</t>
        </is>
      </c>
      <c r="J209" s="44" t="inlineStr">
        <is>
          <t>Protocolos ICMS 14/2006, 15/2006 e 14/2007</t>
        </is>
      </c>
      <c r="L209" s="29">
        <f>IF(D209="NCM/SH","",COUNTIF($D$5:$D$1506,D209))</f>
        <v/>
      </c>
    </row>
    <row r="210">
      <c r="A210" s="1" t="inlineStr">
        <is>
          <t>03bBebid</t>
        </is>
      </c>
      <c r="B210" s="163" t="inlineStr">
        <is>
          <t>5.0</t>
        </is>
      </c>
      <c r="C210" s="163" t="inlineStr">
        <is>
          <t>02.005.00</t>
        </is>
      </c>
      <c r="D210" s="37" t="n">
        <v>2205</v>
      </c>
      <c r="E210" s="163" t="n">
        <v>29.04</v>
      </c>
      <c r="F210" s="163" t="n">
        <v>86.88</v>
      </c>
      <c r="G210" s="163" t="n">
        <v>80</v>
      </c>
      <c r="H210" s="163" t="n">
        <v>68.5</v>
      </c>
      <c r="I210" s="163" t="inlineStr">
        <is>
          <t>Catuaba e similares</t>
        </is>
      </c>
      <c r="J210" s="44" t="inlineStr">
        <is>
          <t>Protocolos ICMS 14/2006, 15/2006 e 14/2007</t>
        </is>
      </c>
      <c r="L210" s="29">
        <f>IF(D210="NCM/SH","",COUNTIF($D$5:$D$1506,D210))</f>
        <v/>
      </c>
    </row>
    <row r="211">
      <c r="A211" s="1" t="inlineStr">
        <is>
          <t>03bBebid</t>
        </is>
      </c>
      <c r="B211" s="44" t="n">
        <v>5</v>
      </c>
      <c r="C211" s="44" t="inlineStr">
        <is>
          <t>02.005.00</t>
        </is>
      </c>
      <c r="D211" s="37" t="inlineStr">
        <is>
          <t>2206.00.90</t>
        </is>
      </c>
      <c r="E211" s="44" t="n">
        <v>29.04</v>
      </c>
      <c r="F211" s="44" t="n">
        <v>86.88</v>
      </c>
      <c r="G211" s="44" t="n">
        <v>80</v>
      </c>
      <c r="H211" s="44" t="n">
        <v>68.5</v>
      </c>
      <c r="I211" s="44" t="inlineStr">
        <is>
          <t>Catuaba e similares</t>
        </is>
      </c>
      <c r="J211" s="44" t="inlineStr">
        <is>
          <t>Protocolos ICMS 14/2006, 15/2006 e 14/2007</t>
        </is>
      </c>
      <c r="L211" s="29">
        <f>IF(D211="NCM/SH","",COUNTIF($D$5:$D$1506,D211))</f>
        <v/>
      </c>
    </row>
    <row r="212" ht="15.75" customHeight="1" thickBot="1">
      <c r="A212" s="1" t="inlineStr">
        <is>
          <t>03bBebid</t>
        </is>
      </c>
      <c r="B212" s="164" t="n">
        <v>5</v>
      </c>
      <c r="C212" s="164" t="inlineStr">
        <is>
          <t>02.005.00</t>
        </is>
      </c>
      <c r="D212" s="35" t="inlineStr">
        <is>
          <t>2208.90.00</t>
        </is>
      </c>
      <c r="E212" s="164" t="n">
        <v>29.04</v>
      </c>
      <c r="F212" s="164" t="n">
        <v>86.88</v>
      </c>
      <c r="G212" s="164" t="n">
        <v>80</v>
      </c>
      <c r="H212" s="164" t="n">
        <v>68.5</v>
      </c>
      <c r="I212" s="164" t="inlineStr">
        <is>
          <t>Catuaba e similares</t>
        </is>
      </c>
      <c r="J212" s="44" t="inlineStr">
        <is>
          <t>Protocolos ICMS 14/2006, 15/2006 e 14/2007</t>
        </is>
      </c>
      <c r="L212" s="29">
        <f>IF(D212="NCM/SH","",COUNTIF($D$5:$D$1506,D212))</f>
        <v/>
      </c>
    </row>
    <row r="213" ht="15.75" customHeight="1" thickBot="1">
      <c r="A213" s="1" t="inlineStr">
        <is>
          <t>03bBebid</t>
        </is>
      </c>
      <c r="B213" s="164" t="inlineStr">
        <is>
          <t>6.0</t>
        </is>
      </c>
      <c r="C213" s="35" t="inlineStr">
        <is>
          <t>02.006.00</t>
        </is>
      </c>
      <c r="D213" s="35" t="inlineStr">
        <is>
          <t>2208.20.00</t>
        </is>
      </c>
      <c r="E213" s="35" t="n">
        <v>29.04</v>
      </c>
      <c r="F213" s="35" t="n">
        <v>86.88</v>
      </c>
      <c r="G213" s="35" t="n">
        <v>80</v>
      </c>
      <c r="H213" s="35" t="n">
        <v>68.5</v>
      </c>
      <c r="I213" s="35" t="inlineStr">
        <is>
          <t>Conhaque, brandy e similares</t>
        </is>
      </c>
      <c r="J213" s="44" t="inlineStr">
        <is>
          <t>Protocolos ICMS 14/2006, 15/2006 e 14/2007</t>
        </is>
      </c>
      <c r="L213" s="29">
        <f>IF(D213="NCM/SH","",COUNTIF($D$5:$D$1506,D213))</f>
        <v/>
      </c>
    </row>
    <row r="214">
      <c r="A214" s="1" t="inlineStr">
        <is>
          <t>03bBebid</t>
        </is>
      </c>
      <c r="B214" s="163" t="inlineStr">
        <is>
          <t>7.0</t>
        </is>
      </c>
      <c r="C214" s="163" t="inlineStr">
        <is>
          <t>02.007.00</t>
        </is>
      </c>
      <c r="D214" s="37" t="inlineStr">
        <is>
          <t>2206.00.90</t>
        </is>
      </c>
      <c r="E214" s="163" t="n">
        <v>29.04</v>
      </c>
      <c r="F214" s="163" t="n">
        <v>86.88</v>
      </c>
      <c r="G214" s="163" t="n">
        <v>80</v>
      </c>
      <c r="H214" s="163" t="n">
        <v>68.5</v>
      </c>
      <c r="I214" s="163" t="inlineStr">
        <is>
          <t>Cooler</t>
        </is>
      </c>
      <c r="J214" s="44" t="inlineStr">
        <is>
          <t>Protocolos ICMS 14/2006, 15/2006 e 14/2007</t>
        </is>
      </c>
      <c r="L214" s="29">
        <f>IF(D214="NCM/SH","",COUNTIF($D$5:$D$1506,D214))</f>
        <v/>
      </c>
    </row>
    <row r="215" ht="15.75" customHeight="1" thickBot="1">
      <c r="A215" s="1" t="inlineStr">
        <is>
          <t>03bBebid</t>
        </is>
      </c>
      <c r="B215" s="164" t="n">
        <v>7</v>
      </c>
      <c r="C215" s="164" t="inlineStr">
        <is>
          <t>02.007.00</t>
        </is>
      </c>
      <c r="D215" s="35" t="inlineStr">
        <is>
          <t>2208.90.00</t>
        </is>
      </c>
      <c r="E215" s="164" t="n">
        <v>29.04</v>
      </c>
      <c r="F215" s="164" t="n">
        <v>86.88</v>
      </c>
      <c r="G215" s="164" t="n">
        <v>80</v>
      </c>
      <c r="H215" s="164" t="n">
        <v>68.5</v>
      </c>
      <c r="I215" s="164" t="inlineStr">
        <is>
          <t>Cooler</t>
        </is>
      </c>
      <c r="J215" s="44" t="inlineStr">
        <is>
          <t>Protocolos ICMS 14/2006, 15/2006 e 14/2007</t>
        </is>
      </c>
      <c r="L215" s="29">
        <f>IF(D215="NCM/SH","",COUNTIF($D$5:$D$1506,D215))</f>
        <v/>
      </c>
    </row>
    <row r="216" ht="15.75" customHeight="1" thickBot="1">
      <c r="A216" s="1" t="inlineStr">
        <is>
          <t>03bBebid</t>
        </is>
      </c>
      <c r="B216" s="164" t="inlineStr">
        <is>
          <t>8.0</t>
        </is>
      </c>
      <c r="C216" s="35" t="inlineStr">
        <is>
          <t>02.008.00</t>
        </is>
      </c>
      <c r="D216" s="35" t="inlineStr">
        <is>
          <t>2208.50.00</t>
        </is>
      </c>
      <c r="E216" s="35" t="n">
        <v>29.04</v>
      </c>
      <c r="F216" s="35" t="n">
        <v>86.88</v>
      </c>
      <c r="G216" s="35" t="n">
        <v>80</v>
      </c>
      <c r="H216" s="35" t="n">
        <v>68.5</v>
      </c>
      <c r="I216" s="35" t="inlineStr">
        <is>
          <t>Gim (gin) e genebra</t>
        </is>
      </c>
      <c r="J216" s="44" t="inlineStr">
        <is>
          <t>Protocolos ICMS 14/2006, 15/2006 e 14/2007</t>
        </is>
      </c>
      <c r="L216" s="29">
        <f>IF(D216="NCM/SH","",COUNTIF($D$5:$D$1506,D216))</f>
        <v/>
      </c>
    </row>
    <row r="217">
      <c r="A217" s="1" t="inlineStr">
        <is>
          <t>03bBebid</t>
        </is>
      </c>
      <c r="B217" s="163" t="inlineStr">
        <is>
          <t>9.0</t>
        </is>
      </c>
      <c r="C217" s="163" t="inlineStr">
        <is>
          <t>02.009.00</t>
        </is>
      </c>
      <c r="D217" s="37" t="n">
        <v>2205</v>
      </c>
      <c r="E217" s="163" t="n">
        <v>29.04</v>
      </c>
      <c r="F217" s="163" t="n">
        <v>86.88</v>
      </c>
      <c r="G217" s="163" t="n">
        <v>80</v>
      </c>
      <c r="H217" s="163" t="n">
        <v>68.5</v>
      </c>
      <c r="I217" s="163" t="inlineStr">
        <is>
          <t>Jurubeba e similares</t>
        </is>
      </c>
      <c r="J217" s="44" t="inlineStr">
        <is>
          <t>Protocolos ICMS 14/2006, 15/2006 e 14/2007</t>
        </is>
      </c>
      <c r="L217" s="29">
        <f>IF(D217="NCM/SH","",COUNTIF($D$5:$D$1506,D217))</f>
        <v/>
      </c>
    </row>
    <row r="218">
      <c r="A218" s="1" t="inlineStr">
        <is>
          <t>03bBebid</t>
        </is>
      </c>
      <c r="B218" s="44" t="n">
        <v>9</v>
      </c>
      <c r="C218" s="44" t="inlineStr">
        <is>
          <t>02.009.00</t>
        </is>
      </c>
      <c r="D218" s="37" t="inlineStr">
        <is>
          <t>2206.00.90</t>
        </is>
      </c>
      <c r="E218" s="44" t="n">
        <v>29.04</v>
      </c>
      <c r="F218" s="44" t="n">
        <v>86.88</v>
      </c>
      <c r="G218" s="44" t="n">
        <v>80</v>
      </c>
      <c r="H218" s="44" t="n">
        <v>68.5</v>
      </c>
      <c r="I218" s="44" t="inlineStr">
        <is>
          <t>Jurubeba e similares</t>
        </is>
      </c>
      <c r="J218" s="44" t="inlineStr">
        <is>
          <t>Protocolos ICMS 14/2006, 15/2006 e 14/2007</t>
        </is>
      </c>
      <c r="L218" s="29">
        <f>IF(D218="NCM/SH","",COUNTIF($D$5:$D$1506,D218))</f>
        <v/>
      </c>
    </row>
    <row r="219" ht="15.75" customHeight="1" thickBot="1">
      <c r="A219" s="1" t="inlineStr">
        <is>
          <t>03bBebid</t>
        </is>
      </c>
      <c r="B219" s="164" t="n">
        <v>9</v>
      </c>
      <c r="C219" s="164" t="inlineStr">
        <is>
          <t>02.009.00</t>
        </is>
      </c>
      <c r="D219" s="35" t="inlineStr">
        <is>
          <t>2208.90.00</t>
        </is>
      </c>
      <c r="E219" s="164" t="n">
        <v>29.04</v>
      </c>
      <c r="F219" s="164" t="n">
        <v>86.88</v>
      </c>
      <c r="G219" s="164" t="n">
        <v>80</v>
      </c>
      <c r="H219" s="164" t="n">
        <v>68.5</v>
      </c>
      <c r="I219" s="164" t="inlineStr">
        <is>
          <t>Jurubeba e similares</t>
        </is>
      </c>
      <c r="J219" s="44" t="inlineStr">
        <is>
          <t>Protocolos ICMS 14/2006, 15/2006 e 14/2007</t>
        </is>
      </c>
      <c r="L219" s="29">
        <f>IF(D219="NCM/SH","",COUNTIF($D$5:$D$1506,D219))</f>
        <v/>
      </c>
    </row>
    <row r="220" ht="15.75" customHeight="1" thickBot="1">
      <c r="A220" s="1" t="inlineStr">
        <is>
          <t>03bBebid</t>
        </is>
      </c>
      <c r="B220" s="164" t="inlineStr">
        <is>
          <t>10.0</t>
        </is>
      </c>
      <c r="C220" s="35" t="inlineStr">
        <is>
          <t>02.010.00</t>
        </is>
      </c>
      <c r="D220" s="35" t="inlineStr">
        <is>
          <t>2208.70.00</t>
        </is>
      </c>
      <c r="E220" s="35" t="n">
        <v>29.04</v>
      </c>
      <c r="F220" s="35" t="n">
        <v>86.88</v>
      </c>
      <c r="G220" s="35" t="n">
        <v>80</v>
      </c>
      <c r="H220" s="35" t="n">
        <v>68.5</v>
      </c>
      <c r="I220" s="35" t="inlineStr">
        <is>
          <t>Licores e similares</t>
        </is>
      </c>
      <c r="J220" s="44" t="inlineStr">
        <is>
          <t>Protocolos ICMS 14/2006, 15/2006 e 14/2007</t>
        </is>
      </c>
      <c r="L220" s="29">
        <f>IF(D220="NCM/SH","",COUNTIF($D$5:$D$1506,D220))</f>
        <v/>
      </c>
    </row>
    <row r="221" ht="15.75" customHeight="1" thickBot="1">
      <c r="A221" s="1" t="inlineStr">
        <is>
          <t>03bBebid</t>
        </is>
      </c>
      <c r="B221" s="164" t="inlineStr">
        <is>
          <t>11.0</t>
        </is>
      </c>
      <c r="C221" s="35" t="inlineStr">
        <is>
          <t>02.011.00</t>
        </is>
      </c>
      <c r="D221" s="35" t="inlineStr">
        <is>
          <t>2208.20.00</t>
        </is>
      </c>
      <c r="E221" s="35" t="n">
        <v>29.04</v>
      </c>
      <c r="F221" s="35" t="n">
        <v>86.88</v>
      </c>
      <c r="G221" s="35" t="n">
        <v>80</v>
      </c>
      <c r="H221" s="35" t="n">
        <v>68.5</v>
      </c>
      <c r="I221" s="35" t="inlineStr">
        <is>
          <t>Pisco</t>
        </is>
      </c>
      <c r="J221" s="44" t="inlineStr">
        <is>
          <t>Protocolos ICMS 14/2006, 15/2006 e 14/2007</t>
        </is>
      </c>
      <c r="L221" s="29">
        <f>IF(D221="NCM/SH","",COUNTIF($D$5:$D$1506,D221))</f>
        <v/>
      </c>
    </row>
    <row r="222" ht="15.75" customHeight="1" thickBot="1">
      <c r="A222" s="1" t="inlineStr">
        <is>
          <t>03bBebid</t>
        </is>
      </c>
      <c r="B222" s="164" t="inlineStr">
        <is>
          <t>12.0</t>
        </is>
      </c>
      <c r="C222" s="35" t="inlineStr">
        <is>
          <t>02.012.00</t>
        </is>
      </c>
      <c r="D222" s="35" t="inlineStr">
        <is>
          <t>2208.40.00</t>
        </is>
      </c>
      <c r="E222" s="35" t="n">
        <v>29.04</v>
      </c>
      <c r="F222" s="35" t="n">
        <v>86.88</v>
      </c>
      <c r="G222" s="35" t="n">
        <v>80</v>
      </c>
      <c r="H222" s="35" t="n">
        <v>68.5</v>
      </c>
      <c r="I222" s="35" t="inlineStr">
        <is>
          <t>Rum</t>
        </is>
      </c>
      <c r="J222" s="44" t="inlineStr">
        <is>
          <t>Protocolos ICMS 14/2006, 15/2006 e 14/2007</t>
        </is>
      </c>
      <c r="L222" s="29">
        <f>IF(D222="NCM/SH","",COUNTIF($D$5:$D$1506,D222))</f>
        <v/>
      </c>
    </row>
    <row r="223" ht="15.75" customHeight="1" thickBot="1">
      <c r="A223" s="1" t="inlineStr">
        <is>
          <t>03bBebid</t>
        </is>
      </c>
      <c r="B223" s="164" t="inlineStr">
        <is>
          <t>13.0</t>
        </is>
      </c>
      <c r="C223" s="35" t="inlineStr">
        <is>
          <t>02.013.00</t>
        </is>
      </c>
      <c r="D223" s="35" t="inlineStr">
        <is>
          <t>2206.00.90</t>
        </is>
      </c>
      <c r="E223" s="35" t="n">
        <v>29.04</v>
      </c>
      <c r="F223" s="35" t="n">
        <v>86.88</v>
      </c>
      <c r="G223" s="35" t="n">
        <v>80</v>
      </c>
      <c r="H223" s="35" t="n">
        <v>68.5</v>
      </c>
      <c r="I223" s="35" t="inlineStr">
        <is>
          <t>Saque</t>
        </is>
      </c>
      <c r="J223" s="44" t="inlineStr">
        <is>
          <t>Protocolos ICMS 14/2006, 15/2006 e 14/2007</t>
        </is>
      </c>
      <c r="L223" s="29">
        <f>IF(D223="NCM/SH","",COUNTIF($D$5:$D$1506,D223))</f>
        <v/>
      </c>
    </row>
    <row r="224" ht="15.75" customHeight="1" thickBot="1">
      <c r="A224" s="1" t="inlineStr">
        <is>
          <t>03bBebid</t>
        </is>
      </c>
      <c r="B224" s="164" t="inlineStr">
        <is>
          <t>14.0</t>
        </is>
      </c>
      <c r="C224" s="35" t="inlineStr">
        <is>
          <t>02.014.00</t>
        </is>
      </c>
      <c r="D224" s="35" t="inlineStr">
        <is>
          <t>2208.90.00</t>
        </is>
      </c>
      <c r="E224" s="35" t="n">
        <v>29.04</v>
      </c>
      <c r="F224" s="35" t="n">
        <v>86.88</v>
      </c>
      <c r="G224" s="35" t="n">
        <v>80</v>
      </c>
      <c r="H224" s="35" t="n">
        <v>68.5</v>
      </c>
      <c r="I224" s="35" t="inlineStr">
        <is>
          <t>Steinhaeger</t>
        </is>
      </c>
      <c r="J224" s="44" t="inlineStr">
        <is>
          <t>Protocolos ICMS 14/2006, 15/2006 e 14/2007</t>
        </is>
      </c>
      <c r="L224" s="29">
        <f>IF(D224="NCM/SH","",COUNTIF($D$5:$D$1506,D224))</f>
        <v/>
      </c>
    </row>
    <row r="225" ht="15.75" customHeight="1" thickBot="1">
      <c r="A225" s="1" t="inlineStr">
        <is>
          <t>03bBebid</t>
        </is>
      </c>
      <c r="B225" s="164" t="inlineStr">
        <is>
          <t>15.0</t>
        </is>
      </c>
      <c r="C225" s="35" t="inlineStr">
        <is>
          <t>02.015.00</t>
        </is>
      </c>
      <c r="D225" s="35" t="inlineStr">
        <is>
          <t>2208.90.00</t>
        </is>
      </c>
      <c r="E225" s="35" t="n">
        <v>29.04</v>
      </c>
      <c r="F225" s="35" t="n">
        <v>86.88</v>
      </c>
      <c r="G225" s="35" t="n">
        <v>80</v>
      </c>
      <c r="H225" s="35" t="n">
        <v>68.5</v>
      </c>
      <c r="I225" s="35" t="inlineStr">
        <is>
          <t>Tequila</t>
        </is>
      </c>
      <c r="J225" s="44" t="inlineStr">
        <is>
          <t>Protocolos ICMS 14/2006, 15/2006 e 14/2007</t>
        </is>
      </c>
      <c r="L225" s="29">
        <f>IF(D225="NCM/SH","",COUNTIF($D$5:$D$1506,D225))</f>
        <v/>
      </c>
    </row>
    <row r="226" ht="15.75" customHeight="1" thickBot="1">
      <c r="A226" s="1" t="inlineStr">
        <is>
          <t>03bBebid</t>
        </is>
      </c>
      <c r="B226" s="164" t="inlineStr">
        <is>
          <t>16.0</t>
        </is>
      </c>
      <c r="C226" s="35" t="inlineStr">
        <is>
          <t>02.016.00</t>
        </is>
      </c>
      <c r="D226" s="35" t="inlineStr">
        <is>
          <t>2208.30</t>
        </is>
      </c>
      <c r="E226" s="35" t="n">
        <v>29.04</v>
      </c>
      <c r="F226" s="35" t="n">
        <v>86.88</v>
      </c>
      <c r="G226" s="35" t="n">
        <v>80</v>
      </c>
      <c r="H226" s="35" t="n">
        <v>68.5</v>
      </c>
      <c r="I226" s="35" t="inlineStr">
        <is>
          <t>Uísque</t>
        </is>
      </c>
      <c r="J226" s="44" t="inlineStr">
        <is>
          <t>Protocolos ICMS 14/2006, 15/2006 e 14/2007</t>
        </is>
      </c>
      <c r="L226" s="29">
        <f>IF(D226="NCM/SH","",COUNTIF($D$5:$D$1506,D226))</f>
        <v/>
      </c>
    </row>
    <row r="227" ht="15.75" customHeight="1" thickBot="1">
      <c r="A227" s="1" t="inlineStr">
        <is>
          <t>03bBebid</t>
        </is>
      </c>
      <c r="B227" s="164" t="inlineStr">
        <is>
          <t>17.0</t>
        </is>
      </c>
      <c r="C227" s="35" t="inlineStr">
        <is>
          <t>02.017.00</t>
        </is>
      </c>
      <c r="D227" s="35" t="n">
        <v>2205</v>
      </c>
      <c r="E227" s="35" t="n">
        <v>29.04</v>
      </c>
      <c r="F227" s="35" t="n">
        <v>86.88</v>
      </c>
      <c r="G227" s="35" t="n">
        <v>80</v>
      </c>
      <c r="H227" s="35" t="n">
        <v>68.5</v>
      </c>
      <c r="I227" s="35" t="inlineStr">
        <is>
          <t>Vermute e similares</t>
        </is>
      </c>
      <c r="J227" s="44" t="inlineStr">
        <is>
          <t>Protocolos ICMS 14/2006, 15/2006 e 14/2007</t>
        </is>
      </c>
      <c r="L227" s="29">
        <f>IF(D227="NCM/SH","",COUNTIF($D$5:$D$1506,D227))</f>
        <v/>
      </c>
    </row>
    <row r="228" ht="15.75" customHeight="1" thickBot="1">
      <c r="A228" s="1" t="inlineStr">
        <is>
          <t>03bBebid</t>
        </is>
      </c>
      <c r="B228" s="164" t="inlineStr">
        <is>
          <t>18.0</t>
        </is>
      </c>
      <c r="C228" s="35" t="inlineStr">
        <is>
          <t>02.018.00</t>
        </is>
      </c>
      <c r="D228" s="35" t="inlineStr">
        <is>
          <t>2208.60.00</t>
        </is>
      </c>
      <c r="E228" s="35" t="n">
        <v>29.04</v>
      </c>
      <c r="F228" s="35" t="n">
        <v>86.88</v>
      </c>
      <c r="G228" s="35" t="n">
        <v>80</v>
      </c>
      <c r="H228" s="35" t="n">
        <v>68.5</v>
      </c>
      <c r="I228" s="35" t="inlineStr">
        <is>
          <t>Vodka</t>
        </is>
      </c>
      <c r="J228" s="44" t="inlineStr">
        <is>
          <t>Protocolos ICMS 14/2006, 15/2006 e 14/2007</t>
        </is>
      </c>
      <c r="L228" s="29">
        <f>IF(D228="NCM/SH","",COUNTIF($D$5:$D$1506,D228))</f>
        <v/>
      </c>
    </row>
    <row r="229" ht="15.75" customHeight="1" thickBot="1">
      <c r="A229" s="1" t="inlineStr">
        <is>
          <t>03bBebid</t>
        </is>
      </c>
      <c r="B229" s="164" t="inlineStr">
        <is>
          <t>19.0</t>
        </is>
      </c>
      <c r="C229" s="35" t="inlineStr">
        <is>
          <t>02.019.00</t>
        </is>
      </c>
      <c r="D229" s="35" t="inlineStr">
        <is>
          <t>2208.90.00</t>
        </is>
      </c>
      <c r="E229" s="35" t="n">
        <v>29.04</v>
      </c>
      <c r="F229" s="35" t="n">
        <v>86.88</v>
      </c>
      <c r="G229" s="35" t="n">
        <v>80</v>
      </c>
      <c r="H229" s="35" t="n">
        <v>68.5</v>
      </c>
      <c r="I229" s="35" t="inlineStr">
        <is>
          <t>Derivados de vodka</t>
        </is>
      </c>
      <c r="J229" s="44" t="inlineStr">
        <is>
          <t>Protocolos ICMS 14/2006, 15/2006 e 14/2007</t>
        </is>
      </c>
      <c r="L229" s="29">
        <f>IF(D229="NCM/SH","",COUNTIF($D$5:$D$1506,D229))</f>
        <v/>
      </c>
    </row>
    <row r="230" ht="15.75" customHeight="1" thickBot="1">
      <c r="A230" s="1" t="inlineStr">
        <is>
          <t>03bBebid</t>
        </is>
      </c>
      <c r="B230" s="164" t="inlineStr">
        <is>
          <t>20.0</t>
        </is>
      </c>
      <c r="C230" s="35" t="inlineStr">
        <is>
          <t>02.020.00</t>
        </is>
      </c>
      <c r="D230" s="35" t="inlineStr">
        <is>
          <t>2208.90.00</t>
        </is>
      </c>
      <c r="E230" s="35" t="n">
        <v>29.04</v>
      </c>
      <c r="F230" s="35" t="n">
        <v>86.88</v>
      </c>
      <c r="G230" s="35" t="n">
        <v>80</v>
      </c>
      <c r="H230" s="35" t="n">
        <v>68.5</v>
      </c>
      <c r="I230" s="35" t="inlineStr">
        <is>
          <t>Arak</t>
        </is>
      </c>
      <c r="J230" s="44" t="inlineStr">
        <is>
          <t>Protocolos ICMS 14/2006, 15/2006 e 14/2007</t>
        </is>
      </c>
      <c r="L230" s="29">
        <f>IF(D230="NCM/SH","",COUNTIF($D$5:$D$1506,D230))</f>
        <v/>
      </c>
    </row>
    <row r="231" ht="15.75" customHeight="1" thickBot="1">
      <c r="A231" s="1" t="inlineStr">
        <is>
          <t>03bBebid</t>
        </is>
      </c>
      <c r="B231" s="164" t="inlineStr">
        <is>
          <t>21.0</t>
        </is>
      </c>
      <c r="C231" s="35" t="inlineStr">
        <is>
          <t>02.021.00</t>
        </is>
      </c>
      <c r="D231" s="35" t="inlineStr">
        <is>
          <t>2208.20.00</t>
        </is>
      </c>
      <c r="E231" s="35" t="n">
        <v>29.04</v>
      </c>
      <c r="F231" s="35" t="n">
        <v>86.88</v>
      </c>
      <c r="G231" s="35" t="n">
        <v>80</v>
      </c>
      <c r="H231" s="35" t="n">
        <v>68.5</v>
      </c>
      <c r="I231" s="35" t="inlineStr">
        <is>
          <t>Aguardente vínica / grappa</t>
        </is>
      </c>
      <c r="J231" s="44" t="inlineStr">
        <is>
          <t>Protocolos ICMS 14/2006, 15/2006 e 14/2007</t>
        </is>
      </c>
      <c r="L231" s="29">
        <f>IF(D231="NCM/SH","",COUNTIF($D$5:$D$1506,D231))</f>
        <v/>
      </c>
    </row>
    <row r="232" ht="15.75" customHeight="1" thickBot="1">
      <c r="A232" s="1" t="inlineStr">
        <is>
          <t>03bBebid</t>
        </is>
      </c>
      <c r="B232" s="164" t="inlineStr">
        <is>
          <t>22.0</t>
        </is>
      </c>
      <c r="C232" s="35" t="inlineStr">
        <is>
          <t>02.022.00</t>
        </is>
      </c>
      <c r="D232" s="35" t="inlineStr">
        <is>
          <t>2206.00.10</t>
        </is>
      </c>
      <c r="E232" s="35" t="n">
        <v>29.04</v>
      </c>
      <c r="F232" s="35" t="n">
        <v>86.88</v>
      </c>
      <c r="G232" s="35" t="n">
        <v>80</v>
      </c>
      <c r="H232" s="35" t="n">
        <v>68.5</v>
      </c>
      <c r="I232" s="35" t="inlineStr">
        <is>
          <t>Sidra e similares</t>
        </is>
      </c>
      <c r="J232" s="44" t="inlineStr">
        <is>
          <t>Protocolos ICMS 14/2006, 15/2006 e 14/2007</t>
        </is>
      </c>
      <c r="L232" s="29">
        <f>IF(D232="NCM/SH","",COUNTIF($D$5:$D$1506,D232))</f>
        <v/>
      </c>
    </row>
    <row r="233">
      <c r="A233" s="1" t="inlineStr">
        <is>
          <t>03bBebid</t>
        </is>
      </c>
      <c r="B233" s="163" t="inlineStr">
        <is>
          <t>23.0</t>
        </is>
      </c>
      <c r="C233" s="163" t="inlineStr">
        <is>
          <t>02.023.00</t>
        </is>
      </c>
      <c r="D233" s="37" t="n">
        <v>2205</v>
      </c>
      <c r="E233" s="163" t="n">
        <v>29.04</v>
      </c>
      <c r="F233" s="163" t="n">
        <v>86.88</v>
      </c>
      <c r="G233" s="163" t="n">
        <v>80</v>
      </c>
      <c r="H233" s="163" t="n">
        <v>68.5</v>
      </c>
      <c r="I233" s="163" t="inlineStr">
        <is>
          <t>Sangrias e coquetéis</t>
        </is>
      </c>
      <c r="J233" s="44" t="inlineStr">
        <is>
          <t>Protocolos ICMS 14/2006, 15/2006 e 14/2007</t>
        </is>
      </c>
      <c r="L233" s="29">
        <f>IF(D233="NCM/SH","",COUNTIF($D$5:$D$1506,D233))</f>
        <v/>
      </c>
    </row>
    <row r="234">
      <c r="A234" s="1" t="inlineStr">
        <is>
          <t>03bBebid</t>
        </is>
      </c>
      <c r="B234" s="44" t="n">
        <v>23</v>
      </c>
      <c r="C234" s="44" t="inlineStr">
        <is>
          <t>02.023.00</t>
        </is>
      </c>
      <c r="D234" s="37" t="inlineStr">
        <is>
          <t>2206.00.90</t>
        </is>
      </c>
      <c r="E234" s="44" t="n">
        <v>29.04</v>
      </c>
      <c r="F234" s="44" t="n">
        <v>86.88</v>
      </c>
      <c r="G234" s="44" t="n">
        <v>80</v>
      </c>
      <c r="H234" s="44" t="n">
        <v>68.5</v>
      </c>
      <c r="I234" s="44" t="inlineStr">
        <is>
          <t>Sangrias e coquetéis</t>
        </is>
      </c>
      <c r="J234" s="44" t="inlineStr">
        <is>
          <t>Protocolos ICMS 14/2006, 15/2006 e 14/2007</t>
        </is>
      </c>
      <c r="L234" s="29">
        <f>IF(D234="NCM/SH","",COUNTIF($D$5:$D$1506,D234))</f>
        <v/>
      </c>
    </row>
    <row r="235" ht="15.75" customHeight="1" thickBot="1">
      <c r="A235" s="1" t="inlineStr">
        <is>
          <t>03bBebid</t>
        </is>
      </c>
      <c r="B235" s="164" t="n">
        <v>23</v>
      </c>
      <c r="C235" s="164" t="inlineStr">
        <is>
          <t>02.023.00</t>
        </is>
      </c>
      <c r="D235" s="35" t="inlineStr">
        <is>
          <t>2208.90.00</t>
        </is>
      </c>
      <c r="E235" s="164" t="n">
        <v>29.04</v>
      </c>
      <c r="F235" s="164" t="n">
        <v>86.88</v>
      </c>
      <c r="G235" s="164" t="n">
        <v>80</v>
      </c>
      <c r="H235" s="164" t="n">
        <v>68.5</v>
      </c>
      <c r="I235" s="164" t="inlineStr">
        <is>
          <t>Sangrias e coquetéis</t>
        </is>
      </c>
      <c r="J235" s="164" t="inlineStr">
        <is>
          <t>Protocolos ICMS 14/2006, 15/2006 e 14/2007</t>
        </is>
      </c>
      <c r="L235" s="29">
        <f>IF(D235="NCM/SH","",COUNTIF($D$5:$D$1506,D235))</f>
        <v/>
      </c>
    </row>
    <row r="236" ht="15.75" customHeight="1" thickBot="1">
      <c r="A236" s="1" t="inlineStr">
        <is>
          <t>03bBebid</t>
        </is>
      </c>
      <c r="B236" s="164" t="inlineStr">
        <is>
          <t>24.0</t>
        </is>
      </c>
      <c r="C236" s="35" t="inlineStr">
        <is>
          <t>02.024.00</t>
        </is>
      </c>
      <c r="D236" s="35" t="n">
        <v>2204</v>
      </c>
      <c r="E236" s="35" t="n">
        <v>29.04</v>
      </c>
      <c r="F236" s="35" t="n">
        <v>86.88</v>
      </c>
      <c r="G236" s="35" t="n">
        <v>80</v>
      </c>
      <c r="H236" s="35" t="n">
        <v>68.5</v>
      </c>
      <c r="I236" s="35" t="inlineStr">
        <is>
          <t>Vinhos de uvas frescas, incluindo os vinhos enriquecidos com álcool; mostos de uvas.</t>
        </is>
      </c>
      <c r="J236" s="52" t="inlineStr">
        <is>
          <t>Protocolos ICMS 14/2006, 15/2006 *(Redação dada pelo Decreto nº 16.458/2024. Efeitos a partir de 20.06.2024)</t>
        </is>
      </c>
      <c r="L236" s="29">
        <f>IF(D236="NCM/SH","",COUNTIF($D$5:$D$1506,D236))</f>
        <v/>
      </c>
    </row>
    <row r="237" ht="15" customHeight="1" thickBot="1">
      <c r="A237" s="1" t="inlineStr">
        <is>
          <t>03bBebid</t>
        </is>
      </c>
      <c r="B237" s="163" t="inlineStr">
        <is>
          <t>999.0</t>
        </is>
      </c>
      <c r="C237" s="163" t="inlineStr">
        <is>
          <t>02.999.00</t>
        </is>
      </c>
      <c r="D237" s="38" t="n">
        <v>2205</v>
      </c>
      <c r="E237" s="42" t="n">
        <v>29.04</v>
      </c>
      <c r="F237" s="42" t="n">
        <v>86.88</v>
      </c>
      <c r="G237" s="42" t="n">
        <v>80</v>
      </c>
      <c r="H237" s="42" t="n">
        <v>68.5</v>
      </c>
      <c r="I237" s="42" t="inlineStr">
        <is>
          <t>Outras bebidas alcoólicas não especificadas nos itens anteriores</t>
        </is>
      </c>
      <c r="J237" s="163" t="inlineStr">
        <is>
          <t>Protocolos ICMS 14/2006, 15/2006 e 14/2007</t>
        </is>
      </c>
      <c r="K237" s="56" t="inlineStr">
        <is>
          <t>(Item 999.0: renumerado de item 25.0 para item 999.0 e nova redação dada pelo Decreto nº 14.645/2016. Efeitos a partir de 1º.01.2017.)</t>
        </is>
      </c>
      <c r="L237" s="29">
        <f>IF(D237="NCM/SH","",COUNTIF($D$5:$D$1506,D237))</f>
        <v/>
      </c>
      <c r="M237" s="57" t="n"/>
      <c r="N237" s="57" t="n"/>
      <c r="O237" s="57" t="n"/>
      <c r="P237" s="57" t="n"/>
      <c r="Q237" s="57" t="n"/>
      <c r="R237" s="58" t="n"/>
    </row>
    <row r="238" ht="15.75" customHeight="1" thickBot="1">
      <c r="A238" s="1" t="inlineStr">
        <is>
          <t>03bBebid</t>
        </is>
      </c>
      <c r="B238" s="44" t="n">
        <v>999</v>
      </c>
      <c r="C238" s="44" t="inlineStr">
        <is>
          <t>02.999.00</t>
        </is>
      </c>
      <c r="D238" s="38" t="n">
        <v>2206</v>
      </c>
      <c r="E238" s="45" t="n">
        <v>29.04</v>
      </c>
      <c r="F238" s="45" t="n">
        <v>86.88</v>
      </c>
      <c r="G238" s="45" t="n">
        <v>80</v>
      </c>
      <c r="H238" s="45" t="n">
        <v>68.5</v>
      </c>
      <c r="I238" s="45" t="inlineStr">
        <is>
          <t>Outras bebidas alcoólicas não especificadas nos itens anteriores</t>
        </is>
      </c>
      <c r="J238" s="44" t="inlineStr">
        <is>
          <t>Protocolos ICMS 14/2006, 15/2006 e 14/2007</t>
        </is>
      </c>
      <c r="K238" s="56" t="inlineStr">
        <is>
          <t>(Item 999.0: renumerado de item 25.0 para item 999.0 e nova redação dada pelo Decreto nº 14.645/2016. Efeitos a partir de 1º.01.2017.)</t>
        </is>
      </c>
      <c r="L238" s="29">
        <f>IF(D238="NCM/SH","",COUNTIF($D$5:$D$1506,D238))</f>
        <v/>
      </c>
      <c r="M238" s="57" t="n"/>
      <c r="N238" s="57" t="n"/>
      <c r="O238" s="57" t="n"/>
      <c r="P238" s="57" t="n"/>
      <c r="Q238" s="57" t="n"/>
      <c r="R238" s="58" t="n"/>
    </row>
    <row r="239" ht="15.75" customHeight="1" thickBot="1">
      <c r="A239" s="1" t="inlineStr">
        <is>
          <t>03bBebid</t>
        </is>
      </c>
      <c r="B239" s="44" t="n">
        <v>999</v>
      </c>
      <c r="C239" s="44" t="inlineStr">
        <is>
          <t>02.999.00</t>
        </is>
      </c>
      <c r="D239" s="38" t="n">
        <v>2207</v>
      </c>
      <c r="E239" s="45" t="n">
        <v>29.04</v>
      </c>
      <c r="F239" s="45" t="n">
        <v>86.88</v>
      </c>
      <c r="G239" s="45" t="n">
        <v>80</v>
      </c>
      <c r="H239" s="45" t="n">
        <v>68.5</v>
      </c>
      <c r="I239" s="45" t="inlineStr">
        <is>
          <t>Outras bebidas alcoólicas não especificadas nos itens anteriores</t>
        </is>
      </c>
      <c r="J239" s="44" t="inlineStr">
        <is>
          <t>Protocolos ICMS 14/2006, 15/2006 e 14/2007</t>
        </is>
      </c>
      <c r="K239" s="56" t="inlineStr">
        <is>
          <t>(Item 999.0: renumerado de item 25.0 para item 999.0 e nova redação dada pelo Decreto nº 14.645/2016. Efeitos a partir de 1º.01.2017.)</t>
        </is>
      </c>
      <c r="L239" s="29">
        <f>IF(D239="NCM/SH","",COUNTIF($D$5:$D$1506,D239))</f>
        <v/>
      </c>
      <c r="M239" s="57" t="n"/>
      <c r="N239" s="57" t="n"/>
      <c r="O239" s="57" t="n"/>
      <c r="P239" s="57" t="n"/>
      <c r="Q239" s="57" t="n"/>
      <c r="R239" s="58" t="n"/>
    </row>
    <row r="240" ht="15.75" customHeight="1" thickBot="1">
      <c r="A240" s="1" t="inlineStr">
        <is>
          <t>03bBebid</t>
        </is>
      </c>
      <c r="B240" s="164" t="n">
        <v>999</v>
      </c>
      <c r="C240" s="164" t="inlineStr">
        <is>
          <t>02.999.00</t>
        </is>
      </c>
      <c r="D240" s="48" t="n">
        <v>2208</v>
      </c>
      <c r="E240" s="46" t="n">
        <v>29.04</v>
      </c>
      <c r="F240" s="46" t="n">
        <v>86.88</v>
      </c>
      <c r="G240" s="46" t="n">
        <v>80</v>
      </c>
      <c r="H240" s="46" t="n">
        <v>68.5</v>
      </c>
      <c r="I240" s="46" t="inlineStr">
        <is>
          <t>Outras bebidas alcoólicas não especificadas nos itens anteriores</t>
        </is>
      </c>
      <c r="J240" s="164" t="inlineStr">
        <is>
          <t>Protocolos ICMS 14/2006, 15/2006 e 14/2007</t>
        </is>
      </c>
      <c r="K240" s="56" t="inlineStr">
        <is>
          <t>(Item 999.0: renumerado de item 25.0 para item 999.0 e nova redação dada pelo Decreto nº 14.645/2016. Efeitos a partir de 1º.01.2017.)</t>
        </is>
      </c>
      <c r="L240" s="29">
        <f>IF(D240="NCM/SH","",COUNTIF($D$5:$D$1506,D240))</f>
        <v/>
      </c>
      <c r="M240" s="57" t="n"/>
      <c r="N240" s="57" t="n"/>
      <c r="O240" s="57" t="n"/>
      <c r="P240" s="57" t="n"/>
      <c r="Q240" s="57" t="n"/>
      <c r="R240" s="58" t="n"/>
    </row>
    <row r="241">
      <c r="B241" s="59" t="n"/>
      <c r="C241" s="59" t="n"/>
      <c r="D241" s="60" t="n"/>
      <c r="E241" s="60" t="n"/>
      <c r="F241" s="60" t="n"/>
      <c r="G241" s="60" t="n"/>
      <c r="H241" s="60" t="n"/>
      <c r="I241" s="60" t="n"/>
      <c r="J241" s="59" t="n"/>
      <c r="K241" s="61" t="n"/>
      <c r="L241" s="29">
        <f>IF(D241="NCM/SH","",COUNTIF($D$5:$D$1506,D241))</f>
        <v/>
      </c>
      <c r="M241" s="61" t="n"/>
      <c r="N241" s="61" t="n"/>
      <c r="O241" s="61" t="n"/>
      <c r="P241" s="61" t="n"/>
      <c r="Q241" s="61" t="n"/>
      <c r="R241" s="61" t="n"/>
    </row>
    <row r="242">
      <c r="B242" s="28" t="n"/>
      <c r="L242" s="29">
        <f>IF(D242="NCM/SH","",COUNTIF($D$5:$D$1506,D242))</f>
        <v/>
      </c>
    </row>
    <row r="243">
      <c r="B243" s="28" t="n"/>
      <c r="L243" s="29">
        <f>IF(D243="NCM/SH","",COUNTIF($D$5:$D$1506,D243))</f>
        <v/>
      </c>
    </row>
    <row r="244" ht="15.75" customHeight="1" thickBot="1">
      <c r="A244" s="1" t="inlineStr">
        <is>
          <t>04aCerv</t>
        </is>
      </c>
      <c r="B244" s="28" t="inlineStr">
        <is>
          <t>Tabela IV-A</t>
        </is>
      </c>
      <c r="C244" s="28" t="inlineStr">
        <is>
          <t>CERVEJAS, CHOPES, REFRIGERANTES, ÁGUAS E OUTRAS BEBIDAS</t>
        </is>
      </c>
      <c r="D244" s="62" t="n"/>
      <c r="E244" s="62" t="n"/>
      <c r="F244" s="62" t="n"/>
      <c r="G244" s="55" t="inlineStr">
        <is>
          <t>(Nos casos em que o remetente seja industrial, importador, arrematante ou engarrafador)</t>
        </is>
      </c>
      <c r="H244" s="62" t="n"/>
      <c r="I244" s="62" t="n"/>
      <c r="J244" s="62" t="n"/>
      <c r="L244" s="29">
        <f>IF(D244="NCM/SH","",COUNTIF($D$5:$D$1506,D244))</f>
        <v/>
      </c>
    </row>
    <row r="245" ht="15" customHeight="1" thickBot="1">
      <c r="A245" s="1" t="inlineStr">
        <is>
          <t>04aCerv</t>
        </is>
      </c>
      <c r="B245" s="163" t="inlineStr">
        <is>
          <t>ITEM</t>
        </is>
      </c>
      <c r="C245" s="163" t="inlineStr">
        <is>
          <t>CEST</t>
        </is>
      </c>
      <c r="D245" s="163" t="inlineStr">
        <is>
          <t>NCM/SH</t>
        </is>
      </c>
      <c r="E245" s="165" t="inlineStr">
        <is>
          <t>MARGEM DE VALOR AGREGADO</t>
        </is>
      </c>
      <c r="F245" s="166" t="n"/>
      <c r="G245" s="166" t="inlineStr">
        <is>
          <t>(Nos casos em que o remetente seja industrial, importador, arrematante ou engarrafador)</t>
        </is>
      </c>
      <c r="H245" s="167" t="n"/>
      <c r="I245" s="163" t="inlineStr">
        <is>
          <t xml:space="preserve">DESCRIÇÃO </t>
        </is>
      </c>
      <c r="J245" s="163" t="inlineStr">
        <is>
          <t>DISPOSITIVO LEGAL</t>
        </is>
      </c>
      <c r="K245" s="64" t="n"/>
      <c r="L245" s="29">
        <f>IF(D245="NCM/SH","",COUNTIF($D$5:$D$1506,D245))</f>
        <v/>
      </c>
      <c r="M245" s="65" t="n"/>
      <c r="N245" s="65" t="n"/>
    </row>
    <row r="246" ht="15.75" customHeight="1" thickBot="1">
      <c r="A246" s="1" t="inlineStr">
        <is>
          <t>04aCerv</t>
        </is>
      </c>
      <c r="B246" s="164" t="inlineStr">
        <is>
          <t>ITEM</t>
        </is>
      </c>
      <c r="C246" s="164" t="inlineStr">
        <is>
          <t>CEST</t>
        </is>
      </c>
      <c r="D246" s="164" t="inlineStr">
        <is>
          <t>NCM/SH</t>
        </is>
      </c>
      <c r="E246" s="35" t="inlineStr">
        <is>
          <t>Oper. Interna %</t>
        </is>
      </c>
      <c r="F246" s="167" t="inlineStr">
        <is>
          <t>Alíq. 4%</t>
        </is>
      </c>
      <c r="G246" s="167" t="inlineStr">
        <is>
          <t>Alíq. 7%</t>
        </is>
      </c>
      <c r="H246" s="167" t="inlineStr">
        <is>
          <t>Alíq. 12%</t>
        </is>
      </c>
      <c r="I246" s="164" t="inlineStr">
        <is>
          <t xml:space="preserve">DESCRIÇÃO </t>
        </is>
      </c>
      <c r="J246" s="164" t="inlineStr">
        <is>
          <t>DISPOSITIVO LEGAL</t>
        </is>
      </c>
      <c r="K246" s="64" t="n"/>
      <c r="L246" s="29">
        <f>IF(D246="NCM/SH","",COUNTIF($D$5:$D$1506,D246))</f>
        <v/>
      </c>
      <c r="M246" s="65" t="n"/>
      <c r="N246" s="65" t="n"/>
    </row>
    <row r="247" ht="15.75" customHeight="1" thickBot="1">
      <c r="A247" s="1" t="inlineStr">
        <is>
          <t>04aCerv</t>
        </is>
      </c>
      <c r="B247" s="164" t="inlineStr">
        <is>
          <t>3.0</t>
        </is>
      </c>
      <c r="C247" s="35" t="inlineStr">
        <is>
          <t>03.003.00</t>
        </is>
      </c>
      <c r="D247" s="35" t="inlineStr">
        <is>
          <t>2201.10.00</t>
        </is>
      </c>
      <c r="E247" s="35" t="n">
        <v>140</v>
      </c>
      <c r="F247" s="35" t="n">
        <v>177.59</v>
      </c>
      <c r="G247" s="35" t="n">
        <v>168.92</v>
      </c>
      <c r="H247" s="35" t="n">
        <v>154.46</v>
      </c>
      <c r="I247" s="35" t="inlineStr">
        <is>
          <t>Água mineral, gasosa ou não, ou potável, naturais, em embalagem de vidro descartável</t>
        </is>
      </c>
      <c r="J247" s="42" t="inlineStr">
        <is>
          <t>Lei nº 1.810/97, art. 49, § 1º, II; Protocolo ICMS 11/91 e 31/91</t>
        </is>
      </c>
      <c r="K247" s="49" t="inlineStr">
        <is>
          <t>(Item 3.0: nova redação dada pelo Decreto n° 15.657/2021. Efeitos a partir de 1°.06.2021.)</t>
        </is>
      </c>
      <c r="L247" s="29">
        <f>IF(D247="NCM/SH","",COUNTIF($D$5:$D$1506,D247))</f>
        <v/>
      </c>
      <c r="M247" s="65" t="n"/>
      <c r="N247" s="65" t="n"/>
    </row>
    <row r="248" ht="15.75" customHeight="1" thickBot="1">
      <c r="A248" s="1" t="inlineStr">
        <is>
          <t>04aCerv</t>
        </is>
      </c>
      <c r="B248" s="164" t="inlineStr">
        <is>
          <t>3.1</t>
        </is>
      </c>
      <c r="C248" s="35" t="inlineStr">
        <is>
          <t>03.003.01</t>
        </is>
      </c>
      <c r="D248" s="35" t="inlineStr">
        <is>
          <t>2201.10.00</t>
        </is>
      </c>
      <c r="E248" s="35" t="n">
        <v>140</v>
      </c>
      <c r="F248" s="35" t="n">
        <v>177.59</v>
      </c>
      <c r="G248" s="35" t="n">
        <v>168.92</v>
      </c>
      <c r="H248" s="35" t="n">
        <v>154.46</v>
      </c>
      <c r="I248" s="35" t="inlineStr">
        <is>
          <t>Água mineral, gasosa ou não, ou potável, naturais, adicionadas de sais, em embalagem de vidro descartável</t>
        </is>
      </c>
      <c r="J248" s="45" t="inlineStr">
        <is>
          <t>Lei nº 1.810/97, art. 49, § 1º, II; Protocolo ICMS 11/91 e 31/91</t>
        </is>
      </c>
      <c r="K248" s="66" t="inlineStr">
        <is>
          <t>(Item 3.1: acrescentado pelo Decreto n° 15.657/2021. Efeitos a partir de 1°.06.2021.)</t>
        </is>
      </c>
      <c r="L248" s="29">
        <f>IF(D248="NCM/SH","",COUNTIF($D$5:$D$1506,D248))</f>
        <v/>
      </c>
      <c r="M248" s="65" t="n"/>
      <c r="N248" s="65" t="n"/>
    </row>
    <row r="249" ht="15.75" customHeight="1" thickBot="1">
      <c r="A249" s="1" t="inlineStr">
        <is>
          <t>04aCerv</t>
        </is>
      </c>
      <c r="B249" s="164" t="inlineStr">
        <is>
          <t>5.0</t>
        </is>
      </c>
      <c r="C249" s="35" t="inlineStr">
        <is>
          <t>03.005.00</t>
        </is>
      </c>
      <c r="D249" s="35" t="inlineStr">
        <is>
          <t>2201.10.00</t>
        </is>
      </c>
      <c r="E249" s="35" t="n">
        <v>140</v>
      </c>
      <c r="F249" s="35" t="n">
        <v>177.59</v>
      </c>
      <c r="G249" s="35" t="n">
        <v>168.92</v>
      </c>
      <c r="H249" s="35" t="n">
        <v>154.46</v>
      </c>
      <c r="I249" s="35" t="inlineStr">
        <is>
          <t>Água mineral, gasosa ou não, ou potável, naturais, em copo plástico descartável</t>
        </is>
      </c>
      <c r="J249" s="45" t="inlineStr">
        <is>
          <t>Lei nº 1.810/97, art. 49, § 1º, II; Protocolo ICMS 11/91 e 31/91</t>
        </is>
      </c>
      <c r="K249" s="49" t="inlineStr">
        <is>
          <t>(Item 5.0: nova redação dada pelo Decreto n° 15.657/2021. Efeitos a partir de 1°.06.2021.)</t>
        </is>
      </c>
      <c r="L249" s="29">
        <f>IF(D249="NCM/SH","",COUNTIF($D$5:$D$1506,D249))</f>
        <v/>
      </c>
      <c r="M249" s="65" t="n"/>
      <c r="N249" s="65" t="n"/>
    </row>
    <row r="250" ht="15.75" customHeight="1" thickBot="1">
      <c r="A250" s="1" t="inlineStr">
        <is>
          <t>04aCerv</t>
        </is>
      </c>
      <c r="B250" s="164" t="inlineStr">
        <is>
          <t>5.1</t>
        </is>
      </c>
      <c r="C250" s="35" t="inlineStr">
        <is>
          <t>03.005.01</t>
        </is>
      </c>
      <c r="D250" s="35" t="inlineStr">
        <is>
          <t>2201.10.00</t>
        </is>
      </c>
      <c r="E250" s="35" t="n">
        <v>140</v>
      </c>
      <c r="F250" s="35" t="n">
        <v>177.59</v>
      </c>
      <c r="G250" s="35" t="n">
        <v>168.92</v>
      </c>
      <c r="H250" s="35" t="n">
        <v>154.46</v>
      </c>
      <c r="I250" s="35" t="inlineStr">
        <is>
          <t>Água mineral, gasosa ou não, ou potável, naturais, adicionadas de sais, em copo plástico descartável</t>
        </is>
      </c>
      <c r="J250" s="45" t="inlineStr">
        <is>
          <t>Lei nº 1.810/97, art. 49, § 1º, II; Protocolo ICMS 11/91 e 31/91</t>
        </is>
      </c>
      <c r="K250" s="66" t="inlineStr">
        <is>
          <t>(Itens 5.1 ao 5.5: acrescentados pelo Decreto n° 15.657/2021. Efeitos a partir de 1°.06.2021.)</t>
        </is>
      </c>
      <c r="L250" s="29">
        <f>IF(D250="NCM/SH","",COUNTIF($D$5:$D$1506,D250))</f>
        <v/>
      </c>
      <c r="M250" s="65" t="n"/>
      <c r="N250" s="65" t="n"/>
    </row>
    <row r="251" ht="15.75" customHeight="1" thickBot="1">
      <c r="A251" s="1" t="inlineStr">
        <is>
          <t>04aCerv</t>
        </is>
      </c>
      <c r="B251" s="164" t="inlineStr">
        <is>
          <t>5.2</t>
        </is>
      </c>
      <c r="C251" s="35" t="inlineStr">
        <is>
          <t>03.005.02</t>
        </is>
      </c>
      <c r="D251" s="35" t="inlineStr">
        <is>
          <t>2201.10.00</t>
        </is>
      </c>
      <c r="E251" s="35" t="n">
        <v>140</v>
      </c>
      <c r="F251" s="35" t="n">
        <v>177.59</v>
      </c>
      <c r="G251" s="35" t="n">
        <v>168.92</v>
      </c>
      <c r="H251" s="35" t="n">
        <v>154.46</v>
      </c>
      <c r="I251" s="35" t="inlineStr">
        <is>
          <t>Água mineral, gasosa ou não, ou potável, naturais, em jarra descartável</t>
        </is>
      </c>
      <c r="J251" s="45" t="inlineStr">
        <is>
          <t>Lei nº 1.810/97, art. 49, § 1º, II; Protocolo ICMS 11/91 e 31/91</t>
        </is>
      </c>
      <c r="K251" s="66" t="inlineStr">
        <is>
          <t>(Itens 5.1 ao 5.5: acrescentados pelo Decreto n° 15.657/2021. Efeitos a partir de 1°.06.2021.)</t>
        </is>
      </c>
      <c r="L251" s="29">
        <f>IF(D251="NCM/SH","",COUNTIF($D$5:$D$1506,D251))</f>
        <v/>
      </c>
      <c r="M251" s="65" t="n"/>
      <c r="N251" s="65" t="n"/>
    </row>
    <row r="252" ht="15.75" customHeight="1" thickBot="1">
      <c r="A252" s="1" t="inlineStr">
        <is>
          <t>04aCerv</t>
        </is>
      </c>
      <c r="B252" s="164" t="inlineStr">
        <is>
          <t>5.3</t>
        </is>
      </c>
      <c r="C252" s="35" t="inlineStr">
        <is>
          <t>03.005.03</t>
        </is>
      </c>
      <c r="D252" s="35" t="inlineStr">
        <is>
          <t>2201.10.00</t>
        </is>
      </c>
      <c r="E252" s="35" t="n">
        <v>140</v>
      </c>
      <c r="F252" s="35" t="n">
        <v>177.59</v>
      </c>
      <c r="G252" s="35" t="n">
        <v>168.92</v>
      </c>
      <c r="H252" s="35" t="n">
        <v>154.46</v>
      </c>
      <c r="I252" s="35" t="inlineStr">
        <is>
          <t>Água mineral, gasosa ou não, ou potável, naturais, adicionadas de sais, em jarra descartável</t>
        </is>
      </c>
      <c r="J252" s="45" t="inlineStr">
        <is>
          <t>Lei nº 1.810/97, art. 49, § 1º, II; Protocolo ICMS 11/91 e 31/91</t>
        </is>
      </c>
      <c r="K252" s="66" t="inlineStr">
        <is>
          <t>(Itens 5.1 ao 5.5: acrescentados pelo Decreto n° 15.657/2021. Efeitos a partir de 1°.06.2021.)</t>
        </is>
      </c>
      <c r="L252" s="29">
        <f>IF(D252="NCM/SH","",COUNTIF($D$5:$D$1506,D252))</f>
        <v/>
      </c>
      <c r="M252" s="65" t="n"/>
      <c r="N252" s="65" t="n"/>
    </row>
    <row r="253" ht="15.75" customHeight="1" thickBot="1">
      <c r="A253" s="1" t="inlineStr">
        <is>
          <t>04aCerv</t>
        </is>
      </c>
      <c r="B253" s="164" t="inlineStr">
        <is>
          <t>5.4</t>
        </is>
      </c>
      <c r="C253" s="35" t="inlineStr">
        <is>
          <t>03.005.04</t>
        </is>
      </c>
      <c r="D253" s="35" t="inlineStr">
        <is>
          <t>2201.10.00</t>
        </is>
      </c>
      <c r="E253" s="35" t="n">
        <v>140</v>
      </c>
      <c r="F253" s="35" t="n">
        <v>177.59</v>
      </c>
      <c r="G253" s="35" t="n">
        <v>168.92</v>
      </c>
      <c r="H253" s="35" t="n">
        <v>154.46</v>
      </c>
      <c r="I253" s="35" t="inlineStr">
        <is>
          <t>Água mineral, gasosa ou não, ou potável, naturais, em demais embalagens descartáveis</t>
        </is>
      </c>
      <c r="J253" s="45" t="inlineStr">
        <is>
          <t>Lei nº 1.810/97, art. 49, § 1º, II; Protocolo ICMS 11/91 e 31/91</t>
        </is>
      </c>
      <c r="K253" s="66" t="inlineStr">
        <is>
          <t>(Itens 5.1 ao 5.5: acrescentados pelo Decreto n° 15.657/2021. Efeitos a partir de 1°.06.2021.)</t>
        </is>
      </c>
      <c r="L253" s="29">
        <f>IF(D253="NCM/SH","",COUNTIF($D$5:$D$1506,D253))</f>
        <v/>
      </c>
      <c r="M253" s="65" t="n"/>
      <c r="N253" s="65" t="n"/>
    </row>
    <row r="254" ht="15.75" customHeight="1" thickBot="1">
      <c r="A254" s="1" t="inlineStr">
        <is>
          <t>04aCerv</t>
        </is>
      </c>
      <c r="B254" s="164" t="inlineStr">
        <is>
          <t>5.5</t>
        </is>
      </c>
      <c r="C254" s="35" t="inlineStr">
        <is>
          <t>03.005.05</t>
        </is>
      </c>
      <c r="D254" s="35" t="inlineStr">
        <is>
          <t>2201.10.00</t>
        </is>
      </c>
      <c r="E254" s="35" t="n">
        <v>140</v>
      </c>
      <c r="F254" s="35" t="n">
        <v>177.59</v>
      </c>
      <c r="G254" s="35" t="n">
        <v>168.92</v>
      </c>
      <c r="H254" s="35" t="n">
        <v>154.46</v>
      </c>
      <c r="I254" s="35" t="inlineStr">
        <is>
          <t>Água mineral, gasosa ou não, ou potável, naturais, adicionadas de sais, em demais embalagens descartáveis</t>
        </is>
      </c>
      <c r="J254" s="45" t="inlineStr">
        <is>
          <t>Lei nº 1.810/97, art. 49, § 1º, II; Protocolo ICMS 11/91 e 31/91</t>
        </is>
      </c>
      <c r="K254" s="66" t="inlineStr">
        <is>
          <t>(Itens 5.1 ao 5.5: acrescentados pelo Decreto n° 15.657/2021. Efeitos a partir de 1°.06.2021.)</t>
        </is>
      </c>
      <c r="L254" s="29">
        <f>IF(D254="NCM/SH","",COUNTIF($D$5:$D$1506,D254))</f>
        <v/>
      </c>
      <c r="M254" s="65" t="n"/>
      <c r="N254" s="65" t="n"/>
    </row>
    <row r="255" ht="15.75" customHeight="1" thickBot="1">
      <c r="A255" s="1" t="inlineStr">
        <is>
          <t>04aCerv</t>
        </is>
      </c>
      <c r="B255" s="164" t="inlineStr">
        <is>
          <t>6.0</t>
        </is>
      </c>
      <c r="C255" s="35" t="inlineStr">
        <is>
          <t>03.006.00</t>
        </is>
      </c>
      <c r="D255" s="35" t="n">
        <v>2201</v>
      </c>
      <c r="E255" s="35" t="n">
        <v>140</v>
      </c>
      <c r="F255" s="35" t="n">
        <v>177.59</v>
      </c>
      <c r="G255" s="35" t="n">
        <v>168.92</v>
      </c>
      <c r="H255" s="35" t="n">
        <v>154.46</v>
      </c>
      <c r="I255" s="35" t="inlineStr">
        <is>
          <t>Outras águas minerais, gasosa ou não, ou potável, naturais; exceto as classificadas no CEST 03.003.00, 03.003.01, 03.005.00, 03.005.01 a 03.005.05, 03.024.00 e 03.025.00</t>
        </is>
      </c>
      <c r="J255" s="45" t="inlineStr">
        <is>
          <t>Lei nº 1.810/97, art. 49, § 1º, II; Protocolo ICMS 11/91 e 31/91</t>
        </is>
      </c>
      <c r="K255" s="49" t="inlineStr">
        <is>
          <t>(Item 6.0: nova redação dada pelo Decreto n° 15.657/2021. Efeitos a partir de 1°.06.2021.)</t>
        </is>
      </c>
      <c r="L255" s="29">
        <f>IF(D255="NCM/SH","",COUNTIF($D$5:$D$1506,D255))</f>
        <v/>
      </c>
      <c r="M255" s="65" t="n"/>
      <c r="N255" s="65" t="n"/>
    </row>
    <row r="256" ht="15.75" customHeight="1" thickBot="1">
      <c r="A256" s="1" t="inlineStr">
        <is>
          <t>04aCerv</t>
        </is>
      </c>
      <c r="B256" s="164" t="inlineStr">
        <is>
          <t>7.0</t>
        </is>
      </c>
      <c r="C256" s="35" t="inlineStr">
        <is>
          <t>03.007.00</t>
        </is>
      </c>
      <c r="D256" s="35" t="inlineStr">
        <is>
          <t>2202.10.00</t>
        </is>
      </c>
      <c r="E256" s="35" t="n">
        <v>140</v>
      </c>
      <c r="F256" s="35" t="n">
        <v>177.59</v>
      </c>
      <c r="G256" s="35" t="n">
        <v>168.92</v>
      </c>
      <c r="H256" s="35" t="n">
        <v>154.46</v>
      </c>
      <c r="I256" s="35" t="inlineStr">
        <is>
          <t>Água aromatizada artificialmente, exceto os refrescos e refrigerantes</t>
        </is>
      </c>
      <c r="J256" s="45" t="inlineStr">
        <is>
          <t>Lei nº 1.810/97, art. 49, § 1º, II; Protocolo ICMS 11/91 e 31/91</t>
        </is>
      </c>
      <c r="K256" s="43" t="inlineStr">
        <is>
          <t>(Item 7.0: nova redação dada pelo Decreto n° 15.657/2021. Efeitos a partir de 1°.06.2021.)</t>
        </is>
      </c>
      <c r="L256" s="29">
        <f>IF(D256="NCM/SH","",COUNTIF($D$5:$D$1506,D256))</f>
        <v/>
      </c>
      <c r="M256" s="65" t="n"/>
      <c r="N256" s="65" t="n"/>
    </row>
    <row r="257" ht="15.75" customHeight="1" thickBot="1">
      <c r="A257" s="1" t="inlineStr">
        <is>
          <t>04aCerv</t>
        </is>
      </c>
      <c r="B257" s="164" t="inlineStr">
        <is>
          <t>8.0</t>
        </is>
      </c>
      <c r="C257" s="35" t="inlineStr">
        <is>
          <t>03.008.00</t>
        </is>
      </c>
      <c r="D257" s="35" t="inlineStr">
        <is>
          <t>2202.99.00</t>
        </is>
      </c>
      <c r="E257" s="35" t="n">
        <v>140</v>
      </c>
      <c r="F257" s="35" t="n">
        <v>177.59</v>
      </c>
      <c r="G257" s="35" t="n">
        <v>168.92</v>
      </c>
      <c r="H257" s="35" t="n">
        <v>154.46</v>
      </c>
      <c r="I257" s="35" t="inlineStr">
        <is>
          <t>Outras águas minerais, gasosa ou não, ou potável, naturais, inclusive gaseificadas ou aromatizadas artificialmente, exceto os refrescos e refrigerantes</t>
        </is>
      </c>
      <c r="J257" s="45" t="inlineStr">
        <is>
          <t>Lei nº 1.810/97, art. 49, § 1º, II; Protocolo ICMS 11/91 e 31/91</t>
        </is>
      </c>
      <c r="K257" s="43" t="inlineStr">
        <is>
          <t>(Item 8.0: nova redação dada pelo Decreto n° 15.657/2021. Efeitos a partir de 1°.06.2021.)</t>
        </is>
      </c>
      <c r="L257" s="29">
        <f>IF(D257="NCM/SH","",COUNTIF($D$5:$D$1506,D257))</f>
        <v/>
      </c>
      <c r="M257" s="65" t="n"/>
      <c r="N257" s="65" t="n"/>
    </row>
    <row r="258" ht="14.45" customHeight="1" thickBot="1">
      <c r="A258" s="1" t="inlineStr">
        <is>
          <t>04aCerv</t>
        </is>
      </c>
      <c r="B258" s="163" t="n">
        <v>8</v>
      </c>
      <c r="C258" s="67" t="inlineStr">
        <is>
          <t>03.008.00</t>
        </is>
      </c>
      <c r="D258" s="68" t="inlineStr">
        <is>
          <t>2202.99.00</t>
        </is>
      </c>
      <c r="E258" s="68" t="n">
        <v>140</v>
      </c>
      <c r="F258" s="68" t="n">
        <v>177.59</v>
      </c>
      <c r="G258" s="68" t="n">
        <v>168.92</v>
      </c>
      <c r="H258" s="68" t="n">
        <v>154.46</v>
      </c>
      <c r="I258" s="69" t="inlineStr">
        <is>
          <t>Outras águas minerais, gasosa ou não, ou potável, naturais, inclusive gaseificadas ou aromatizadas artificialmente, exceto os refrescos e refrigerantes</t>
        </is>
      </c>
      <c r="J258" s="70" t="inlineStr">
        <is>
          <t>Lei nº 1.810, art. 49,</t>
        </is>
      </c>
      <c r="K258" s="43" t="inlineStr">
        <is>
          <t>(Item 8.0: nova redação dada pelo Decreto n° 15.657/2021. Efeitos a partir de 1°.06.2021.)</t>
        </is>
      </c>
      <c r="L258" s="29">
        <f>IF(D258="NCM/SH","",COUNTIF($D$5:$D$1506,D258))</f>
        <v/>
      </c>
      <c r="M258" s="65" t="n"/>
      <c r="N258" s="65" t="n"/>
    </row>
    <row r="259" ht="15.75" customHeight="1" thickBot="1">
      <c r="A259" s="1" t="inlineStr">
        <is>
          <t>04aCerv</t>
        </is>
      </c>
      <c r="B259" s="164" t="n">
        <v>8</v>
      </c>
      <c r="C259" s="71" t="inlineStr">
        <is>
          <t>03.008.00</t>
        </is>
      </c>
      <c r="D259" s="72" t="inlineStr">
        <is>
          <t>2202.99.00</t>
        </is>
      </c>
      <c r="E259" s="72" t="n">
        <v>140</v>
      </c>
      <c r="F259" s="72" t="n">
        <v>177.59</v>
      </c>
      <c r="G259" s="72" t="n">
        <v>168.92</v>
      </c>
      <c r="H259" s="72" t="n">
        <v>154.46</v>
      </c>
      <c r="I259" s="73" t="inlineStr">
        <is>
          <t>Outras águas minerais, gasosa ou não, ou potável, naturais, inclusive gaseificadas ou aromatizadas artificialmente, exceto os refrescos e refrigerantes</t>
        </is>
      </c>
      <c r="J259" s="48" t="inlineStr">
        <is>
          <t>§ 1º, XXIX</t>
        </is>
      </c>
      <c r="K259" s="43" t="inlineStr">
        <is>
          <t>(Item 8.0: nova redação dada pelo Decreto n° 15.657/2021. Efeitos a partir de 1°.06.2021.)</t>
        </is>
      </c>
      <c r="L259" s="29">
        <f>IF(D259="NCM/SH","",COUNTIF($D$5:$D$1506,D259))</f>
        <v/>
      </c>
      <c r="M259" s="65" t="n"/>
      <c r="N259" s="65" t="n"/>
    </row>
    <row r="260" ht="14.45" customHeight="1" thickBot="1">
      <c r="A260" s="1" t="inlineStr">
        <is>
          <t>04aCerv</t>
        </is>
      </c>
      <c r="B260" s="163" t="n">
        <v>10</v>
      </c>
      <c r="C260" s="163" t="inlineStr">
        <is>
          <t>03.010.00</t>
        </is>
      </c>
      <c r="D260" s="37" t="inlineStr">
        <is>
          <t>2202.10.00</t>
        </is>
      </c>
      <c r="E260" s="163" t="n">
        <v>140</v>
      </c>
      <c r="F260" s="163" t="n">
        <v>188</v>
      </c>
      <c r="G260" s="163" t="n">
        <v>179</v>
      </c>
      <c r="H260" s="163" t="n">
        <v>164</v>
      </c>
      <c r="I260" s="163" t="inlineStr">
        <is>
          <t>Refrigerante em vidro descartável</t>
        </is>
      </c>
      <c r="J260" s="163" t="inlineStr">
        <is>
          <t>Lei nº 1.810, art. 49, § 1º, XXIII Protocolo ICMS 11/91 e 31/91</t>
        </is>
      </c>
      <c r="K260" s="49" t="inlineStr">
        <is>
          <t>(Item 10: nova redação dada pelo Decreto n° 15.657/2021. Efeitos a partir de 1°.06.2021.)</t>
        </is>
      </c>
      <c r="L260" s="29">
        <f>IF(D260="NCM/SH","",COUNTIF($D$5:$D$1506,D260))</f>
        <v/>
      </c>
      <c r="M260" s="65" t="n"/>
      <c r="N260" s="65" t="n"/>
    </row>
    <row r="261" ht="15.75" customHeight="1" thickBot="1">
      <c r="A261" s="1" t="inlineStr">
        <is>
          <t>04aCerv</t>
        </is>
      </c>
      <c r="B261" s="164" t="n">
        <v>10</v>
      </c>
      <c r="C261" s="164" t="inlineStr">
        <is>
          <t>03.010.00</t>
        </is>
      </c>
      <c r="D261" s="35" t="inlineStr">
        <is>
          <t>2202.99.00</t>
        </is>
      </c>
      <c r="E261" s="164" t="n">
        <v>140</v>
      </c>
      <c r="F261" s="164" t="n">
        <v>188</v>
      </c>
      <c r="G261" s="164" t="n">
        <v>179</v>
      </c>
      <c r="H261" s="164" t="n">
        <v>164</v>
      </c>
      <c r="I261" s="164" t="inlineStr">
        <is>
          <t>Refrigerante em vidro descartável</t>
        </is>
      </c>
      <c r="J261" s="44" t="inlineStr">
        <is>
          <t>Lei nº 1.810, art. 49, § 1º, XXIII Protocolo ICMS 11/91 e 31/91</t>
        </is>
      </c>
      <c r="K261" s="49" t="inlineStr">
        <is>
          <t>(Item 10: nova redação dada pelo Decreto n° 15.657/2021. Efeitos a partir de 1°.06.2021.)</t>
        </is>
      </c>
      <c r="L261" s="29">
        <f>IF(D261="NCM/SH","",COUNTIF($D$5:$D$1506,D261))</f>
        <v/>
      </c>
      <c r="M261" s="65" t="n"/>
      <c r="N261" s="65" t="n"/>
    </row>
    <row r="262" ht="15.75" customHeight="1" thickBot="1">
      <c r="A262" s="1" t="inlineStr">
        <is>
          <t>04aCerv</t>
        </is>
      </c>
      <c r="B262" s="163" t="inlineStr">
        <is>
          <t>10.1</t>
        </is>
      </c>
      <c r="C262" s="163" t="inlineStr">
        <is>
          <t>03.010.01</t>
        </is>
      </c>
      <c r="D262" s="37" t="inlineStr">
        <is>
          <t>2202.10.00</t>
        </is>
      </c>
      <c r="E262" s="163" t="n">
        <v>140</v>
      </c>
      <c r="F262" s="163" t="n">
        <v>188</v>
      </c>
      <c r="G262" s="163" t="n">
        <v>179</v>
      </c>
      <c r="H262" s="163" t="n">
        <v>164</v>
      </c>
      <c r="I262" s="163" t="inlineStr">
        <is>
          <t>Refrigerante em embalagem pet</t>
        </is>
      </c>
      <c r="J262" s="44" t="inlineStr">
        <is>
          <t>Lei nº 1.810, art. 49, § 1º, XXIII Protocolo ICMS 11/91 e 31/91</t>
        </is>
      </c>
      <c r="K262" s="66" t="inlineStr">
        <is>
          <t>(Itens 10.1 ao 10.3: acrescentados pelo Decreto n° 15.657/2021. Efeitos a partir de 1°.06.2021.)</t>
        </is>
      </c>
      <c r="L262" s="29">
        <f>IF(D262="NCM/SH","",COUNTIF($D$5:$D$1506,D262))</f>
        <v/>
      </c>
      <c r="M262" s="65" t="n"/>
      <c r="N262" s="65" t="n"/>
    </row>
    <row r="263" ht="15.75" customHeight="1" thickBot="1">
      <c r="A263" s="1" t="inlineStr">
        <is>
          <t>04aCerv</t>
        </is>
      </c>
      <c r="B263" s="164" t="n">
        <v>10.1</v>
      </c>
      <c r="C263" s="164" t="inlineStr">
        <is>
          <t>03.010.01</t>
        </is>
      </c>
      <c r="D263" s="35" t="inlineStr">
        <is>
          <t>2202.99.00</t>
        </is>
      </c>
      <c r="E263" s="164" t="n">
        <v>140</v>
      </c>
      <c r="F263" s="164" t="n">
        <v>188</v>
      </c>
      <c r="G263" s="164" t="n">
        <v>179</v>
      </c>
      <c r="H263" s="164" t="n">
        <v>164</v>
      </c>
      <c r="I263" s="164" t="inlineStr">
        <is>
          <t>Refrigerante em embalagem pet</t>
        </is>
      </c>
      <c r="J263" s="44" t="inlineStr">
        <is>
          <t>Lei nº 1.810, art. 49, § 1º, XXIII Protocolo ICMS 11/91 e 31/91</t>
        </is>
      </c>
      <c r="K263" s="66" t="inlineStr">
        <is>
          <t>(Itens 10.1 ao 10.3: acrescentados pelo Decreto n° 15.657/2021. Efeitos a partir de 1°.06.2021.)</t>
        </is>
      </c>
      <c r="L263" s="29">
        <f>IF(D263="NCM/SH","",COUNTIF($D$5:$D$1506,D263))</f>
        <v/>
      </c>
      <c r="M263" s="65" t="n"/>
      <c r="N263" s="65" t="n"/>
    </row>
    <row r="264" ht="15.75" customHeight="1" thickBot="1">
      <c r="A264" s="1" t="inlineStr">
        <is>
          <t>04aCerv</t>
        </is>
      </c>
      <c r="B264" s="163" t="inlineStr">
        <is>
          <t>10.2</t>
        </is>
      </c>
      <c r="C264" s="163" t="inlineStr">
        <is>
          <t>03.010.02</t>
        </is>
      </c>
      <c r="D264" s="37" t="inlineStr">
        <is>
          <t>2202.10.00</t>
        </is>
      </c>
      <c r="E264" s="163" t="n">
        <v>140</v>
      </c>
      <c r="F264" s="163" t="n">
        <v>188</v>
      </c>
      <c r="G264" s="163" t="n">
        <v>179</v>
      </c>
      <c r="H264" s="163" t="n">
        <v>164</v>
      </c>
      <c r="I264" s="163" t="inlineStr">
        <is>
          <t>Refrigerante em lata</t>
        </is>
      </c>
      <c r="J264" s="44" t="inlineStr">
        <is>
          <t>Lei nº 1.810, art. 49, § 1º, XXIII Protocolo ICMS 11/91 e 31/91</t>
        </is>
      </c>
      <c r="K264" s="66" t="inlineStr">
        <is>
          <t>(Itens 10.1 ao 10.3: acrescentados pelo Decreto n° 15.657/2021. Efeitos a partir de 1°.06.2021.)</t>
        </is>
      </c>
      <c r="L264" s="29">
        <f>IF(D264="NCM/SH","",COUNTIF($D$5:$D$1506,D264))</f>
        <v/>
      </c>
      <c r="M264" s="65" t="n"/>
      <c r="N264" s="65" t="n"/>
    </row>
    <row r="265" ht="15.75" customHeight="1" thickBot="1">
      <c r="A265" s="1" t="inlineStr">
        <is>
          <t>04aCerv</t>
        </is>
      </c>
      <c r="B265" s="164" t="n">
        <v>10.2</v>
      </c>
      <c r="C265" s="164" t="inlineStr">
        <is>
          <t>03.010.02</t>
        </is>
      </c>
      <c r="D265" s="35" t="inlineStr">
        <is>
          <t>2202.99.00</t>
        </is>
      </c>
      <c r="E265" s="164" t="n">
        <v>140</v>
      </c>
      <c r="F265" s="164" t="n">
        <v>188</v>
      </c>
      <c r="G265" s="164" t="n">
        <v>179</v>
      </c>
      <c r="H265" s="164" t="n">
        <v>164</v>
      </c>
      <c r="I265" s="164" t="inlineStr">
        <is>
          <t>Refrigerante em lata</t>
        </is>
      </c>
      <c r="J265" s="44" t="inlineStr">
        <is>
          <t>Lei nº 1.810, art. 49, § 1º, XXIII Protocolo ICMS 11/91 e 31/91</t>
        </is>
      </c>
      <c r="K265" s="66" t="inlineStr">
        <is>
          <t>(Itens 10.1 ao 10.3: acrescentados pelo Decreto n° 15.657/2021. Efeitos a partir de 1°.06.2021.)</t>
        </is>
      </c>
      <c r="L265" s="29">
        <f>IF(D265="NCM/SH","",COUNTIF($D$5:$D$1506,D265))</f>
        <v/>
      </c>
      <c r="M265" s="65" t="n"/>
      <c r="N265" s="65" t="n"/>
    </row>
    <row r="266" ht="14.45" customHeight="1" thickBot="1">
      <c r="A266" s="1" t="inlineStr">
        <is>
          <t>04aCerv</t>
        </is>
      </c>
      <c r="B266" s="163" t="inlineStr">
        <is>
          <t>11.0</t>
        </is>
      </c>
      <c r="C266" s="163" t="inlineStr">
        <is>
          <t>03.011.00</t>
        </is>
      </c>
      <c r="D266" s="37" t="inlineStr">
        <is>
          <t>2202.10.00</t>
        </is>
      </c>
      <c r="E266" s="163" t="n">
        <v>140</v>
      </c>
      <c r="F266" s="163" t="n">
        <v>188</v>
      </c>
      <c r="G266" s="163" t="n">
        <v>179</v>
      </c>
      <c r="H266" s="163" t="n">
        <v>164</v>
      </c>
      <c r="I266" s="163" t="inlineStr">
        <is>
          <t>Demais refrigerantes, exceto os classificados no CEST 03.010.00, 03.010.01, 03.010.02 e 03.011.01</t>
        </is>
      </c>
      <c r="J266" s="163" t="inlineStr">
        <is>
          <t>Lei nº 1.810, de 1997, art. 49, § 1º, II</t>
        </is>
      </c>
      <c r="K266" s="49" t="inlineStr">
        <is>
          <t>(Item 11.0: nova redação dada pelo Decreto n° 15.912/2022. Efeitos a partir de 1°.04.2022.)</t>
        </is>
      </c>
      <c r="L266" s="29">
        <f>IF(D266="NCM/SH","",COUNTIF($D$5:$D$1506,D266))</f>
        <v/>
      </c>
      <c r="M266" s="65" t="n"/>
      <c r="N266" s="65" t="n"/>
    </row>
    <row r="267" ht="15.75" customHeight="1" thickBot="1">
      <c r="A267" s="1" t="inlineStr">
        <is>
          <t>04aCerv</t>
        </is>
      </c>
      <c r="B267" s="164" t="n">
        <v>11</v>
      </c>
      <c r="C267" s="164" t="inlineStr">
        <is>
          <t>03.011.00</t>
        </is>
      </c>
      <c r="D267" s="35" t="inlineStr">
        <is>
          <t>2202.99.00</t>
        </is>
      </c>
      <c r="E267" s="164" t="n">
        <v>140</v>
      </c>
      <c r="F267" s="164" t="n">
        <v>188</v>
      </c>
      <c r="G267" s="164" t="n">
        <v>179</v>
      </c>
      <c r="H267" s="164" t="n">
        <v>164</v>
      </c>
      <c r="I267" s="164" t="inlineStr">
        <is>
          <t>Demais refrigerantes, exceto os classificados no CEST 03.010.00, 03.010.01, 03.010.02 e 03.011.01</t>
        </is>
      </c>
      <c r="J267" s="44" t="inlineStr">
        <is>
          <t>Lei nº 1.810, de 1997, art. 49, § 1º, II</t>
        </is>
      </c>
      <c r="K267" s="49" t="inlineStr">
        <is>
          <t>(Item 11.0: nova redação dada pelo Decreto n° 15.912/2022. Efeitos a partir de 1°.04.2022.)</t>
        </is>
      </c>
      <c r="L267" s="29">
        <f>IF(D267="NCM/SH","",COUNTIF($D$5:$D$1506,D267))</f>
        <v/>
      </c>
      <c r="M267" s="65" t="n"/>
      <c r="N267" s="65" t="n"/>
    </row>
    <row r="268" ht="15" customHeight="1" thickBot="1">
      <c r="A268" s="1" t="inlineStr">
        <is>
          <t>04aCerv</t>
        </is>
      </c>
      <c r="B268" s="164" t="inlineStr">
        <is>
          <t>11.1</t>
        </is>
      </c>
      <c r="C268" s="35" t="inlineStr">
        <is>
          <t>03.011.01</t>
        </is>
      </c>
      <c r="D268" s="35" t="n">
        <v>2202</v>
      </c>
      <c r="E268" s="35" t="n">
        <v>140</v>
      </c>
      <c r="F268" s="35" t="n">
        <v>188</v>
      </c>
      <c r="G268" s="35" t="n">
        <v>179</v>
      </c>
      <c r="H268" s="35" t="n">
        <v>164</v>
      </c>
      <c r="I268" s="35" t="inlineStr">
        <is>
          <t>Espumantes sem álcool</t>
        </is>
      </c>
      <c r="J268" s="163" t="inlineStr">
        <is>
          <t>Lei nº 1.810, art. 49, § 1º, XXIII Protocolo ICMS 11/91 e 31/91</t>
        </is>
      </c>
      <c r="K268" s="49" t="inlineStr">
        <is>
          <t>(Item 11.1: acrescentado pelo Decreto n° 14.913/2017. Efeitos a partir de 1°.01.2018.)</t>
        </is>
      </c>
      <c r="L268" s="29">
        <f>IF(D268="NCM/SH","",COUNTIF($D$5:$D$1506,D268))</f>
        <v/>
      </c>
      <c r="M268" s="65" t="n"/>
      <c r="N268" s="65" t="n"/>
    </row>
    <row r="269" ht="15.75" customHeight="1" thickBot="1">
      <c r="A269" s="1" t="inlineStr">
        <is>
          <t>04aCerv</t>
        </is>
      </c>
      <c r="B269" s="164" t="inlineStr">
        <is>
          <t>12.0</t>
        </is>
      </c>
      <c r="C269" s="35" t="inlineStr">
        <is>
          <t>03.012.00</t>
        </is>
      </c>
      <c r="D269" s="35" t="inlineStr">
        <is>
          <t>2106.90.10</t>
        </is>
      </c>
      <c r="E269" s="35" t="n">
        <v>140</v>
      </c>
      <c r="F269" s="35" t="n">
        <v>177.59</v>
      </c>
      <c r="G269" s="35" t="n">
        <v>168.92</v>
      </c>
      <c r="H269" s="35" t="n">
        <v>154.46</v>
      </c>
      <c r="I269" s="35" t="inlineStr">
        <is>
          <t>Xarope ou extrato concentrado destinados ao preparo de refrigerante em máquina “pré-mix” ou “post-mix”, exceto o classificado no CEST 03.012.01</t>
        </is>
      </c>
      <c r="J269" s="163" t="inlineStr">
        <is>
          <t>Lei nº 1.810, de 1997, art. 49, § 1º, II</t>
        </is>
      </c>
      <c r="K269" s="49" t="inlineStr">
        <is>
          <t>(Item 12.0: nova redação dada pelo Decreto n° 15.912/2022. Efeitos a partir de 1°.04.2022.)</t>
        </is>
      </c>
      <c r="L269" s="29">
        <f>IF(D269="NCM/SH","",COUNTIF($D$5:$D$1506,D269))</f>
        <v/>
      </c>
      <c r="M269" s="65" t="n"/>
      <c r="N269" s="65" t="n"/>
    </row>
    <row r="270" ht="15.75" customHeight="1" thickBot="1">
      <c r="A270" s="1" t="inlineStr">
        <is>
          <t>04aCerv</t>
        </is>
      </c>
      <c r="B270" s="164" t="inlineStr">
        <is>
          <t>12.1</t>
        </is>
      </c>
      <c r="C270" s="35" t="inlineStr">
        <is>
          <t>03.012.01</t>
        </is>
      </c>
      <c r="D270" s="35" t="inlineStr">
        <is>
          <t>2106.90.10</t>
        </is>
      </c>
      <c r="E270" s="35" t="n">
        <v>140</v>
      </c>
      <c r="F270" s="35" t="n">
        <v>188</v>
      </c>
      <c r="G270" s="35" t="n">
        <v>179</v>
      </c>
      <c r="H270" s="35" t="n">
        <v>164</v>
      </c>
      <c r="I270" s="35" t="inlineStr">
        <is>
          <t>Cápsula de refrigerante</t>
        </is>
      </c>
      <c r="J270" s="44" t="inlineStr">
        <is>
          <t>Lei nº 1.810, de 1997, art. 49, § 1º, II</t>
        </is>
      </c>
      <c r="K270" s="49" t="inlineStr">
        <is>
          <t>(Item 12.1: acrescentado pelo Decreto n° 15.912/2022. Efeitos a partir de 1°.04.2022.)</t>
        </is>
      </c>
      <c r="L270" s="29">
        <f>IF(D270="NCM/SH","",COUNTIF($D$5:$D$1506,D270))</f>
        <v/>
      </c>
      <c r="M270" s="65" t="n"/>
      <c r="N270" s="65" t="n"/>
    </row>
    <row r="271" ht="15.75" customHeight="1" thickBot="1">
      <c r="A271" s="1" t="inlineStr">
        <is>
          <t>04aCerv</t>
        </is>
      </c>
      <c r="B271" s="163" t="inlineStr">
        <is>
          <t>13.0</t>
        </is>
      </c>
      <c r="C271" s="163" t="inlineStr">
        <is>
          <t>03.013.00</t>
        </is>
      </c>
      <c r="D271" s="37" t="inlineStr">
        <is>
          <t>2106.90</t>
        </is>
      </c>
      <c r="E271" s="163" t="n">
        <v>140</v>
      </c>
      <c r="F271" s="163" t="n">
        <v>177.59</v>
      </c>
      <c r="G271" s="163" t="n">
        <v>168.92</v>
      </c>
      <c r="H271" s="163" t="n">
        <v>154.46</v>
      </c>
      <c r="I271" s="163" t="inlineStr">
        <is>
          <t>Bebidas energéticas em lata</t>
        </is>
      </c>
      <c r="J271" s="38" t="inlineStr">
        <is>
          <t>Lei nº 1.810, art. 49, § 1º, II; Protocolo ICMS 11/91 e 31/91</t>
        </is>
      </c>
      <c r="K271" s="43" t="inlineStr">
        <is>
          <t>(Item 13.0: nova redação dada pelo Decreto n° 15.657/2021. Efeitos a partir de 1°.06.2021.)</t>
        </is>
      </c>
      <c r="L271" s="29">
        <f>IF(D271="NCM/SH","",COUNTIF($D$5:$D$1506,D271))</f>
        <v/>
      </c>
      <c r="M271" s="65" t="n"/>
      <c r="N271" s="65" t="n"/>
    </row>
    <row r="272" ht="15.75" customHeight="1" thickBot="1">
      <c r="A272" s="1" t="inlineStr">
        <is>
          <t>04aCerv</t>
        </is>
      </c>
      <c r="B272" s="164" t="n">
        <v>13</v>
      </c>
      <c r="C272" s="164" t="inlineStr">
        <is>
          <t>03.013.00</t>
        </is>
      </c>
      <c r="D272" s="35" t="inlineStr">
        <is>
          <t>2202.99.00</t>
        </is>
      </c>
      <c r="E272" s="164" t="n">
        <v>140</v>
      </c>
      <c r="F272" s="164" t="n">
        <v>177.59</v>
      </c>
      <c r="G272" s="164" t="n">
        <v>168.92</v>
      </c>
      <c r="H272" s="164" t="n">
        <v>154.46</v>
      </c>
      <c r="I272" s="164" t="inlineStr">
        <is>
          <t>Bebidas energéticas em lata</t>
        </is>
      </c>
      <c r="J272" s="38" t="inlineStr">
        <is>
          <t>Lei nº 1.810, art. 49, § 1º, II; Protocolo ICMS 11/91 e 31/91</t>
        </is>
      </c>
      <c r="K272" s="43" t="inlineStr">
        <is>
          <t>(Item 13.0: nova redação dada pelo Decreto n° 15.657/2021. Efeitos a partir de 1°.06.2021.)</t>
        </is>
      </c>
      <c r="L272" s="29">
        <f>IF(D272="NCM/SH","",COUNTIF($D$5:$D$1506,D272))</f>
        <v/>
      </c>
      <c r="M272" s="65" t="n"/>
      <c r="N272" s="65" t="n"/>
    </row>
    <row r="273" ht="15.75" customHeight="1" thickBot="1">
      <c r="A273" s="1" t="inlineStr">
        <is>
          <t>04aCerv</t>
        </is>
      </c>
      <c r="B273" s="74" t="inlineStr">
        <is>
          <t>13.1</t>
        </is>
      </c>
      <c r="C273" s="74" t="inlineStr">
        <is>
          <t>03.013.01</t>
        </is>
      </c>
      <c r="D273" s="75" t="inlineStr">
        <is>
          <t>2106.90</t>
        </is>
      </c>
      <c r="E273" s="74" t="n">
        <v>140</v>
      </c>
      <c r="F273" s="74" t="n">
        <v>177.59</v>
      </c>
      <c r="G273" s="74" t="n">
        <v>168.92</v>
      </c>
      <c r="H273" s="74" t="n">
        <v>154.46</v>
      </c>
      <c r="I273" s="74" t="inlineStr">
        <is>
          <t>Bebidas energéticas em embalagem PET</t>
        </is>
      </c>
      <c r="J273" s="40" t="inlineStr">
        <is>
          <t>Lei nº 1.810, art. 49, § 1º, II; Protocolo ICMS 11/91 e 31/91</t>
        </is>
      </c>
      <c r="K273" s="43" t="inlineStr">
        <is>
          <t>(Itens 13.1 ao 13.2: acrescentados dada pelo Decreto n° 15.657/2021. Efeitos a partir de 1°.06.2021.)</t>
        </is>
      </c>
      <c r="L273" s="29">
        <f>IF(D273="NCM/SH","",COUNTIF($D$5:$D$1506,D273))</f>
        <v/>
      </c>
      <c r="M273" s="65" t="n"/>
      <c r="N273" s="65" t="n"/>
    </row>
    <row r="274" ht="15.75" customHeight="1" thickBot="1">
      <c r="A274" s="1" t="inlineStr">
        <is>
          <t>04aCerv</t>
        </is>
      </c>
      <c r="B274" s="76" t="n">
        <v>13.1</v>
      </c>
      <c r="C274" s="76" t="inlineStr">
        <is>
          <t>03.013.01</t>
        </is>
      </c>
      <c r="D274" s="73" t="inlineStr">
        <is>
          <t>2202.99.00</t>
        </is>
      </c>
      <c r="E274" s="76" t="n">
        <v>140</v>
      </c>
      <c r="F274" s="76" t="n">
        <v>177.59</v>
      </c>
      <c r="G274" s="76" t="n">
        <v>168.92</v>
      </c>
      <c r="H274" s="76" t="n">
        <v>154.46</v>
      </c>
      <c r="I274" s="76" t="inlineStr">
        <is>
          <t>Bebidas energéticas em embalagem PET</t>
        </is>
      </c>
      <c r="J274" s="40" t="inlineStr">
        <is>
          <t>Lei nº 1.810, art. 49, § 1º, II; Protocolo ICMS 11/91 e 31/91</t>
        </is>
      </c>
      <c r="K274" s="43" t="inlineStr">
        <is>
          <t>(Itens 13.1 ao 13.2: acrescentados dada pelo Decreto n° 15.657/2021. Efeitos a partir de 1°.06.2021.)</t>
        </is>
      </c>
      <c r="L274" s="29">
        <f>IF(D274="NCM/SH","",COUNTIF($D$5:$D$1506,D274))</f>
        <v/>
      </c>
      <c r="M274" s="65" t="n"/>
      <c r="N274" s="65" t="n"/>
    </row>
    <row r="275" ht="15.75" customHeight="1" thickBot="1">
      <c r="A275" s="1" t="inlineStr">
        <is>
          <t>04aCerv</t>
        </is>
      </c>
      <c r="B275" s="74" t="inlineStr">
        <is>
          <t>13.2</t>
        </is>
      </c>
      <c r="C275" s="74" t="inlineStr">
        <is>
          <t>03.013.02</t>
        </is>
      </c>
      <c r="D275" s="75" t="inlineStr">
        <is>
          <t>2106.90</t>
        </is>
      </c>
      <c r="E275" s="74" t="n">
        <v>140</v>
      </c>
      <c r="F275" s="74" t="n">
        <v>177.59</v>
      </c>
      <c r="G275" s="74" t="n">
        <v>168.92</v>
      </c>
      <c r="H275" s="74" t="n">
        <v>154.46</v>
      </c>
      <c r="I275" s="74" t="inlineStr">
        <is>
          <t>Bebidas energéticas em vidro</t>
        </is>
      </c>
      <c r="J275" s="40" t="inlineStr">
        <is>
          <t>Lei nº 1.810, art. 49, § 1º, II; Protocolo ICMS 11/91 e 31/91</t>
        </is>
      </c>
      <c r="K275" s="43" t="inlineStr">
        <is>
          <t>(Itens 13.1 ao 13.2: acrescentados dada pelo Decreto n° 15.657/2021. Efeitos a partir de 1°.06.2021.)</t>
        </is>
      </c>
      <c r="L275" s="29">
        <f>IF(D275="NCM/SH","",COUNTIF($D$5:$D$1506,D275))</f>
        <v/>
      </c>
      <c r="M275" s="65" t="n"/>
      <c r="N275" s="65" t="n"/>
    </row>
    <row r="276" ht="15.75" customHeight="1" thickBot="1">
      <c r="A276" s="1" t="inlineStr">
        <is>
          <t>04aCerv</t>
        </is>
      </c>
      <c r="B276" s="76" t="n">
        <v>13.2</v>
      </c>
      <c r="C276" s="76" t="inlineStr">
        <is>
          <t>03.013.02</t>
        </is>
      </c>
      <c r="D276" s="73" t="inlineStr">
        <is>
          <t>2202.99.00</t>
        </is>
      </c>
      <c r="E276" s="76" t="n">
        <v>140</v>
      </c>
      <c r="F276" s="76" t="n">
        <v>177.59</v>
      </c>
      <c r="G276" s="76" t="n">
        <v>168.92</v>
      </c>
      <c r="H276" s="76" t="n">
        <v>154.46</v>
      </c>
      <c r="I276" s="76" t="inlineStr">
        <is>
          <t>Bebidas energéticas em vidro</t>
        </is>
      </c>
      <c r="J276" s="40" t="inlineStr">
        <is>
          <t>Lei nº 1.810, art. 49, § 1º, II; Protocolo ICMS 11/91 e 31/91</t>
        </is>
      </c>
      <c r="K276" s="43" t="inlineStr">
        <is>
          <t>(Itens 13.1 ao 13.2: acrescentados dada pelo Decreto n° 15.657/2021. Efeitos a partir de 1°.06.2021.)</t>
        </is>
      </c>
      <c r="L276" s="29">
        <f>IF(D276="NCM/SH","",COUNTIF($D$5:$D$1506,D276))</f>
        <v/>
      </c>
      <c r="M276" s="65" t="n"/>
      <c r="N276" s="65" t="n"/>
    </row>
    <row r="277" ht="15.75" customHeight="1" thickBot="1">
      <c r="A277" s="1" t="inlineStr">
        <is>
          <t>04aCerv</t>
        </is>
      </c>
      <c r="B277" s="163" t="inlineStr">
        <is>
          <t>15.0</t>
        </is>
      </c>
      <c r="C277" s="163" t="inlineStr">
        <is>
          <t>03.015.00</t>
        </is>
      </c>
      <c r="D277" s="37" t="inlineStr">
        <is>
          <t>2106.90</t>
        </is>
      </c>
      <c r="E277" s="163" t="n">
        <v>140</v>
      </c>
      <c r="F277" s="163" t="n">
        <v>177.59</v>
      </c>
      <c r="G277" s="163" t="n">
        <v>168.92</v>
      </c>
      <c r="H277" s="163" t="n">
        <v>154.46</v>
      </c>
      <c r="I277" s="163" t="inlineStr">
        <is>
          <t>Bebidas hidroeletrolíticas</t>
        </is>
      </c>
      <c r="J277" s="40" t="inlineStr">
        <is>
          <t>Lei nº 1.810, art. 49, § 1º, II; Protocolo ICMS 11/91 e 31/91</t>
        </is>
      </c>
      <c r="K277" s="43" t="inlineStr">
        <is>
          <t>(Item 15.0: nova redação dada pelo Decreto n° 15.657/2021. Efeitos a partir de 1°.06.2021.)</t>
        </is>
      </c>
      <c r="L277" s="29">
        <f>IF(D277="NCM/SH","",COUNTIF($D$5:$D$1506,D277))</f>
        <v/>
      </c>
      <c r="M277" s="65" t="n"/>
      <c r="N277" s="65" t="n"/>
    </row>
    <row r="278" ht="15.75" customHeight="1" thickBot="1">
      <c r="A278" s="1" t="inlineStr">
        <is>
          <t>04aCerv</t>
        </is>
      </c>
      <c r="B278" s="164" t="n">
        <v>15</v>
      </c>
      <c r="C278" s="164" t="inlineStr">
        <is>
          <t>03.015.00</t>
        </is>
      </c>
      <c r="D278" s="35" t="inlineStr">
        <is>
          <t>2202.99.00</t>
        </is>
      </c>
      <c r="E278" s="164" t="n">
        <v>140</v>
      </c>
      <c r="F278" s="164" t="n">
        <v>177.59</v>
      </c>
      <c r="G278" s="164" t="n">
        <v>168.92</v>
      </c>
      <c r="H278" s="164" t="n">
        <v>154.46</v>
      </c>
      <c r="I278" s="164" t="inlineStr">
        <is>
          <t>Bebidas hidroeletrolíticas</t>
        </is>
      </c>
      <c r="J278" s="40" t="inlineStr">
        <is>
          <t>Lei nº 1.810, art. 49, § 1º, II; Protocolo ICMS 11/91 e 31/91</t>
        </is>
      </c>
      <c r="K278" s="43" t="inlineStr">
        <is>
          <t>(Item 15.0: nova redação dada pelo Decreto n° 15.657/2021. Efeitos a partir de 1°.06.2021.)</t>
        </is>
      </c>
      <c r="L278" s="29">
        <f>IF(D278="NCM/SH","",COUNTIF($D$5:$D$1506,D278))</f>
        <v/>
      </c>
      <c r="M278" s="65" t="n"/>
      <c r="N278" s="65" t="n"/>
    </row>
    <row r="279" ht="15" customHeight="1" thickBot="1">
      <c r="A279" s="1" t="inlineStr">
        <is>
          <t>04aCerv</t>
        </is>
      </c>
      <c r="B279" s="164" t="n">
        <v>15</v>
      </c>
      <c r="C279" s="67" t="inlineStr">
        <is>
          <t>03.015.00</t>
        </is>
      </c>
      <c r="D279" s="68" t="inlineStr">
        <is>
          <t>2202.99.00</t>
        </is>
      </c>
      <c r="E279" s="68" t="n">
        <v>140</v>
      </c>
      <c r="F279" s="68" t="n">
        <v>177.59</v>
      </c>
      <c r="G279" s="68" t="n">
        <v>168.92</v>
      </c>
      <c r="H279" s="68" t="n">
        <v>154.46</v>
      </c>
      <c r="I279" s="69" t="inlineStr">
        <is>
          <t>Bebidas hidroeletrolíticas</t>
        </is>
      </c>
      <c r="J279" s="38" t="inlineStr">
        <is>
          <t>Lei nº 1.810, art. 49, § 1º, XXIX</t>
        </is>
      </c>
      <c r="K279" s="43" t="inlineStr">
        <is>
          <t>(Item 15.0: nova redação dada pelo Decreto n° 15.657/2021. Efeitos a partir de 1°.06.2021.)</t>
        </is>
      </c>
      <c r="L279" s="29">
        <f>IF(D279="NCM/SH","",COUNTIF($D$5:$D$1506,D279))</f>
        <v/>
      </c>
      <c r="M279" s="65" t="n"/>
      <c r="N279" s="65" t="n"/>
    </row>
    <row r="280" ht="15.75" customHeight="1" thickBot="1">
      <c r="A280" s="1" t="inlineStr">
        <is>
          <t>04aCerv</t>
        </is>
      </c>
      <c r="B280" s="164" t="inlineStr">
        <is>
          <t>21.0</t>
        </is>
      </c>
      <c r="C280" s="35" t="inlineStr">
        <is>
          <t>03.021.00</t>
        </is>
      </c>
      <c r="D280" s="35" t="inlineStr">
        <is>
          <t>2203.00.00</t>
        </is>
      </c>
      <c r="E280" s="35" t="n">
        <v>140</v>
      </c>
      <c r="F280" s="35" t="n">
        <v>220</v>
      </c>
      <c r="G280" s="35" t="n">
        <v>210</v>
      </c>
      <c r="H280" s="35" t="n">
        <v>193.33</v>
      </c>
      <c r="I280" s="35" t="inlineStr">
        <is>
          <t>Cerveja em garrafa de vidro retornável</t>
        </is>
      </c>
      <c r="J280" s="38" t="inlineStr">
        <is>
          <t>Lei nº 1.810, art. 49, § 1º, II; Protocolo ICMS 11/91 e 31/91</t>
        </is>
      </c>
      <c r="K280" s="43" t="inlineStr">
        <is>
          <t>(Item 21.0: nova redação dada pelo Decreto n° 15.657/2021. Efeitos a partir de 1°.06.2021.)</t>
        </is>
      </c>
      <c r="L280" s="29">
        <f>IF(D280="NCM/SH","",COUNTIF($D$5:$D$1506,D280))</f>
        <v/>
      </c>
      <c r="M280" s="65" t="n"/>
      <c r="N280" s="65" t="n"/>
    </row>
    <row r="281" ht="15.75" customHeight="1" thickBot="1">
      <c r="A281" s="1" t="inlineStr">
        <is>
          <t>04aCerv</t>
        </is>
      </c>
      <c r="B281" s="164" t="inlineStr">
        <is>
          <t>21.1</t>
        </is>
      </c>
      <c r="C281" s="35" t="inlineStr">
        <is>
          <t>03.021.01</t>
        </is>
      </c>
      <c r="D281" s="35" t="inlineStr">
        <is>
          <t>2203.00.00</t>
        </is>
      </c>
      <c r="E281" s="35" t="n">
        <v>140</v>
      </c>
      <c r="F281" s="35" t="n">
        <v>220</v>
      </c>
      <c r="G281" s="35" t="n">
        <v>210</v>
      </c>
      <c r="H281" s="35" t="n">
        <v>193.33</v>
      </c>
      <c r="I281" s="35" t="inlineStr">
        <is>
          <t>Cerveja em garrafa de vidro descartável</t>
        </is>
      </c>
      <c r="J281" s="38" t="inlineStr">
        <is>
          <t>Lei nº 1.810, art. 49, § 1º, II; Protocolo ICMS 11/91 e 31/91</t>
        </is>
      </c>
      <c r="K281" s="43" t="inlineStr">
        <is>
          <t>(Itens 21.1 ao 21.4: acrescentados dada pelo Decreto n° 15.657/2021. Efeitos a partir de 1°.06.2021.)</t>
        </is>
      </c>
      <c r="L281" s="29">
        <f>IF(D281="NCM/SH","",COUNTIF($D$5:$D$1506,D281))</f>
        <v/>
      </c>
      <c r="M281" s="65" t="n"/>
      <c r="N281" s="65" t="n"/>
    </row>
    <row r="282" ht="15.75" customHeight="1" thickBot="1">
      <c r="A282" s="1" t="inlineStr">
        <is>
          <t>04aCerv</t>
        </is>
      </c>
      <c r="B282" s="164" t="inlineStr">
        <is>
          <t>21.2</t>
        </is>
      </c>
      <c r="C282" s="35" t="inlineStr">
        <is>
          <t>03.021.02</t>
        </is>
      </c>
      <c r="D282" s="35" t="inlineStr">
        <is>
          <t>2203.00.00</t>
        </is>
      </c>
      <c r="E282" s="35" t="n">
        <v>140</v>
      </c>
      <c r="F282" s="35" t="n">
        <v>220</v>
      </c>
      <c r="G282" s="35" t="n">
        <v>210</v>
      </c>
      <c r="H282" s="35" t="n">
        <v>193.33</v>
      </c>
      <c r="I282" s="35" t="inlineStr">
        <is>
          <t>Cerveja em garrafa de alumínio</t>
        </is>
      </c>
      <c r="J282" s="40" t="inlineStr">
        <is>
          <t>Lei nº 1.810, art. 49, § 1º, II; Protocolo ICMS 11/91 e 31/91</t>
        </is>
      </c>
      <c r="K282" s="43" t="inlineStr">
        <is>
          <t>(Itens 21.1 ao 21.4: acrescentados dada pelo Decreto n° 15.657/2021. Efeitos a partir de 1°.06.2021.)</t>
        </is>
      </c>
      <c r="L282" s="29">
        <f>IF(D282="NCM/SH","",COUNTIF($D$5:$D$1506,D282))</f>
        <v/>
      </c>
      <c r="M282" s="65" t="n"/>
      <c r="N282" s="65" t="n"/>
    </row>
    <row r="283" ht="15.75" customHeight="1" thickBot="1">
      <c r="A283" s="1" t="inlineStr">
        <is>
          <t>04aCerv</t>
        </is>
      </c>
      <c r="B283" s="164" t="inlineStr">
        <is>
          <t>21.3</t>
        </is>
      </c>
      <c r="C283" s="35" t="inlineStr">
        <is>
          <t>03.021.03</t>
        </is>
      </c>
      <c r="D283" s="35" t="inlineStr">
        <is>
          <t>2203.00.00</t>
        </is>
      </c>
      <c r="E283" s="35" t="n">
        <v>140</v>
      </c>
      <c r="F283" s="35" t="n">
        <v>220</v>
      </c>
      <c r="G283" s="35" t="n">
        <v>210</v>
      </c>
      <c r="H283" s="35" t="n">
        <v>193.33</v>
      </c>
      <c r="I283" s="35" t="inlineStr">
        <is>
          <t>Cerveja em lata</t>
        </is>
      </c>
      <c r="J283" s="40" t="inlineStr">
        <is>
          <t>Lei nº 1.810, art. 49, § 1º, II; Protocolo ICMS 11/91 e 31/91</t>
        </is>
      </c>
      <c r="K283" s="43" t="inlineStr">
        <is>
          <t>(Itens 21.1 ao 21.4: acrescentados dada pelo Decreto n° 15.657/2021. Efeitos a partir de 1°.06.2021.)</t>
        </is>
      </c>
      <c r="L283" s="29">
        <f>IF(D283="NCM/SH","",COUNTIF($D$5:$D$1506,D283))</f>
        <v/>
      </c>
      <c r="M283" s="65" t="n"/>
      <c r="N283" s="65" t="n"/>
    </row>
    <row r="284" ht="15.75" customHeight="1" thickBot="1">
      <c r="A284" s="1" t="inlineStr">
        <is>
          <t>04aCerv</t>
        </is>
      </c>
      <c r="B284" s="164" t="inlineStr">
        <is>
          <t>21.4</t>
        </is>
      </c>
      <c r="C284" s="35" t="inlineStr">
        <is>
          <t>03.021.04</t>
        </is>
      </c>
      <c r="D284" s="35" t="inlineStr">
        <is>
          <t>2203.00.00</t>
        </is>
      </c>
      <c r="E284" s="35" t="n">
        <v>140</v>
      </c>
      <c r="F284" s="35" t="n">
        <v>220</v>
      </c>
      <c r="G284" s="35" t="n">
        <v>210</v>
      </c>
      <c r="H284" s="35" t="n">
        <v>193.33</v>
      </c>
      <c r="I284" s="35" t="inlineStr">
        <is>
          <t>Cerveja em barril</t>
        </is>
      </c>
      <c r="J284" s="40" t="inlineStr">
        <is>
          <t>Lei nº 1.810, art. 49, § 1º, II; Protocolo ICMS 11/91 e 31/91</t>
        </is>
      </c>
      <c r="K284" s="43" t="inlineStr">
        <is>
          <t>(Itens 21.1 ao 21.4: acrescentados dada pelo Decreto n° 15.657/2021. Efeitos a partir de 1°.06.2021.)</t>
        </is>
      </c>
      <c r="L284" s="29">
        <f>IF(D284="NCM/SH","",COUNTIF($D$5:$D$1506,D284))</f>
        <v/>
      </c>
      <c r="M284" s="65" t="n"/>
      <c r="N284" s="65" t="n"/>
    </row>
    <row r="285" ht="15.75" customHeight="1" thickBot="1">
      <c r="A285" s="1" t="inlineStr">
        <is>
          <t>04aCerv</t>
        </is>
      </c>
      <c r="B285" s="164" t="inlineStr">
        <is>
          <t>21.5</t>
        </is>
      </c>
      <c r="C285" s="35" t="inlineStr">
        <is>
          <t>03.021.05</t>
        </is>
      </c>
      <c r="D285" s="35" t="inlineStr">
        <is>
          <t>2203.00.00</t>
        </is>
      </c>
      <c r="E285" s="35" t="n">
        <v>140</v>
      </c>
      <c r="F285" s="35" t="n">
        <v>220</v>
      </c>
      <c r="G285" s="35" t="n">
        <v>210</v>
      </c>
      <c r="H285" s="35" t="n">
        <v>193.33</v>
      </c>
      <c r="I285" s="35" t="inlineStr">
        <is>
          <t>Cerveja em embalagem PET</t>
        </is>
      </c>
      <c r="J285" s="163" t="inlineStr">
        <is>
          <t>Lei nº 1.810, de 1997, art. 49, § 1º, II</t>
        </is>
      </c>
      <c r="K285" s="43" t="inlineStr">
        <is>
          <t>(Itens 21.5 e 21.6: acrescentados dada pelo Decreto n° 15.912/2022. Efeitos a partir de 1°.04.2022.)</t>
        </is>
      </c>
      <c r="L285" s="29">
        <f>IF(D285="NCM/SH","",COUNTIF($D$5:$D$1506,D285))</f>
        <v/>
      </c>
      <c r="M285" s="65" t="n"/>
      <c r="N285" s="65" t="n"/>
    </row>
    <row r="286" ht="15.75" customHeight="1" thickBot="1">
      <c r="A286" s="1" t="inlineStr">
        <is>
          <t>04aCerv</t>
        </is>
      </c>
      <c r="B286" s="164" t="inlineStr">
        <is>
          <t>21.6</t>
        </is>
      </c>
      <c r="C286" s="35" t="inlineStr">
        <is>
          <t>03.021.06</t>
        </is>
      </c>
      <c r="D286" s="35" t="inlineStr">
        <is>
          <t>2203.00.00</t>
        </is>
      </c>
      <c r="E286" s="35" t="n">
        <v>140</v>
      </c>
      <c r="F286" s="35" t="n">
        <v>220</v>
      </c>
      <c r="G286" s="35" t="n">
        <v>210</v>
      </c>
      <c r="H286" s="35" t="n">
        <v>193.33</v>
      </c>
      <c r="I286" s="35" t="inlineStr">
        <is>
          <t>Cerveja em outras embalagens</t>
        </is>
      </c>
      <c r="J286" s="44" t="inlineStr">
        <is>
          <t>Lei nº 1.810, de 1997, art. 49, § 1º, II</t>
        </is>
      </c>
      <c r="K286" s="43" t="inlineStr">
        <is>
          <t>(Itens 21.5 e 21.6: acrescentados dada pelo Decreto n° 15.912/2022. Efeitos a partir de 1°.04.2022.)</t>
        </is>
      </c>
      <c r="L286" s="29">
        <f>IF(D286="NCM/SH","",COUNTIF($D$5:$D$1506,D286))</f>
        <v/>
      </c>
      <c r="M286" s="65" t="n"/>
      <c r="N286" s="65" t="n"/>
    </row>
    <row r="287" ht="15.75" customHeight="1" thickBot="1">
      <c r="A287" s="1" t="inlineStr">
        <is>
          <t>04aCerv</t>
        </is>
      </c>
      <c r="B287" s="164" t="inlineStr">
        <is>
          <t>22.0</t>
        </is>
      </c>
      <c r="C287" s="35" t="inlineStr">
        <is>
          <t>03.022.00</t>
        </is>
      </c>
      <c r="D287" s="35" t="inlineStr">
        <is>
          <t>2202.91.00</t>
        </is>
      </c>
      <c r="E287" s="35" t="n">
        <v>140</v>
      </c>
      <c r="F287" s="35" t="n">
        <v>177.59</v>
      </c>
      <c r="G287" s="35" t="n">
        <v>168.92</v>
      </c>
      <c r="H287" s="35" t="n">
        <v>154.46</v>
      </c>
      <c r="I287" s="35" t="inlineStr">
        <is>
          <t>Cerveja sem álcool em garrafa de vidro retornável</t>
        </is>
      </c>
      <c r="J287" s="70" t="inlineStr">
        <is>
          <t>Lei nº 1.810, art. 49, § 1º, II; Protocolo ICMS 11/91 e 31/91</t>
        </is>
      </c>
      <c r="K287" s="43" t="inlineStr">
        <is>
          <t>(Item 22.0: nova redação dada pelo Decreto n° 15.657/2021. Efeitos a partir de 1°.06.2021.)</t>
        </is>
      </c>
      <c r="L287" s="29">
        <f>IF(D287="NCM/SH","",COUNTIF($D$5:$D$1506,D287))</f>
        <v/>
      </c>
      <c r="M287" s="65" t="n"/>
      <c r="N287" s="65" t="n"/>
    </row>
    <row r="288" ht="15.75" customHeight="1" thickBot="1">
      <c r="A288" s="1" t="inlineStr">
        <is>
          <t>04aCerv</t>
        </is>
      </c>
      <c r="B288" s="164" t="inlineStr">
        <is>
          <t>22.1</t>
        </is>
      </c>
      <c r="C288" s="35" t="inlineStr">
        <is>
          <t>03.022.01</t>
        </is>
      </c>
      <c r="D288" s="35" t="inlineStr">
        <is>
          <t>2202.91.00</t>
        </is>
      </c>
      <c r="E288" s="35" t="n">
        <v>140</v>
      </c>
      <c r="F288" s="35" t="n">
        <v>177.59</v>
      </c>
      <c r="G288" s="35" t="n">
        <v>168.92</v>
      </c>
      <c r="H288" s="35" t="n">
        <v>154.46</v>
      </c>
      <c r="I288" s="35" t="inlineStr">
        <is>
          <t>Cerveja sem álcool em garrafa de vidro descartável</t>
        </is>
      </c>
      <c r="J288" s="38" t="inlineStr">
        <is>
          <t>Lei nº 1.810, art. 49, § 1º, II; Protocolo ICMS 11/91 e 31/91</t>
        </is>
      </c>
      <c r="K288" s="43" t="inlineStr">
        <is>
          <t>(Itens 22.1 ao 22.4: acrescentados pelo Decreto n° 15.657/2021. Efeitos a partir de 1°.06.2021.)</t>
        </is>
      </c>
      <c r="L288" s="29">
        <f>IF(D288="NCM/SH","",COUNTIF($D$5:$D$1506,D288))</f>
        <v/>
      </c>
      <c r="M288" s="65" t="n"/>
      <c r="N288" s="65" t="n"/>
    </row>
    <row r="289" ht="15.75" customHeight="1" thickBot="1">
      <c r="A289" s="1" t="inlineStr">
        <is>
          <t>04aCerv</t>
        </is>
      </c>
      <c r="B289" s="164" t="inlineStr">
        <is>
          <t>22.2</t>
        </is>
      </c>
      <c r="C289" s="35" t="inlineStr">
        <is>
          <t>03.022.02</t>
        </is>
      </c>
      <c r="D289" s="35" t="inlineStr">
        <is>
          <t>2202.91.00</t>
        </is>
      </c>
      <c r="E289" s="35" t="n">
        <v>140</v>
      </c>
      <c r="F289" s="35" t="n">
        <v>177.59</v>
      </c>
      <c r="G289" s="35" t="n">
        <v>168.92</v>
      </c>
      <c r="H289" s="35" t="n">
        <v>154.46</v>
      </c>
      <c r="I289" s="35" t="inlineStr">
        <is>
          <t>Cerveja sem álcool em garrafa de alumínio</t>
        </is>
      </c>
      <c r="J289" s="40" t="inlineStr">
        <is>
          <t>Lei nº 1.810, art. 49, § 1º, II; Protocolo ICMS 11/91 e 31/91</t>
        </is>
      </c>
      <c r="K289" s="43" t="inlineStr">
        <is>
          <t>(Itens 22.1 ao 22.4: acrescentados pelo Decreto n° 15.657/2021. Efeitos a partir de 1°.06.2021.)</t>
        </is>
      </c>
      <c r="L289" s="29">
        <f>IF(D289="NCM/SH","",COUNTIF($D$5:$D$1506,D289))</f>
        <v/>
      </c>
      <c r="M289" s="65" t="n"/>
      <c r="N289" s="65" t="n"/>
    </row>
    <row r="290" ht="15.75" customHeight="1" thickBot="1">
      <c r="A290" s="1" t="inlineStr">
        <is>
          <t>04aCerv</t>
        </is>
      </c>
      <c r="B290" s="164" t="inlineStr">
        <is>
          <t>22.3</t>
        </is>
      </c>
      <c r="C290" s="35" t="inlineStr">
        <is>
          <t>03.022.03</t>
        </is>
      </c>
      <c r="D290" s="35" t="inlineStr">
        <is>
          <t>2202.91.00</t>
        </is>
      </c>
      <c r="E290" s="35" t="n">
        <v>140</v>
      </c>
      <c r="F290" s="35" t="n">
        <v>177.59</v>
      </c>
      <c r="G290" s="35" t="n">
        <v>168.92</v>
      </c>
      <c r="H290" s="35" t="n">
        <v>154.46</v>
      </c>
      <c r="I290" s="35" t="inlineStr">
        <is>
          <t>Cerveja sem álcool em lata</t>
        </is>
      </c>
      <c r="J290" s="40" t="inlineStr">
        <is>
          <t>Lei nº 1.810, art. 49, § 1º, II; Protocolo ICMS 11/91 e 31/91</t>
        </is>
      </c>
      <c r="K290" s="43" t="inlineStr">
        <is>
          <t>(Itens 22.1 ao 22.4: acrescentados pelo Decreto n° 15.657/2021. Efeitos a partir de 1°.06.2021.)</t>
        </is>
      </c>
      <c r="L290" s="29">
        <f>IF(D290="NCM/SH","",COUNTIF($D$5:$D$1506,D290))</f>
        <v/>
      </c>
      <c r="M290" s="65" t="n"/>
      <c r="N290" s="65" t="n"/>
    </row>
    <row r="291" ht="15.75" customHeight="1" thickBot="1">
      <c r="A291" s="1" t="inlineStr">
        <is>
          <t>04aCerv</t>
        </is>
      </c>
      <c r="B291" s="164" t="inlineStr">
        <is>
          <t>22.4</t>
        </is>
      </c>
      <c r="C291" s="35" t="inlineStr">
        <is>
          <t>03.022.04</t>
        </is>
      </c>
      <c r="D291" s="35" t="inlineStr">
        <is>
          <t>2202.91.00</t>
        </is>
      </c>
      <c r="E291" s="35" t="n">
        <v>140</v>
      </c>
      <c r="F291" s="35" t="n">
        <v>177.59</v>
      </c>
      <c r="G291" s="35" t="n">
        <v>168.92</v>
      </c>
      <c r="H291" s="35" t="n">
        <v>154.46</v>
      </c>
      <c r="I291" s="35" t="inlineStr">
        <is>
          <t>Cerveja sem álcool em barril</t>
        </is>
      </c>
      <c r="J291" s="40" t="inlineStr">
        <is>
          <t>Lei nº 1.810, art. 49, § 1º, II; Protocolo ICMS 11/91 e 31/91</t>
        </is>
      </c>
      <c r="K291" s="43" t="inlineStr">
        <is>
          <t>(Itens 22.1 ao 22.4: acrescentados pelo Decreto n° 15.657/2021. Efeitos a partir de 1°.06.2021.)</t>
        </is>
      </c>
      <c r="L291" s="29">
        <f>IF(D291="NCM/SH","",COUNTIF($D$5:$D$1506,D291))</f>
        <v/>
      </c>
      <c r="M291" s="65" t="n"/>
      <c r="N291" s="65" t="n"/>
    </row>
    <row r="292" ht="15.75" customHeight="1" thickBot="1">
      <c r="A292" s="1" t="inlineStr">
        <is>
          <t>04aCerv</t>
        </is>
      </c>
      <c r="B292" s="164" t="inlineStr">
        <is>
          <t>22.5</t>
        </is>
      </c>
      <c r="C292" s="35" t="inlineStr">
        <is>
          <t>03.022.05</t>
        </is>
      </c>
      <c r="D292" s="35" t="inlineStr">
        <is>
          <t>2202.91.00</t>
        </is>
      </c>
      <c r="E292" s="35" t="n">
        <v>140</v>
      </c>
      <c r="F292" s="35" t="n">
        <v>177.59</v>
      </c>
      <c r="G292" s="35" t="n">
        <v>168.92</v>
      </c>
      <c r="H292" s="35" t="n">
        <v>154.46</v>
      </c>
      <c r="I292" s="35" t="inlineStr">
        <is>
          <t>Cerveja sem álcool em embalagem PET</t>
        </is>
      </c>
      <c r="J292" s="163" t="inlineStr">
        <is>
          <t>Lei nº 1.810, de 1997, art. 49, § 1º, II</t>
        </is>
      </c>
      <c r="K292" s="43" t="inlineStr">
        <is>
          <t>(Itens 22.5 e 22.6: acrescentados dada pelo Decreto n° 15.912/2022. Efeitos a partir de 1°.04.2022.)</t>
        </is>
      </c>
      <c r="L292" s="29">
        <f>IF(D292="NCM/SH","",COUNTIF($D$5:$D$1506,D292))</f>
        <v/>
      </c>
      <c r="M292" s="65" t="n"/>
      <c r="N292" s="65" t="n"/>
    </row>
    <row r="293" ht="15.75" customHeight="1" thickBot="1">
      <c r="A293" s="1" t="inlineStr">
        <is>
          <t>04aCerv</t>
        </is>
      </c>
      <c r="B293" s="164" t="inlineStr">
        <is>
          <t>22.6</t>
        </is>
      </c>
      <c r="C293" s="35" t="inlineStr">
        <is>
          <t>03.022.06</t>
        </is>
      </c>
      <c r="D293" s="35" t="inlineStr">
        <is>
          <t>2202.91.00</t>
        </is>
      </c>
      <c r="E293" s="35" t="n">
        <v>140</v>
      </c>
      <c r="F293" s="35" t="n">
        <v>177.59</v>
      </c>
      <c r="G293" s="35" t="n">
        <v>168.92</v>
      </c>
      <c r="H293" s="35" t="n">
        <v>154.46</v>
      </c>
      <c r="I293" s="35" t="inlineStr">
        <is>
          <t>Cerveja sem álcool em outras embalagens</t>
        </is>
      </c>
      <c r="J293" s="44" t="inlineStr">
        <is>
          <t>Lei nº 1.810, de 1997, art. 49, § 1º, II</t>
        </is>
      </c>
      <c r="K293" s="43" t="inlineStr">
        <is>
          <t>(Itens 22.5 e 22.6: acrescentados dada pelo Decreto n° 15.912/2022. Efeitos a partir de 1°.04.2022.)</t>
        </is>
      </c>
      <c r="L293" s="29">
        <f>IF(D293="NCM/SH","",COUNTIF($D$5:$D$1506,D293))</f>
        <v/>
      </c>
      <c r="M293" s="65" t="n"/>
      <c r="N293" s="65" t="n"/>
    </row>
    <row r="294" ht="15.75" customHeight="1" thickBot="1">
      <c r="A294" s="1" t="inlineStr">
        <is>
          <t>04aCerv</t>
        </is>
      </c>
      <c r="B294" s="163" t="inlineStr">
        <is>
          <t>23.0</t>
        </is>
      </c>
      <c r="C294" s="163" t="inlineStr">
        <is>
          <t>03.023.00</t>
        </is>
      </c>
      <c r="D294" s="163" t="inlineStr">
        <is>
          <t>2203.00.00</t>
        </is>
      </c>
      <c r="E294" s="163" t="n">
        <v>140</v>
      </c>
      <c r="F294" s="163" t="n">
        <v>220</v>
      </c>
      <c r="G294" s="163" t="n">
        <v>210</v>
      </c>
      <c r="H294" s="163" t="n">
        <v>193.33</v>
      </c>
      <c r="I294" s="163" t="inlineStr">
        <is>
          <t>Chope</t>
        </is>
      </c>
      <c r="J294" s="38" t="inlineStr">
        <is>
          <t>Lei nº 1.810, art. 49, § 1º, II; Protocolo ICMS 11/91 e 31/91</t>
        </is>
      </c>
      <c r="K294" s="64" t="n"/>
      <c r="L294" s="29">
        <f>IF(D294="NCM/SH","",COUNTIF($D$5:$D$1506,D294))</f>
        <v/>
      </c>
      <c r="M294" s="65" t="n"/>
      <c r="N294" s="65" t="n"/>
    </row>
    <row r="295" ht="15.75" customHeight="1" thickBot="1">
      <c r="A295" s="1" t="inlineStr">
        <is>
          <t>04aCerv</t>
        </is>
      </c>
      <c r="B295" s="164" t="inlineStr">
        <is>
          <t>24.0</t>
        </is>
      </c>
      <c r="C295" s="35" t="inlineStr">
        <is>
          <t>03.024.00</t>
        </is>
      </c>
      <c r="D295" s="35" t="inlineStr">
        <is>
          <t>2201.10.00</t>
        </is>
      </c>
      <c r="E295" s="35" t="n">
        <v>100</v>
      </c>
      <c r="F295" s="35" t="n">
        <v>131.33</v>
      </c>
      <c r="G295" s="35" t="n">
        <v>124.1</v>
      </c>
      <c r="H295" s="35" t="n">
        <v>112.05</v>
      </c>
      <c r="I295" s="35" t="inlineStr">
        <is>
          <t>Água mineral em embalagens retornáveis com capacidade igual ou superior a 10 (dez) e inferior a 20 (vinte) litros</t>
        </is>
      </c>
      <c r="J295" s="42" t="inlineStr">
        <is>
          <t>Lei nº 1.810/97, art. 49, § 1º, II; Protocolo ICMS 11/91 e 31/91</t>
        </is>
      </c>
      <c r="K295" s="43" t="inlineStr">
        <is>
          <t>(Item 24.0: acrescentado pelo Decreto n° 15.024/2018. Efeitos a partir de 1°.04.2018.)</t>
        </is>
      </c>
      <c r="L295" s="29">
        <f>IF(D295="NCM/SH","",COUNTIF($D$5:$D$1506,D295))</f>
        <v/>
      </c>
      <c r="M295" s="65" t="n"/>
      <c r="N295" s="65" t="n"/>
    </row>
    <row r="296" ht="15.75" customHeight="1" thickBot="1">
      <c r="A296" s="1" t="inlineStr">
        <is>
          <t>04aCerv</t>
        </is>
      </c>
      <c r="B296" s="164" t="inlineStr">
        <is>
          <t>25.0</t>
        </is>
      </c>
      <c r="C296" s="35" t="inlineStr">
        <is>
          <t>03.025.00</t>
        </is>
      </c>
      <c r="D296" s="35" t="inlineStr">
        <is>
          <t>2201.10.00</t>
        </is>
      </c>
      <c r="E296" s="35" t="n">
        <v>100</v>
      </c>
      <c r="F296" s="35" t="n">
        <v>131.33</v>
      </c>
      <c r="G296" s="35" t="n">
        <v>124.1</v>
      </c>
      <c r="H296" s="35" t="n">
        <v>112.05</v>
      </c>
      <c r="I296" s="35" t="inlineStr">
        <is>
          <t>Água mineral em embalagens retornáveis com capacidade igual ou superior a 20 (vinte) litros</t>
        </is>
      </c>
      <c r="J296" s="45" t="inlineStr">
        <is>
          <t>Lei nº 1.810/97, art. 49, § 1º, II; Protocolo ICMS 11/91 e 31/91</t>
        </is>
      </c>
      <c r="K296" s="43" t="inlineStr">
        <is>
          <t>(Item 25.0: acrescentado pelo Decreto n° 15.024/2018. Efeitos a partir de 1°.04.2018.)</t>
        </is>
      </c>
      <c r="L296" s="29">
        <f>IF(D296="NCM/SH","",COUNTIF($D$5:$D$1506,D296))</f>
        <v/>
      </c>
      <c r="M296" s="65" t="n"/>
      <c r="N296" s="65" t="n"/>
    </row>
    <row r="297">
      <c r="B297" s="65" t="n"/>
      <c r="C297" s="65" t="n"/>
      <c r="D297" s="65" t="n"/>
      <c r="E297" s="65" t="n"/>
      <c r="F297" s="65" t="n"/>
      <c r="G297" s="65" t="n"/>
      <c r="H297" s="65" t="n"/>
      <c r="I297" s="65" t="n"/>
      <c r="J297" s="65" t="n"/>
      <c r="K297" s="65" t="n"/>
      <c r="L297" s="29">
        <f>IF(D297="NCM/SH","",COUNTIF($D$5:$D$1506,D297))</f>
        <v/>
      </c>
      <c r="M297" s="65" t="n"/>
      <c r="N297" s="65" t="n"/>
    </row>
    <row r="298">
      <c r="B298" s="28" t="n"/>
      <c r="L298" s="29">
        <f>IF(D298="NCM/SH","",COUNTIF($D$5:$D$1506,D298))</f>
        <v/>
      </c>
    </row>
    <row r="299">
      <c r="B299" s="28" t="n"/>
      <c r="L299" s="29">
        <f>IF(D299="NCM/SH","",COUNTIF($D$5:$D$1506,D299))</f>
        <v/>
      </c>
    </row>
    <row r="300" ht="15.75" customHeight="1" thickBot="1">
      <c r="A300" s="1" t="inlineStr">
        <is>
          <t>04bCerv</t>
        </is>
      </c>
      <c r="B300" s="28" t="inlineStr">
        <is>
          <t>Tabela IV-B</t>
        </is>
      </c>
      <c r="C300" s="28" t="inlineStr">
        <is>
          <t>CERVEJAS, CHOPES, REFRIGERANTES, ÁGUAS E OUTRAS BEBIDAS</t>
        </is>
      </c>
      <c r="D300" s="62" t="n"/>
      <c r="E300" s="62" t="n"/>
      <c r="F300" s="55" t="inlineStr">
        <is>
          <t>(Nos casos em que o remetente seja distribuidor, depósito ou estabelecimento atacadista)</t>
        </is>
      </c>
      <c r="G300" s="62" t="n"/>
      <c r="H300" s="62" t="n"/>
      <c r="I300" s="62" t="n"/>
      <c r="J300" s="62" t="n"/>
      <c r="L300" s="29">
        <f>IF(D300="NCM/SH","",COUNTIF($D$5:$D$1506,D300))</f>
        <v/>
      </c>
    </row>
    <row r="301" ht="15" customHeight="1" thickBot="1">
      <c r="A301" s="1" t="inlineStr">
        <is>
          <t>04bCerv</t>
        </is>
      </c>
      <c r="B301" s="163" t="inlineStr">
        <is>
          <t>ITEM</t>
        </is>
      </c>
      <c r="C301" s="163" t="inlineStr">
        <is>
          <t>CEST</t>
        </is>
      </c>
      <c r="D301" s="163" t="inlineStr">
        <is>
          <t>NCM/SH</t>
        </is>
      </c>
      <c r="E301" s="165" t="inlineStr">
        <is>
          <t>MARGEM DE VALOR AGREGADO</t>
        </is>
      </c>
      <c r="F301" s="165" t="inlineStr">
        <is>
          <t>MARGEM DE VALOR AGREGADO</t>
        </is>
      </c>
      <c r="G301" s="165" t="inlineStr">
        <is>
          <t>MARGEM DE VALOR AGREGADO</t>
        </is>
      </c>
      <c r="H301" s="165" t="inlineStr">
        <is>
          <t>MARGEM DE VALOR AGREGADO</t>
        </is>
      </c>
      <c r="I301" s="163" t="inlineStr">
        <is>
          <t xml:space="preserve">DESCRIÇÃO </t>
        </is>
      </c>
      <c r="J301" s="163" t="inlineStr">
        <is>
          <t>DISPOSITIVO LEGAL</t>
        </is>
      </c>
      <c r="L301" s="29">
        <f>IF(D301="NCM/SH","",COUNTIF($D$5:$D$1506,D301))</f>
        <v/>
      </c>
    </row>
    <row r="302" ht="15.75" customHeight="1" thickBot="1">
      <c r="A302" s="1" t="inlineStr">
        <is>
          <t>04bCerv</t>
        </is>
      </c>
      <c r="B302" s="164" t="inlineStr">
        <is>
          <t>ITEM</t>
        </is>
      </c>
      <c r="C302" s="164" t="inlineStr">
        <is>
          <t>CEST</t>
        </is>
      </c>
      <c r="D302" s="164" t="inlineStr">
        <is>
          <t>NCM/SH</t>
        </is>
      </c>
      <c r="E302" s="35" t="inlineStr">
        <is>
          <t>Oper. interna</t>
        </is>
      </c>
      <c r="F302" s="167" t="inlineStr">
        <is>
          <t>Alíq. 4%</t>
        </is>
      </c>
      <c r="G302" s="167" t="inlineStr">
        <is>
          <t>Alíq. 7%</t>
        </is>
      </c>
      <c r="H302" s="167" t="inlineStr">
        <is>
          <t>Alíq. 12%</t>
        </is>
      </c>
      <c r="I302" s="164" t="inlineStr">
        <is>
          <t xml:space="preserve">DESCRIÇÃO </t>
        </is>
      </c>
      <c r="J302" s="164" t="inlineStr">
        <is>
          <t>DISPOSITIVO LEGAL</t>
        </is>
      </c>
      <c r="L302" s="29">
        <f>IF(D302="NCM/SH","",COUNTIF($D$5:$D$1506,D302))</f>
        <v/>
      </c>
    </row>
    <row r="303" ht="15.75" customHeight="1" thickBot="1">
      <c r="A303" s="1" t="inlineStr">
        <is>
          <t>04bCerv</t>
        </is>
      </c>
      <c r="B303" s="164" t="inlineStr">
        <is>
          <t>3.0</t>
        </is>
      </c>
      <c r="C303" s="35" t="inlineStr">
        <is>
          <t>03.003.00</t>
        </is>
      </c>
      <c r="D303" s="35" t="inlineStr">
        <is>
          <t>2201.10.00</t>
        </is>
      </c>
      <c r="E303" s="35" t="n">
        <v>100</v>
      </c>
      <c r="F303" s="35" t="n">
        <v>131.33</v>
      </c>
      <c r="G303" s="35" t="n">
        <v>124.1</v>
      </c>
      <c r="H303" s="35" t="n">
        <v>112.05</v>
      </c>
      <c r="I303" s="35" t="inlineStr">
        <is>
          <t>Água mineral, gasosa ou não, ou potável, naturais, em embalagem de vidro descartável</t>
        </is>
      </c>
      <c r="J303" s="38" t="inlineStr">
        <is>
          <t>Lei nº 1.810, art. 49, § 1º, II; Protocolo ICMS 11/91 e 31/91</t>
        </is>
      </c>
      <c r="K303" s="43" t="inlineStr">
        <is>
          <t>(Item 3.0: nova redação dada pelo Decreto n° 15.657/2021. Efeitos a partir de 1°.06.2021.)</t>
        </is>
      </c>
      <c r="L303" s="29">
        <f>IF(D303="NCM/SH","",COUNTIF($D$5:$D$1506,D303))</f>
        <v/>
      </c>
    </row>
    <row r="304" ht="15.75" customHeight="1" thickBot="1">
      <c r="A304" s="1" t="inlineStr">
        <is>
          <t>04bCerv</t>
        </is>
      </c>
      <c r="B304" s="164" t="inlineStr">
        <is>
          <t>3.1</t>
        </is>
      </c>
      <c r="C304" s="35" t="inlineStr">
        <is>
          <t>03.003.01</t>
        </is>
      </c>
      <c r="D304" s="35" t="inlineStr">
        <is>
          <t>2201.10.00</t>
        </is>
      </c>
      <c r="E304" s="35" t="n">
        <v>100</v>
      </c>
      <c r="F304" s="35" t="n">
        <v>131.33</v>
      </c>
      <c r="G304" s="35" t="n">
        <v>124.1</v>
      </c>
      <c r="H304" s="35" t="n">
        <v>112.05</v>
      </c>
      <c r="I304" s="35" t="inlineStr">
        <is>
          <t>Água mineral, gasosa ou não, ou potável, naturais, adicionadas de sais, em embalagem de vidro descartável</t>
        </is>
      </c>
      <c r="J304" s="38" t="inlineStr">
        <is>
          <t>Lei nº 1.810, art. 49, § 1º, II; Protocolo ICMS 11/91 e 31/91</t>
        </is>
      </c>
      <c r="K304" s="43" t="inlineStr">
        <is>
          <t>(Item 3.1: acrescentado pelo Decreto n° 15.657/2021. Efeitos a partir de 1°.06.2021.)</t>
        </is>
      </c>
      <c r="L304" s="29">
        <f>IF(D304="NCM/SH","",COUNTIF($D$5:$D$1506,D304))</f>
        <v/>
      </c>
    </row>
    <row r="305" ht="15.75" customHeight="1" thickBot="1">
      <c r="A305" s="1" t="inlineStr">
        <is>
          <t>04bCerv</t>
        </is>
      </c>
      <c r="B305" s="164" t="inlineStr">
        <is>
          <t>5.0</t>
        </is>
      </c>
      <c r="C305" s="35" t="inlineStr">
        <is>
          <t>03.005.00</t>
        </is>
      </c>
      <c r="D305" s="35" t="inlineStr">
        <is>
          <t>2201.10.00</t>
        </is>
      </c>
      <c r="E305" s="35" t="n">
        <v>100</v>
      </c>
      <c r="F305" s="35" t="n">
        <v>131.33</v>
      </c>
      <c r="G305" s="35" t="n">
        <v>124.1</v>
      </c>
      <c r="H305" s="35" t="n">
        <v>112.05</v>
      </c>
      <c r="I305" s="35" t="inlineStr">
        <is>
          <t>Água mineral, gasosa ou não, ou potável, naturais, em copo plástico descartável</t>
        </is>
      </c>
      <c r="J305" s="40" t="inlineStr">
        <is>
          <t>Lei nº 1.810, art. 49, § 1º, II; Protocolo ICMS 11/91 e 31/91</t>
        </is>
      </c>
      <c r="K305" s="43" t="inlineStr">
        <is>
          <t>(Item 5.0: nova redação dada pelo Decreto n° 15.657/2021. Efeitos a partir de 1°.06.2021.)</t>
        </is>
      </c>
      <c r="L305" s="29">
        <f>IF(D305="NCM/SH","",COUNTIF($D$5:$D$1506,D305))</f>
        <v/>
      </c>
    </row>
    <row r="306" ht="15.75" customHeight="1" thickBot="1">
      <c r="A306" s="1" t="inlineStr">
        <is>
          <t>04bCerv</t>
        </is>
      </c>
      <c r="B306" s="164" t="inlineStr">
        <is>
          <t>5.1</t>
        </is>
      </c>
      <c r="C306" s="35" t="inlineStr">
        <is>
          <t>03.005.01</t>
        </is>
      </c>
      <c r="D306" s="35" t="inlineStr">
        <is>
          <t>2201.10.00</t>
        </is>
      </c>
      <c r="E306" s="35" t="n">
        <v>100</v>
      </c>
      <c r="F306" s="35" t="n">
        <v>131.33</v>
      </c>
      <c r="G306" s="35" t="n">
        <v>124.1</v>
      </c>
      <c r="H306" s="35" t="n">
        <v>112.05</v>
      </c>
      <c r="I306" s="35" t="inlineStr">
        <is>
          <t>Água mineral, gasosa ou não, ou potável, naturais, adicionadas de sais, em copo plástico descartável</t>
        </is>
      </c>
      <c r="J306" s="40" t="inlineStr">
        <is>
          <t>Lei nº 1.810, art. 49, § 1º, II; Protocolo ICMS 11/91 e 31/91</t>
        </is>
      </c>
      <c r="K306" s="43" t="inlineStr">
        <is>
          <t>(Itens 5.1 ao 5.5: acrescentados pelo Decreto n° 15.657/2021. Efeitos a partir de 1°.06.2021.)</t>
        </is>
      </c>
      <c r="L306" s="29">
        <f>IF(D306="NCM/SH","",COUNTIF($D$5:$D$1506,D306))</f>
        <v/>
      </c>
    </row>
    <row r="307" ht="15.75" customHeight="1" thickBot="1">
      <c r="A307" s="1" t="inlineStr">
        <is>
          <t>04bCerv</t>
        </is>
      </c>
      <c r="B307" s="164" t="inlineStr">
        <is>
          <t>5.2</t>
        </is>
      </c>
      <c r="C307" s="35" t="inlineStr">
        <is>
          <t>03.005.02</t>
        </is>
      </c>
      <c r="D307" s="35" t="inlineStr">
        <is>
          <t>2201.10.00</t>
        </is>
      </c>
      <c r="E307" s="35" t="n">
        <v>100</v>
      </c>
      <c r="F307" s="35" t="n">
        <v>131.33</v>
      </c>
      <c r="G307" s="35" t="n">
        <v>124.1</v>
      </c>
      <c r="H307" s="35" t="n">
        <v>112.05</v>
      </c>
      <c r="I307" s="35" t="inlineStr">
        <is>
          <t>Água mineral, gasosa ou não, ou potável, naturais, em jarra descartável</t>
        </is>
      </c>
      <c r="J307" s="40" t="inlineStr">
        <is>
          <t>Lei nº 1.810, art. 49, § 1º, II; Protocolo ICMS 11/91 e 31/91</t>
        </is>
      </c>
      <c r="K307" s="43" t="inlineStr">
        <is>
          <t>(Itens 5.1 ao 5.5: acrescentados pelo Decreto n° 15.657/2021. Efeitos a partir de 1°.06.2021.)</t>
        </is>
      </c>
      <c r="L307" s="29">
        <f>IF(D307="NCM/SH","",COUNTIF($D$5:$D$1506,D307))</f>
        <v/>
      </c>
    </row>
    <row r="308" ht="15.75" customHeight="1" thickBot="1">
      <c r="A308" s="1" t="inlineStr">
        <is>
          <t>04bCerv</t>
        </is>
      </c>
      <c r="B308" s="164" t="inlineStr">
        <is>
          <t>5.3</t>
        </is>
      </c>
      <c r="C308" s="35" t="inlineStr">
        <is>
          <t>03.005.03</t>
        </is>
      </c>
      <c r="D308" s="35" t="inlineStr">
        <is>
          <t>2201.10.00</t>
        </is>
      </c>
      <c r="E308" s="35" t="n">
        <v>100</v>
      </c>
      <c r="F308" s="35" t="n">
        <v>131.33</v>
      </c>
      <c r="G308" s="35" t="n">
        <v>124.1</v>
      </c>
      <c r="H308" s="35" t="n">
        <v>112.05</v>
      </c>
      <c r="I308" s="35" t="inlineStr">
        <is>
          <t>Água mineral, gasosa ou não, ou potável, naturais, adicionadas de sais, em jarra descartável</t>
        </is>
      </c>
      <c r="J308" s="40" t="inlineStr">
        <is>
          <t>Lei nº 1.810, art. 49, § 1º, II; Protocolo ICMS 11/91 e 31/91</t>
        </is>
      </c>
      <c r="K308" s="43" t="inlineStr">
        <is>
          <t>(Itens 5.1 ao 5.5: acrescentados pelo Decreto n° 15.657/2021. Efeitos a partir de 1°.06.2021.)</t>
        </is>
      </c>
      <c r="L308" s="29">
        <f>IF(D308="NCM/SH","",COUNTIF($D$5:$D$1506,D308))</f>
        <v/>
      </c>
    </row>
    <row r="309" ht="15.75" customHeight="1" thickBot="1">
      <c r="A309" s="1" t="inlineStr">
        <is>
          <t>04bCerv</t>
        </is>
      </c>
      <c r="B309" s="164" t="inlineStr">
        <is>
          <t>5.4</t>
        </is>
      </c>
      <c r="C309" s="35" t="inlineStr">
        <is>
          <t>03.005.04</t>
        </is>
      </c>
      <c r="D309" s="35" t="inlineStr">
        <is>
          <t>2201.10.00</t>
        </is>
      </c>
      <c r="E309" s="35" t="n">
        <v>100</v>
      </c>
      <c r="F309" s="35" t="n">
        <v>131.33</v>
      </c>
      <c r="G309" s="35" t="n">
        <v>124.1</v>
      </c>
      <c r="H309" s="35" t="n">
        <v>112.05</v>
      </c>
      <c r="I309" s="35" t="inlineStr">
        <is>
          <t>Água mineral, gasosa ou não, ou potável, naturais, em demais embalagens descartáveis</t>
        </is>
      </c>
      <c r="J309" s="40" t="inlineStr">
        <is>
          <t>Lei nº 1.810, art. 49, § 1º, II; Protocolo ICMS 11/91 e 31/91</t>
        </is>
      </c>
      <c r="K309" s="43" t="inlineStr">
        <is>
          <t>(Itens 5.1 ao 5.5: acrescentados pelo Decreto n° 15.657/2021. Efeitos a partir de 1°.06.2021.)</t>
        </is>
      </c>
      <c r="L309" s="29">
        <f>IF(D309="NCM/SH","",COUNTIF($D$5:$D$1506,D309))</f>
        <v/>
      </c>
    </row>
    <row r="310" ht="15.75" customHeight="1" thickBot="1">
      <c r="A310" s="1" t="inlineStr">
        <is>
          <t>04bCerv</t>
        </is>
      </c>
      <c r="B310" s="164" t="inlineStr">
        <is>
          <t>5.5</t>
        </is>
      </c>
      <c r="C310" s="35" t="inlineStr">
        <is>
          <t>03.005.05</t>
        </is>
      </c>
      <c r="D310" s="35" t="inlineStr">
        <is>
          <t>2201.10.00</t>
        </is>
      </c>
      <c r="E310" s="35" t="n">
        <v>100</v>
      </c>
      <c r="F310" s="35" t="n">
        <v>131.33</v>
      </c>
      <c r="G310" s="35" t="n">
        <v>124.1</v>
      </c>
      <c r="H310" s="35" t="n">
        <v>112.05</v>
      </c>
      <c r="I310" s="35" t="inlineStr">
        <is>
          <t>Água mineral, gasosa ou não, ou potável, naturais, adicionadas de sais, em demais embalagens descartáveis</t>
        </is>
      </c>
      <c r="J310" s="40" t="inlineStr">
        <is>
          <t>Lei nº 1.810, art. 49, § 1º, II; Protocolo ICMS 11/91 e 31/91</t>
        </is>
      </c>
      <c r="K310" s="43" t="inlineStr">
        <is>
          <t>(Itens 5.1 ao 5.5: acrescentados pelo Decreto n° 15.657/2021. Efeitos a partir de 1°.06.2021.)</t>
        </is>
      </c>
      <c r="L310" s="29">
        <f>IF(D310="NCM/SH","",COUNTIF($D$5:$D$1506,D310))</f>
        <v/>
      </c>
    </row>
    <row r="311" ht="15.75" customHeight="1" thickBot="1">
      <c r="A311" s="1" t="inlineStr">
        <is>
          <t>04bCerv</t>
        </is>
      </c>
      <c r="B311" s="164" t="inlineStr">
        <is>
          <t>6.0</t>
        </is>
      </c>
      <c r="C311" s="35" t="inlineStr">
        <is>
          <t>03.006.00</t>
        </is>
      </c>
      <c r="D311" s="35" t="n">
        <v>2201</v>
      </c>
      <c r="E311" s="35" t="n">
        <v>70</v>
      </c>
      <c r="F311" s="35" t="n">
        <v>96.63</v>
      </c>
      <c r="G311" s="35" t="n">
        <v>90.48</v>
      </c>
      <c r="H311" s="35" t="n">
        <v>80.23999999999999</v>
      </c>
      <c r="I311" s="35" t="inlineStr">
        <is>
          <t>Outras águas minerais, gasosa ou não, ou potável, naturais; exceto as classificadas no CEST 03.003.00, 03.003.01, 03.005.00, 03.005.01 a 03.005.05, 03.024.00 e 03.025.00</t>
        </is>
      </c>
      <c r="J311" s="42" t="inlineStr">
        <is>
          <t>Lei nº 1.810/97, art. 49, § 1º, II; Protocolo ICMS 11/91 e 31/91</t>
        </is>
      </c>
      <c r="K311" s="43" t="inlineStr">
        <is>
          <t>(Item 6.0: nova redação dada pelo Decreto n° 15.657/2021. Efeitos a partir de 1°.06.2021.)</t>
        </is>
      </c>
      <c r="L311" s="29">
        <f>IF(D311="NCM/SH","",COUNTIF($D$5:$D$1506,D311))</f>
        <v/>
      </c>
    </row>
    <row r="312" ht="15.75" customHeight="1" thickBot="1">
      <c r="A312" s="1" t="inlineStr">
        <is>
          <t>04bCerv</t>
        </is>
      </c>
      <c r="B312" s="164" t="inlineStr">
        <is>
          <t>7.0</t>
        </is>
      </c>
      <c r="C312" s="35" t="inlineStr">
        <is>
          <t>03.007.00</t>
        </is>
      </c>
      <c r="D312" s="35" t="inlineStr">
        <is>
          <t>2202.10.00</t>
        </is>
      </c>
      <c r="E312" s="35" t="n">
        <v>70</v>
      </c>
      <c r="F312" s="35" t="n">
        <v>96.63</v>
      </c>
      <c r="G312" s="35" t="n">
        <v>90.48</v>
      </c>
      <c r="H312" s="35" t="n">
        <v>80.23999999999999</v>
      </c>
      <c r="I312" s="35" t="inlineStr">
        <is>
          <t>Água aromatizada artificialmente, exceto os refrescos e refrigerantes</t>
        </is>
      </c>
      <c r="J312" s="38" t="inlineStr">
        <is>
          <t>Lei nº 1.810, art. 49, § 1º, II; Protocolo ICMS 11/91 e 31/91</t>
        </is>
      </c>
      <c r="K312" s="43" t="inlineStr">
        <is>
          <t>(Item 7.0: nova redação dada pelo Decreto n° 15.657/2021. Efeitos a partir de 1°.06.2021.)</t>
        </is>
      </c>
      <c r="L312" s="29">
        <f>IF(D312="NCM/SH","",COUNTIF($D$5:$D$1506,D312))</f>
        <v/>
      </c>
    </row>
    <row r="313" ht="15.75" customHeight="1" thickBot="1">
      <c r="A313" s="1" t="inlineStr">
        <is>
          <t>04bCerv</t>
        </is>
      </c>
      <c r="B313" s="76" t="inlineStr">
        <is>
          <t>8.0</t>
        </is>
      </c>
      <c r="C313" s="73" t="inlineStr">
        <is>
          <t>03.008.00</t>
        </is>
      </c>
      <c r="D313" s="73" t="inlineStr">
        <is>
          <t>2202.99.00</t>
        </is>
      </c>
      <c r="E313" s="73" t="n">
        <v>70</v>
      </c>
      <c r="F313" s="73" t="n">
        <v>96.63</v>
      </c>
      <c r="G313" s="73" t="n">
        <v>90.48</v>
      </c>
      <c r="H313" s="73" t="n">
        <v>80.23999999999999</v>
      </c>
      <c r="I313" s="35" t="inlineStr">
        <is>
          <t>Outras águas minerais, gasosa ou não, ou potável, naturais, inclusive gaseificadas ou aromatizadas artificialmente, exceto os refrescos e refrigerantes</t>
        </is>
      </c>
      <c r="J313" s="48" t="inlineStr">
        <is>
          <t>Lei nº 1.810, art. 49, § 1º, II; Protocolo ICMS 11/91 e 31/91</t>
        </is>
      </c>
      <c r="K313" s="43" t="inlineStr">
        <is>
          <t>(Item 8.0: nova redação dada pelo Decreto n° 15.657/2021. Efeitos a partir de 1°.06.2021.)</t>
        </is>
      </c>
      <c r="L313" s="29">
        <f>IF(D313="NCM/SH","",COUNTIF($D$5:$D$1506,D313))</f>
        <v/>
      </c>
    </row>
    <row r="314" ht="14.45" customHeight="1" thickBot="1">
      <c r="A314" s="1" t="inlineStr">
        <is>
          <t>04bCerv</t>
        </is>
      </c>
      <c r="B314" s="163" t="n">
        <v>8</v>
      </c>
      <c r="C314" s="67" t="inlineStr">
        <is>
          <t>03.008.00</t>
        </is>
      </c>
      <c r="D314" s="68" t="inlineStr">
        <is>
          <t>2202.99.00</t>
        </is>
      </c>
      <c r="E314" s="68" t="n">
        <v>70</v>
      </c>
      <c r="F314" s="68" t="n">
        <v>96.63</v>
      </c>
      <c r="G314" s="68" t="n">
        <v>90.48</v>
      </c>
      <c r="H314" s="68" t="n">
        <v>80.23999999999999</v>
      </c>
      <c r="I314" s="69" t="inlineStr">
        <is>
          <t>Outras águas minerais, gasosa ou não, ou potável, naturais, inclusive gaseificadas ou aromatizadas artificialmente, exceto os refrescos e refrigerantes</t>
        </is>
      </c>
      <c r="J314" s="38" t="inlineStr">
        <is>
          <t>Lei nº 1.810, art. 49, § 1º, XXIX</t>
        </is>
      </c>
      <c r="K314" s="43" t="inlineStr">
        <is>
          <t>(Item 8.0: nova redação dada pelo Decreto n° 15.657/2021. Efeitos a partir de 1°.06.2021.)</t>
        </is>
      </c>
      <c r="L314" s="29">
        <f>IF(D314="NCM/SH","",COUNTIF($D$5:$D$1506,D314))</f>
        <v/>
      </c>
    </row>
    <row r="315" ht="14.45" customHeight="1" thickBot="1">
      <c r="A315" s="1" t="inlineStr">
        <is>
          <t>04bCerv</t>
        </is>
      </c>
      <c r="B315" s="74" t="n">
        <v>10</v>
      </c>
      <c r="C315" s="74" t="inlineStr">
        <is>
          <t>03.010.00</t>
        </is>
      </c>
      <c r="D315" s="37" t="inlineStr">
        <is>
          <t>2202.10.00</t>
        </is>
      </c>
      <c r="E315" s="74" t="n">
        <v>40</v>
      </c>
      <c r="F315" s="74" t="n">
        <v>68</v>
      </c>
      <c r="G315" s="74" t="n">
        <v>62.75</v>
      </c>
      <c r="H315" s="74" t="n">
        <v>54</v>
      </c>
      <c r="I315" s="163" t="inlineStr">
        <is>
          <t>Refrigerante em vidro descartável</t>
        </is>
      </c>
      <c r="J315" s="163" t="inlineStr">
        <is>
          <t>Lei nº 1.810, art. 49, § 1º, XXIII; Protocolo ICMS 11/91 e 31/91</t>
        </is>
      </c>
      <c r="K315" s="43" t="inlineStr">
        <is>
          <t>(Item 10: nova redação dada pelo Decreto n° 15.657/2021. Efeitos a partir de 1°.06.2021.)</t>
        </is>
      </c>
      <c r="L315" s="29">
        <f>IF(D315="NCM/SH","",COUNTIF($D$5:$D$1506,D315))</f>
        <v/>
      </c>
    </row>
    <row r="316" ht="15.75" customHeight="1" thickBot="1">
      <c r="A316" s="1" t="inlineStr">
        <is>
          <t>04bCerv</t>
        </is>
      </c>
      <c r="B316" s="76" t="n">
        <v>10</v>
      </c>
      <c r="C316" s="76" t="inlineStr">
        <is>
          <t>03.010.00</t>
        </is>
      </c>
      <c r="D316" s="35" t="inlineStr">
        <is>
          <t>2202.99.00</t>
        </is>
      </c>
      <c r="E316" s="76" t="n">
        <v>40</v>
      </c>
      <c r="F316" s="76" t="n">
        <v>68</v>
      </c>
      <c r="G316" s="76" t="n">
        <v>62.75</v>
      </c>
      <c r="H316" s="76" t="n">
        <v>54</v>
      </c>
      <c r="I316" s="164" t="inlineStr">
        <is>
          <t>Refrigerante em vidro descartável</t>
        </is>
      </c>
      <c r="J316" s="44" t="inlineStr">
        <is>
          <t>Lei nº 1.810, art. 49, § 1º, XXIII; Protocolo ICMS 11/91 e 31/91</t>
        </is>
      </c>
      <c r="K316" s="43" t="inlineStr">
        <is>
          <t>(Item 10: nova redação dada pelo Decreto n° 15.657/2021. Efeitos a partir de 1°.06.2021.)</t>
        </is>
      </c>
      <c r="L316" s="29">
        <f>IF(D316="NCM/SH","",COUNTIF($D$5:$D$1506,D316))</f>
        <v/>
      </c>
    </row>
    <row r="317" ht="15.75" customHeight="1" thickBot="1">
      <c r="A317" s="1" t="inlineStr">
        <is>
          <t>04bCerv</t>
        </is>
      </c>
      <c r="B317" s="163" t="inlineStr">
        <is>
          <t>10.1</t>
        </is>
      </c>
      <c r="C317" s="163" t="inlineStr">
        <is>
          <t>03.010.01</t>
        </is>
      </c>
      <c r="D317" s="37" t="inlineStr">
        <is>
          <t>2202.10.00</t>
        </is>
      </c>
      <c r="E317" s="163" t="n">
        <v>40</v>
      </c>
      <c r="F317" s="163" t="n">
        <v>68</v>
      </c>
      <c r="G317" s="163" t="n">
        <v>62.75</v>
      </c>
      <c r="H317" s="163" t="n">
        <v>54</v>
      </c>
      <c r="I317" s="163" t="inlineStr">
        <is>
          <t>Refrigerante em embalagem pet</t>
        </is>
      </c>
      <c r="J317" s="44" t="inlineStr">
        <is>
          <t>Lei nº 1.810, art. 49, § 1º, XXIII; Protocolo ICMS 11/91 e 31/91</t>
        </is>
      </c>
      <c r="K317" s="43" t="inlineStr">
        <is>
          <t>(Itens 10.1 ao 10.3: acrescentados pelo Decreto n° 15.657/2021. Efeitos a partir de 1°.06.2021.)</t>
        </is>
      </c>
      <c r="L317" s="29">
        <f>IF(D317="NCM/SH","",COUNTIF($D$5:$D$1506,D317))</f>
        <v/>
      </c>
    </row>
    <row r="318" ht="15.75" customHeight="1" thickBot="1">
      <c r="A318" s="1" t="inlineStr">
        <is>
          <t>04bCerv</t>
        </is>
      </c>
      <c r="B318" s="164" t="n">
        <v>10.1</v>
      </c>
      <c r="C318" s="164" t="inlineStr">
        <is>
          <t>03.010.01</t>
        </is>
      </c>
      <c r="D318" s="35" t="inlineStr">
        <is>
          <t>2202.99.00</t>
        </is>
      </c>
      <c r="E318" s="164" t="n">
        <v>40</v>
      </c>
      <c r="F318" s="164" t="n">
        <v>68</v>
      </c>
      <c r="G318" s="164" t="n">
        <v>62.75</v>
      </c>
      <c r="H318" s="164" t="n">
        <v>54</v>
      </c>
      <c r="I318" s="164" t="inlineStr">
        <is>
          <t>Refrigerante em embalagem pet</t>
        </is>
      </c>
      <c r="J318" s="44" t="inlineStr">
        <is>
          <t>Lei nº 1.810, art. 49, § 1º, XXIII; Protocolo ICMS 11/91 e 31/91</t>
        </is>
      </c>
      <c r="K318" s="43" t="inlineStr">
        <is>
          <t>(Itens 10.1 ao 10.3: acrescentados pelo Decreto n° 15.657/2021. Efeitos a partir de 1°.06.2021.)</t>
        </is>
      </c>
      <c r="L318" s="29">
        <f>IF(D318="NCM/SH","",COUNTIF($D$5:$D$1506,D318))</f>
        <v/>
      </c>
    </row>
    <row r="319" ht="15.75" customHeight="1" thickBot="1">
      <c r="A319" s="1" t="inlineStr">
        <is>
          <t>04bCerv</t>
        </is>
      </c>
      <c r="B319" s="163" t="inlineStr">
        <is>
          <t>10.2</t>
        </is>
      </c>
      <c r="C319" s="163" t="inlineStr">
        <is>
          <t>03.010.02</t>
        </is>
      </c>
      <c r="D319" s="37" t="inlineStr">
        <is>
          <t>2202.10.00</t>
        </is>
      </c>
      <c r="E319" s="163" t="n">
        <v>40</v>
      </c>
      <c r="F319" s="163" t="n">
        <v>68</v>
      </c>
      <c r="G319" s="163" t="n">
        <v>62.75</v>
      </c>
      <c r="H319" s="163" t="n">
        <v>54</v>
      </c>
      <c r="I319" s="163" t="inlineStr">
        <is>
          <t>Refrigerante em lata</t>
        </is>
      </c>
      <c r="J319" s="44" t="inlineStr">
        <is>
          <t>Lei nº 1.810, art. 49, § 1º, XXIII; Protocolo ICMS 11/91 e 31/91</t>
        </is>
      </c>
      <c r="K319" s="43" t="inlineStr">
        <is>
          <t>(Itens 10.1 ao 10.3: acrescentados pelo Decreto n° 15.657/2021. Efeitos a partir de 1°.06.2021.)</t>
        </is>
      </c>
      <c r="L319" s="29">
        <f>IF(D319="NCM/SH","",COUNTIF($D$5:$D$1506,D319))</f>
        <v/>
      </c>
    </row>
    <row r="320" ht="15.75" customHeight="1" thickBot="1">
      <c r="A320" s="1" t="inlineStr">
        <is>
          <t>04bCerv</t>
        </is>
      </c>
      <c r="B320" s="164" t="n">
        <v>10.2</v>
      </c>
      <c r="C320" s="164" t="inlineStr">
        <is>
          <t>03.010.02</t>
        </is>
      </c>
      <c r="D320" s="35" t="inlineStr">
        <is>
          <t>2202.99.00</t>
        </is>
      </c>
      <c r="E320" s="164" t="n">
        <v>40</v>
      </c>
      <c r="F320" s="164" t="n">
        <v>68</v>
      </c>
      <c r="G320" s="164" t="n">
        <v>62.75</v>
      </c>
      <c r="H320" s="164" t="n">
        <v>54</v>
      </c>
      <c r="I320" s="164" t="inlineStr">
        <is>
          <t>Refrigerante em lata</t>
        </is>
      </c>
      <c r="J320" s="44" t="inlineStr">
        <is>
          <t>Lei nº 1.810, art. 49, § 1º, XXIII; Protocolo ICMS 11/91 e 31/91</t>
        </is>
      </c>
      <c r="K320" s="43" t="inlineStr">
        <is>
          <t>(Itens 10.1 ao 10.3: acrescentados pelo Decreto n° 15.657/2021. Efeitos a partir de 1°.06.2021.)</t>
        </is>
      </c>
      <c r="L320" s="29">
        <f>IF(D320="NCM/SH","",COUNTIF($D$5:$D$1506,D320))</f>
        <v/>
      </c>
    </row>
    <row r="321" ht="14.45" customHeight="1" thickBot="1">
      <c r="A321" s="1" t="inlineStr">
        <is>
          <t>04bCerv</t>
        </is>
      </c>
      <c r="B321" s="163" t="inlineStr">
        <is>
          <t>11.0</t>
        </is>
      </c>
      <c r="C321" s="163" t="inlineStr">
        <is>
          <t>03.011.00</t>
        </is>
      </c>
      <c r="D321" s="37" t="inlineStr">
        <is>
          <t>2202.10.00</t>
        </is>
      </c>
      <c r="E321" s="163" t="n">
        <v>40</v>
      </c>
      <c r="F321" s="163" t="n">
        <v>68</v>
      </c>
      <c r="G321" s="163" t="n">
        <v>62.75</v>
      </c>
      <c r="H321" s="163" t="n">
        <v>54</v>
      </c>
      <c r="I321" s="163" t="inlineStr">
        <is>
          <t>Demais refrigerantes, exceto os classificados no CEST 03.010.00, 03.010.01, 03.010.02 e 03.011.01</t>
        </is>
      </c>
      <c r="J321" s="163" t="inlineStr">
        <is>
          <t>Lei nº 1.810, de 1997, art. 49, § 1º, II</t>
        </is>
      </c>
      <c r="K321" s="49" t="inlineStr">
        <is>
          <t>(Item 11.0: nova redação dada pelo Decreto n° 15.912/2022. Efeitos a partir de 1°.04.2022.)</t>
        </is>
      </c>
      <c r="L321" s="29">
        <f>IF(D321="NCM/SH","",COUNTIF($D$5:$D$1506,D321))</f>
        <v/>
      </c>
    </row>
    <row r="322" ht="15.75" customHeight="1" thickBot="1">
      <c r="A322" s="1" t="inlineStr">
        <is>
          <t>04bCerv</t>
        </is>
      </c>
      <c r="B322" s="164" t="n">
        <v>11</v>
      </c>
      <c r="C322" s="164" t="inlineStr">
        <is>
          <t>03.011.00</t>
        </is>
      </c>
      <c r="D322" s="35" t="inlineStr">
        <is>
          <t>2202.99.00</t>
        </is>
      </c>
      <c r="E322" s="164" t="n">
        <v>40</v>
      </c>
      <c r="F322" s="164" t="n">
        <v>68</v>
      </c>
      <c r="G322" s="164" t="n">
        <v>62.75</v>
      </c>
      <c r="H322" s="164" t="n">
        <v>54</v>
      </c>
      <c r="I322" s="164" t="inlineStr">
        <is>
          <t>Demais refrigerantes, exceto os classificados no CEST 03.010.00, 03.010.01, 03.010.02 e 03.011.01</t>
        </is>
      </c>
      <c r="J322" s="44" t="inlineStr">
        <is>
          <t>Lei nº 1.810, de 1997, art. 49, § 1º, II</t>
        </is>
      </c>
      <c r="K322" s="49" t="inlineStr">
        <is>
          <t>(Item 11.0: nova redação dada pelo Decreto n° 15.912/2022. Efeitos a partir de 1°.04.2022.)</t>
        </is>
      </c>
      <c r="L322" s="29">
        <f>IF(D322="NCM/SH","",COUNTIF($D$5:$D$1506,D322))</f>
        <v/>
      </c>
    </row>
    <row r="323" ht="15" customHeight="1" thickBot="1">
      <c r="A323" s="1" t="inlineStr">
        <is>
          <t>04bCerv</t>
        </is>
      </c>
      <c r="B323" s="164" t="inlineStr">
        <is>
          <t>11.1</t>
        </is>
      </c>
      <c r="C323" s="35" t="inlineStr">
        <is>
          <t>03.011.01</t>
        </is>
      </c>
      <c r="D323" s="35" t="n">
        <v>2202</v>
      </c>
      <c r="E323" s="35" t="n">
        <v>70</v>
      </c>
      <c r="F323" s="35" t="n">
        <v>104</v>
      </c>
      <c r="G323" s="35" t="n">
        <v>97.63</v>
      </c>
      <c r="H323" s="35" t="n">
        <v>87</v>
      </c>
      <c r="I323" s="35" t="inlineStr">
        <is>
          <t>Espumantes sem álcool</t>
        </is>
      </c>
      <c r="J323" s="163" t="inlineStr">
        <is>
          <t>Lei nº 1.810, art. 49, § 1º, XXIII; Protocolo ICMS 11/91 e 31/91</t>
        </is>
      </c>
      <c r="K323" s="49" t="inlineStr">
        <is>
          <t>(Item 11.1: acrescentado pelo Decreto n° 14.913/2017. Efeitos a partir de 1°.01.2018.)</t>
        </is>
      </c>
      <c r="L323" s="29">
        <f>IF(D323="NCM/SH","",COUNTIF($D$5:$D$1506,D323))</f>
        <v/>
      </c>
    </row>
    <row r="324" ht="15.75" customHeight="1" thickBot="1">
      <c r="A324" s="1" t="inlineStr">
        <is>
          <t>04bCerv</t>
        </is>
      </c>
      <c r="B324" s="164" t="inlineStr">
        <is>
          <t>12.0</t>
        </is>
      </c>
      <c r="C324" s="35" t="inlineStr">
        <is>
          <t>03.012.00</t>
        </is>
      </c>
      <c r="D324" s="35" t="inlineStr">
        <is>
          <t>2106.90.10</t>
        </is>
      </c>
      <c r="E324" s="35" t="n">
        <v>100</v>
      </c>
      <c r="F324" s="35" t="n">
        <v>131.33</v>
      </c>
      <c r="G324" s="35" t="n">
        <v>124.1</v>
      </c>
      <c r="H324" s="35" t="n">
        <v>112.05</v>
      </c>
      <c r="I324" s="35" t="inlineStr">
        <is>
          <t>Xarope ou extrato concentrado destinados ao preparo de refrigerante em máquina “pré-mix” ou “post-mix”, exceto o classificado no CEST 03.012.01</t>
        </is>
      </c>
      <c r="J324" s="163" t="inlineStr">
        <is>
          <t>Lei nº 1.810, de 1997, art. 49, § 1º, II</t>
        </is>
      </c>
      <c r="K324" s="49" t="inlineStr">
        <is>
          <t>(Item 12.0: nova redação dada pelo Decreto n° 15.912/2022. Efeitos a partir de 1°.04.2022.)</t>
        </is>
      </c>
      <c r="L324" s="29">
        <f>IF(D324="NCM/SH","",COUNTIF($D$5:$D$1506,D324))</f>
        <v/>
      </c>
    </row>
    <row r="325" ht="15.75" customHeight="1" thickBot="1">
      <c r="A325" s="1" t="inlineStr">
        <is>
          <t>04bCerv</t>
        </is>
      </c>
      <c r="B325" s="164" t="inlineStr">
        <is>
          <t>12.1</t>
        </is>
      </c>
      <c r="C325" s="35" t="inlineStr">
        <is>
          <t>03.012.01</t>
        </is>
      </c>
      <c r="D325" s="35" t="inlineStr">
        <is>
          <t>2106.90.10</t>
        </is>
      </c>
      <c r="E325" s="35" t="n">
        <v>40</v>
      </c>
      <c r="F325" s="35" t="n">
        <v>68</v>
      </c>
      <c r="G325" s="35" t="n">
        <v>62.75</v>
      </c>
      <c r="H325" s="35" t="n">
        <v>54</v>
      </c>
      <c r="I325" s="35" t="inlineStr">
        <is>
          <t>Cápsula de refrigerante</t>
        </is>
      </c>
      <c r="J325" s="44" t="inlineStr">
        <is>
          <t>Lei nº 1.810, de 1997, art. 49, § 1º, II</t>
        </is>
      </c>
      <c r="K325" s="49" t="inlineStr">
        <is>
          <t>(Item 12.1: acrescentado pelo Decreto n° 15.912/2022. Efeitos a partir de 1°.04.2022.)</t>
        </is>
      </c>
      <c r="L325" s="29">
        <f>IF(D325="NCM/SH","",COUNTIF($D$5:$D$1506,D325))</f>
        <v/>
      </c>
    </row>
    <row r="326" ht="15.75" customHeight="1" thickBot="1">
      <c r="A326" s="1" t="inlineStr">
        <is>
          <t>04bCerv</t>
        </is>
      </c>
      <c r="B326" s="163" t="inlineStr">
        <is>
          <t>13.0</t>
        </is>
      </c>
      <c r="C326" s="163" t="inlineStr">
        <is>
          <t>03.013.00</t>
        </is>
      </c>
      <c r="D326" s="37" t="inlineStr">
        <is>
          <t>2106.90</t>
        </is>
      </c>
      <c r="E326" s="163" t="n">
        <v>70</v>
      </c>
      <c r="F326" s="163" t="n">
        <v>96.63</v>
      </c>
      <c r="G326" s="163" t="n">
        <v>90.48</v>
      </c>
      <c r="H326" s="163" t="n">
        <v>80.23999999999999</v>
      </c>
      <c r="I326" s="163" t="inlineStr">
        <is>
          <t>Bebidas energéticas em lata</t>
        </is>
      </c>
      <c r="J326" s="163" t="inlineStr">
        <is>
          <t>Lei nº 1.810, de 1997, art. 49, § 1º, II</t>
        </is>
      </c>
      <c r="K326" s="49" t="inlineStr">
        <is>
          <t>(Item 13.0: nova redação dada pelo Decreto n° 15.657/2021. Efeitos a partir de 1°.06.2021.)</t>
        </is>
      </c>
      <c r="L326" s="29">
        <f>IF(D326="NCM/SH","",COUNTIF($D$5:$D$1506,D326))</f>
        <v/>
      </c>
    </row>
    <row r="327" ht="15.75" customHeight="1" thickBot="1">
      <c r="A327" s="1" t="inlineStr">
        <is>
          <t>04bCerv</t>
        </is>
      </c>
      <c r="B327" s="164" t="n">
        <v>13</v>
      </c>
      <c r="C327" s="164" t="inlineStr">
        <is>
          <t>03.013.00</t>
        </is>
      </c>
      <c r="D327" s="35" t="inlineStr">
        <is>
          <t>2202.99.00</t>
        </is>
      </c>
      <c r="E327" s="164" t="n">
        <v>70</v>
      </c>
      <c r="F327" s="164" t="n">
        <v>96.63</v>
      </c>
      <c r="G327" s="164" t="n">
        <v>90.48</v>
      </c>
      <c r="H327" s="164" t="n">
        <v>80.23999999999999</v>
      </c>
      <c r="I327" s="164" t="inlineStr">
        <is>
          <t>Bebidas energéticas em lata</t>
        </is>
      </c>
      <c r="J327" s="44" t="inlineStr">
        <is>
          <t>Lei nº 1.810, de 1997, art. 49, § 1º, II</t>
        </is>
      </c>
      <c r="K327" s="49" t="inlineStr">
        <is>
          <t>(Item 13.0: nova redação dada pelo Decreto n° 15.657/2021. Efeitos a partir de 1°.06.2021.)</t>
        </is>
      </c>
      <c r="L327" s="29">
        <f>IF(D327="NCM/SH","",COUNTIF($D$5:$D$1506,D327))</f>
        <v/>
      </c>
    </row>
    <row r="328" ht="15.75" customHeight="1" thickBot="1">
      <c r="A328" s="1" t="inlineStr">
        <is>
          <t>04bCerv</t>
        </is>
      </c>
      <c r="B328" s="163" t="inlineStr">
        <is>
          <t>13.1</t>
        </is>
      </c>
      <c r="C328" s="163" t="inlineStr">
        <is>
          <t>03.013.01</t>
        </is>
      </c>
      <c r="D328" s="37" t="inlineStr">
        <is>
          <t>2106.90</t>
        </is>
      </c>
      <c r="E328" s="163" t="n">
        <v>70</v>
      </c>
      <c r="F328" s="163" t="n">
        <v>96.63</v>
      </c>
      <c r="G328" s="163" t="n">
        <v>90.48</v>
      </c>
      <c r="H328" s="163" t="n">
        <v>80.23999999999999</v>
      </c>
      <c r="I328" s="163" t="inlineStr">
        <is>
          <t>Bebidas energéticas em embalagem PET</t>
        </is>
      </c>
      <c r="J328" s="44" t="inlineStr">
        <is>
          <t>Lei nº 1.810, de 1997, art. 49, § 1º, II</t>
        </is>
      </c>
      <c r="K328" s="43" t="inlineStr">
        <is>
          <t>(Itens 13.1 e 13.2: acrescentados pelo Decreto n° 15.657/2021. Efeitos a partir de 1°.06.2021.)</t>
        </is>
      </c>
      <c r="L328" s="29">
        <f>IF(D328="NCM/SH","",COUNTIF($D$5:$D$1506,D328))</f>
        <v/>
      </c>
    </row>
    <row r="329" ht="15.75" customHeight="1" thickBot="1">
      <c r="A329" s="1" t="inlineStr">
        <is>
          <t>04bCerv</t>
        </is>
      </c>
      <c r="B329" s="164" t="n">
        <v>13.1</v>
      </c>
      <c r="C329" s="164" t="inlineStr">
        <is>
          <t>03.013.01</t>
        </is>
      </c>
      <c r="D329" s="35" t="inlineStr">
        <is>
          <t>2202.99.00</t>
        </is>
      </c>
      <c r="E329" s="164" t="n">
        <v>70</v>
      </c>
      <c r="F329" s="164" t="n">
        <v>96.63</v>
      </c>
      <c r="G329" s="164" t="n">
        <v>90.48</v>
      </c>
      <c r="H329" s="164" t="n">
        <v>80.23999999999999</v>
      </c>
      <c r="I329" s="164" t="inlineStr">
        <is>
          <t>Bebidas energéticas em embalagem PET</t>
        </is>
      </c>
      <c r="J329" s="44" t="inlineStr">
        <is>
          <t>Lei nº 1.810, de 1997, art. 49, § 1º, II</t>
        </is>
      </c>
      <c r="K329" s="43" t="inlineStr">
        <is>
          <t>(Itens 13.1 e 13.2: acrescentados pelo Decreto n° 15.657/2021. Efeitos a partir de 1°.06.2021.)</t>
        </is>
      </c>
      <c r="L329" s="29">
        <f>IF(D329="NCM/SH","",COUNTIF($D$5:$D$1506,D329))</f>
        <v/>
      </c>
    </row>
    <row r="330" ht="15.75" customHeight="1" thickBot="1">
      <c r="A330" s="1" t="inlineStr">
        <is>
          <t>04bCerv</t>
        </is>
      </c>
      <c r="B330" s="163" t="inlineStr">
        <is>
          <t>13.2</t>
        </is>
      </c>
      <c r="C330" s="163" t="inlineStr">
        <is>
          <t>03.013.02</t>
        </is>
      </c>
      <c r="D330" s="37" t="inlineStr">
        <is>
          <t>2106.90</t>
        </is>
      </c>
      <c r="E330" s="163" t="n">
        <v>70</v>
      </c>
      <c r="F330" s="163" t="n">
        <v>96.63</v>
      </c>
      <c r="G330" s="163" t="n">
        <v>90.48</v>
      </c>
      <c r="H330" s="163" t="n">
        <v>80.23999999999999</v>
      </c>
      <c r="I330" s="163" t="inlineStr">
        <is>
          <t>Bebidas energéticas em vidro</t>
        </is>
      </c>
      <c r="J330" s="44" t="inlineStr">
        <is>
          <t>Lei nº 1.810, de 1997, art. 49, § 1º, II</t>
        </is>
      </c>
      <c r="K330" s="43" t="inlineStr">
        <is>
          <t>(Itens 13.1 e 13.2: acrescentados pelo Decreto n° 15.657/2021. Efeitos a partir de 1°.06.2021.)</t>
        </is>
      </c>
      <c r="L330" s="29">
        <f>IF(D330="NCM/SH","",COUNTIF($D$5:$D$1506,D330))</f>
        <v/>
      </c>
    </row>
    <row r="331" ht="15.75" customHeight="1" thickBot="1">
      <c r="A331" s="1" t="inlineStr">
        <is>
          <t>04bCerv</t>
        </is>
      </c>
      <c r="B331" s="164" t="n">
        <v>13.2</v>
      </c>
      <c r="C331" s="164" t="inlineStr">
        <is>
          <t>03.013.02</t>
        </is>
      </c>
      <c r="D331" s="35" t="inlineStr">
        <is>
          <t>2202.99.00</t>
        </is>
      </c>
      <c r="E331" s="164" t="n">
        <v>70</v>
      </c>
      <c r="F331" s="164" t="n">
        <v>96.63</v>
      </c>
      <c r="G331" s="164" t="n">
        <v>90.48</v>
      </c>
      <c r="H331" s="164" t="n">
        <v>80.23999999999999</v>
      </c>
      <c r="I331" s="164" t="inlineStr">
        <is>
          <t>Bebidas energéticas em vidro</t>
        </is>
      </c>
      <c r="J331" s="164" t="inlineStr">
        <is>
          <t>Lei nº 1.810, de 1997, art. 49, § 1º, II</t>
        </is>
      </c>
      <c r="K331" s="43" t="inlineStr">
        <is>
          <t>(Itens 13.1 e 13.2: acrescentados pelo Decreto n° 15.657/2021. Efeitos a partir de 1°.06.2021.)</t>
        </is>
      </c>
      <c r="L331" s="29">
        <f>IF(D331="NCM/SH","",COUNTIF($D$5:$D$1506,D331))</f>
        <v/>
      </c>
    </row>
    <row r="332" ht="15" customHeight="1" thickBot="1">
      <c r="A332" s="1" t="inlineStr">
        <is>
          <t>04bCerv</t>
        </is>
      </c>
      <c r="B332" s="62" t="n">
        <v>13.2</v>
      </c>
      <c r="C332" s="53" t="inlineStr">
        <is>
          <t>03.013.02</t>
        </is>
      </c>
      <c r="D332" s="53" t="inlineStr">
        <is>
          <t>2202.99.00</t>
        </is>
      </c>
      <c r="E332" s="53" t="n">
        <v>70</v>
      </c>
      <c r="F332" s="53" t="n">
        <v>96.63</v>
      </c>
      <c r="G332" s="53" t="n">
        <v>90.48</v>
      </c>
      <c r="H332" s="53" t="n">
        <v>80.23999999999999</v>
      </c>
      <c r="I332" s="54" t="inlineStr">
        <is>
          <t>Bebidas energéticas em vidro</t>
        </is>
      </c>
      <c r="J332" s="163" t="inlineStr">
        <is>
          <t>Lei nº 1.810, art. 49, § 1º, XXIII; Protocolo ICMS 11/91 e 31/91</t>
        </is>
      </c>
      <c r="K332" s="43" t="inlineStr">
        <is>
          <t>(Itens 13.1 e 13.2: acrescentados pelo Decreto n° 15.657/2021. Efeitos a partir de 1°.06.2021.)</t>
        </is>
      </c>
      <c r="L332" s="29">
        <f>IF(D332="NCM/SH","",COUNTIF($D$5:$D$1506,D332))</f>
        <v/>
      </c>
    </row>
    <row r="333" ht="15.75" customHeight="1" thickBot="1">
      <c r="A333" s="1" t="inlineStr">
        <is>
          <t>04bCerv</t>
        </is>
      </c>
      <c r="B333" s="163" t="inlineStr">
        <is>
          <t>15.0</t>
        </is>
      </c>
      <c r="C333" s="163" t="inlineStr">
        <is>
          <t>03.015.00</t>
        </is>
      </c>
      <c r="D333" s="37" t="inlineStr">
        <is>
          <t>2106.90</t>
        </is>
      </c>
      <c r="E333" s="163" t="n">
        <v>70</v>
      </c>
      <c r="F333" s="163" t="n">
        <v>96.63</v>
      </c>
      <c r="G333" s="163" t="n">
        <v>90.48</v>
      </c>
      <c r="H333" s="163" t="n">
        <v>80.23999999999999</v>
      </c>
      <c r="I333" s="163" t="inlineStr">
        <is>
          <t>Bebidas hidroeletrolíticas</t>
        </is>
      </c>
      <c r="J333" s="44" t="inlineStr">
        <is>
          <t>Lei nº 1.810, art. 49, § 1º, XXIII; Protocolo ICMS 11/91 e 31/91</t>
        </is>
      </c>
      <c r="K333" s="43" t="inlineStr">
        <is>
          <t>(Item 15.0: nova redação dada pelo Decreto n° 15.657/2021. Efeitos a partir de 1°.06.2021.)</t>
        </is>
      </c>
      <c r="L333" s="29">
        <f>IF(D333="NCM/SH","",COUNTIF($D$5:$D$1506,D333))</f>
        <v/>
      </c>
    </row>
    <row r="334" ht="15.75" customHeight="1" thickBot="1">
      <c r="A334" s="1" t="inlineStr">
        <is>
          <t>04bCerv</t>
        </is>
      </c>
      <c r="B334" s="164" t="n">
        <v>15</v>
      </c>
      <c r="C334" s="164" t="inlineStr">
        <is>
          <t>03.015.00</t>
        </is>
      </c>
      <c r="D334" s="35" t="inlineStr">
        <is>
          <t>2202.99.00</t>
        </is>
      </c>
      <c r="E334" s="164" t="n">
        <v>70</v>
      </c>
      <c r="F334" s="164" t="n">
        <v>96.63</v>
      </c>
      <c r="G334" s="164" t="n">
        <v>90.48</v>
      </c>
      <c r="H334" s="164" t="n">
        <v>80.23999999999999</v>
      </c>
      <c r="I334" s="164" t="inlineStr">
        <is>
          <t>Bebidas hidroeletrolíticas</t>
        </is>
      </c>
      <c r="J334" s="44" t="inlineStr">
        <is>
          <t>Lei nº 1.810, art. 49, § 1º, XXIII; Protocolo ICMS 11/91 e 31/91</t>
        </is>
      </c>
      <c r="K334" s="43" t="inlineStr">
        <is>
          <t>(Item 15.0: nova redação dada pelo Decreto n° 15.657/2021. Efeitos a partir de 1°.06.2021.)</t>
        </is>
      </c>
      <c r="L334" s="29">
        <f>IF(D334="NCM/SH","",COUNTIF($D$5:$D$1506,D334))</f>
        <v/>
      </c>
    </row>
    <row r="335" ht="15" customHeight="1" thickBot="1">
      <c r="A335" s="1" t="inlineStr">
        <is>
          <t>04bCerv</t>
        </is>
      </c>
      <c r="B335" s="164" t="inlineStr">
        <is>
          <t>21.0</t>
        </is>
      </c>
      <c r="C335" s="35" t="inlineStr">
        <is>
          <t>03.021.00</t>
        </is>
      </c>
      <c r="D335" s="35" t="inlineStr">
        <is>
          <t>2203.00.00</t>
        </is>
      </c>
      <c r="E335" s="35" t="n">
        <v>70</v>
      </c>
      <c r="F335" s="35" t="n">
        <v>126.67</v>
      </c>
      <c r="G335" s="35" t="n">
        <v>119.58</v>
      </c>
      <c r="H335" s="35" t="n">
        <v>107.78</v>
      </c>
      <c r="I335" s="35" t="inlineStr">
        <is>
          <t>Cerveja em garrafa de vidro retornável</t>
        </is>
      </c>
      <c r="J335" s="42" t="inlineStr">
        <is>
          <t>Lei nº 1.810/97, art. 49, § 1º, II; Protocolo ICMS 11/91 e 31/91</t>
        </is>
      </c>
      <c r="K335" s="43" t="inlineStr">
        <is>
          <t>(Item 21.0: nova redação dada pelo Decreto n° 15.657/2021. Efeitos a partir de 1°.06.2021.)</t>
        </is>
      </c>
      <c r="L335" s="29">
        <f>IF(D335="NCM/SH","",COUNTIF($D$5:$D$1506,D335))</f>
        <v/>
      </c>
    </row>
    <row r="336" ht="15.75" customHeight="1" thickBot="1">
      <c r="A336" s="1" t="inlineStr">
        <is>
          <t>04bCerv</t>
        </is>
      </c>
      <c r="B336" s="164" t="inlineStr">
        <is>
          <t>21.1</t>
        </is>
      </c>
      <c r="C336" s="35" t="inlineStr">
        <is>
          <t>03.021.01</t>
        </is>
      </c>
      <c r="D336" s="35" t="inlineStr">
        <is>
          <t>2203.00.00</t>
        </is>
      </c>
      <c r="E336" s="35" t="n">
        <v>70</v>
      </c>
      <c r="F336" s="35" t="n">
        <v>126.67</v>
      </c>
      <c r="G336" s="35" t="n">
        <v>119.58</v>
      </c>
      <c r="H336" s="35" t="n">
        <v>107.78</v>
      </c>
      <c r="I336" s="35" t="inlineStr">
        <is>
          <t>Cerveja em garrafa de vidro descartável</t>
        </is>
      </c>
      <c r="J336" s="45" t="inlineStr">
        <is>
          <t>Lei nº 1.810/97, art. 49, § 1º, II; Protocolo ICMS 11/91 e 31/91</t>
        </is>
      </c>
      <c r="K336" s="43" t="inlineStr">
        <is>
          <t>(Itens 21.1 ao 21.4: acrescentados pelo Decreto n° 15.657/2021. Efeitos a partir de 1°.06.2021.)</t>
        </is>
      </c>
      <c r="L336" s="29">
        <f>IF(D336="NCM/SH","",COUNTIF($D$5:$D$1506,D336))</f>
        <v/>
      </c>
    </row>
    <row r="337" ht="15.75" customHeight="1" thickBot="1">
      <c r="A337" s="1" t="inlineStr">
        <is>
          <t>04bCerv</t>
        </is>
      </c>
      <c r="B337" s="164" t="inlineStr">
        <is>
          <t>21.2</t>
        </is>
      </c>
      <c r="C337" s="35" t="inlineStr">
        <is>
          <t>03.021.02</t>
        </is>
      </c>
      <c r="D337" s="35" t="inlineStr">
        <is>
          <t>2203.00.00</t>
        </is>
      </c>
      <c r="E337" s="35" t="n">
        <v>70</v>
      </c>
      <c r="F337" s="35" t="n">
        <v>126.67</v>
      </c>
      <c r="G337" s="35" t="n">
        <v>119.58</v>
      </c>
      <c r="H337" s="35" t="n">
        <v>107.78</v>
      </c>
      <c r="I337" s="35" t="inlineStr">
        <is>
          <t>Cerveja em garrafa de alumínio</t>
        </is>
      </c>
      <c r="J337" s="45" t="inlineStr">
        <is>
          <t>Lei nº 1.810/97, art. 49, § 1º, II; Protocolo ICMS 11/91 e 31/91</t>
        </is>
      </c>
      <c r="K337" s="43" t="inlineStr">
        <is>
          <t>(Itens 21.1 ao 21.4: acrescentados pelo Decreto n° 15.657/2021. Efeitos a partir de 1°.06.2021.)</t>
        </is>
      </c>
      <c r="L337" s="29">
        <f>IF(D337="NCM/SH","",COUNTIF($D$5:$D$1506,D337))</f>
        <v/>
      </c>
    </row>
    <row r="338" ht="15.75" customHeight="1" thickBot="1">
      <c r="A338" s="1" t="inlineStr">
        <is>
          <t>04bCerv</t>
        </is>
      </c>
      <c r="B338" s="164" t="inlineStr">
        <is>
          <t>21.3</t>
        </is>
      </c>
      <c r="C338" s="35" t="inlineStr">
        <is>
          <t>03.021.03</t>
        </is>
      </c>
      <c r="D338" s="35" t="inlineStr">
        <is>
          <t>2203.00.00</t>
        </is>
      </c>
      <c r="E338" s="35" t="n">
        <v>70</v>
      </c>
      <c r="F338" s="35" t="n">
        <v>126.67</v>
      </c>
      <c r="G338" s="35" t="n">
        <v>119.58</v>
      </c>
      <c r="H338" s="35" t="n">
        <v>107.78</v>
      </c>
      <c r="I338" s="35" t="inlineStr">
        <is>
          <t>Cerveja em lata</t>
        </is>
      </c>
      <c r="J338" s="45" t="inlineStr">
        <is>
          <t>Lei nº 1.810/97, art. 49, § 1º, II; Protocolo ICMS 11/91 e 31/91</t>
        </is>
      </c>
      <c r="K338" s="43" t="inlineStr">
        <is>
          <t>(Itens 21.1 ao 21.4: acrescentados pelo Decreto n° 15.657/2021. Efeitos a partir de 1°.06.2021.)</t>
        </is>
      </c>
      <c r="L338" s="29">
        <f>IF(D338="NCM/SH","",COUNTIF($D$5:$D$1506,D338))</f>
        <v/>
      </c>
    </row>
    <row r="339" ht="15.75" customHeight="1" thickBot="1">
      <c r="A339" s="1" t="inlineStr">
        <is>
          <t>04bCerv</t>
        </is>
      </c>
      <c r="B339" s="164" t="inlineStr">
        <is>
          <t>21.4</t>
        </is>
      </c>
      <c r="C339" s="35" t="inlineStr">
        <is>
          <t>03.021.04</t>
        </is>
      </c>
      <c r="D339" s="35" t="inlineStr">
        <is>
          <t>2203.00.00</t>
        </is>
      </c>
      <c r="E339" s="35" t="n">
        <v>70</v>
      </c>
      <c r="F339" s="35" t="n">
        <v>126.67</v>
      </c>
      <c r="G339" s="35" t="n">
        <v>119.58</v>
      </c>
      <c r="H339" s="35" t="n">
        <v>107.78</v>
      </c>
      <c r="I339" s="35" t="inlineStr">
        <is>
          <t>Cerveja em barril</t>
        </is>
      </c>
      <c r="J339" s="45" t="inlineStr">
        <is>
          <t>Lei nº 1.810/97, art. 49, § 1º, II; Protocolo ICMS 11/91 e 31/91</t>
        </is>
      </c>
      <c r="K339" s="43" t="inlineStr">
        <is>
          <t>(Itens 21.1 ao 21.4: acrescentados pelo Decreto n° 15.657/2021. Efeitos a partir de 1°.06.2021.)</t>
        </is>
      </c>
      <c r="L339" s="29">
        <f>IF(D339="NCM/SH","",COUNTIF($D$5:$D$1506,D339))</f>
        <v/>
      </c>
    </row>
    <row r="340" ht="15.75" customHeight="1" thickBot="1">
      <c r="A340" s="1" t="inlineStr">
        <is>
          <t>04bCerv</t>
        </is>
      </c>
      <c r="B340" s="164" t="inlineStr">
        <is>
          <t>21.5</t>
        </is>
      </c>
      <c r="C340" s="35" t="inlineStr">
        <is>
          <t>03.021.05</t>
        </is>
      </c>
      <c r="D340" s="35" t="inlineStr">
        <is>
          <t>2203.00.00</t>
        </is>
      </c>
      <c r="E340" s="35" t="n">
        <v>70</v>
      </c>
      <c r="F340" s="35" t="n">
        <v>126.67</v>
      </c>
      <c r="G340" s="35" t="n">
        <v>119.58</v>
      </c>
      <c r="H340" s="35" t="n">
        <v>107.78</v>
      </c>
      <c r="I340" s="35" t="inlineStr">
        <is>
          <t>Cerveja em embalagem PET</t>
        </is>
      </c>
      <c r="J340" s="163" t="inlineStr">
        <is>
          <t>Lei nº 1.810, de 1997, art. 49, § 1º, II</t>
        </is>
      </c>
      <c r="K340" s="43" t="inlineStr">
        <is>
          <t>(Itens 22.5 e 22.6: acrescentados dada pelo Decreto n° 15.912/2022. Efeitos a partir de 1°.04.2022.)</t>
        </is>
      </c>
      <c r="L340" s="29">
        <f>IF(D340="NCM/SH","",COUNTIF($D$5:$D$1506,D340))</f>
        <v/>
      </c>
    </row>
    <row r="341" ht="15.75" customHeight="1" thickBot="1">
      <c r="A341" s="1" t="inlineStr">
        <is>
          <t>04bCerv</t>
        </is>
      </c>
      <c r="B341" s="164" t="inlineStr">
        <is>
          <t>21.6</t>
        </is>
      </c>
      <c r="C341" s="35" t="inlineStr">
        <is>
          <t>03.021.06</t>
        </is>
      </c>
      <c r="D341" s="35" t="inlineStr">
        <is>
          <t>2203.00.00</t>
        </is>
      </c>
      <c r="E341" s="35" t="n">
        <v>70</v>
      </c>
      <c r="F341" s="35" t="n">
        <v>126.67</v>
      </c>
      <c r="G341" s="35" t="n">
        <v>119.58</v>
      </c>
      <c r="H341" s="35" t="n">
        <v>107.78</v>
      </c>
      <c r="I341" s="35" t="inlineStr">
        <is>
          <t>Cerveja em outras embalagens</t>
        </is>
      </c>
      <c r="J341" s="44" t="inlineStr">
        <is>
          <t>Lei nº 1.810, de 1997, art. 49, § 1º, II</t>
        </is>
      </c>
      <c r="K341" s="43" t="inlineStr">
        <is>
          <t>(Itens 22.5 e 22.6: acrescentados dada pelo Decreto n° 15.912/2022. Efeitos a partir de 1°.04.2022.)</t>
        </is>
      </c>
      <c r="L341" s="29">
        <f>IF(D341="NCM/SH","",COUNTIF($D$5:$D$1506,D341))</f>
        <v/>
      </c>
    </row>
    <row r="342" ht="15.75" customHeight="1" thickBot="1">
      <c r="A342" s="1" t="inlineStr">
        <is>
          <t>04bCerv</t>
        </is>
      </c>
      <c r="B342" s="164" t="inlineStr">
        <is>
          <t>22.0</t>
        </is>
      </c>
      <c r="C342" s="35" t="inlineStr">
        <is>
          <t>03.022.00</t>
        </is>
      </c>
      <c r="D342" s="35" t="inlineStr">
        <is>
          <t>2202.91.00</t>
        </is>
      </c>
      <c r="E342" s="35" t="n">
        <v>70</v>
      </c>
      <c r="F342" s="35" t="n">
        <v>96.63</v>
      </c>
      <c r="G342" s="35" t="n">
        <v>90.48</v>
      </c>
      <c r="H342" s="35" t="n">
        <v>80.23999999999999</v>
      </c>
      <c r="I342" s="35" t="inlineStr">
        <is>
          <t>Cerveja sem álcool em garrafa de vidro retornável</t>
        </is>
      </c>
      <c r="J342" s="42" t="inlineStr">
        <is>
          <t>Lei nº 1.810/97, art. 49, § 1º, II; Protocolo ICMS 11/91 e 31/91</t>
        </is>
      </c>
      <c r="K342" s="43" t="inlineStr">
        <is>
          <t>(Item 22.0: nova redação dada pelo Decreto n° 15.657/2021. Efeitos a partir de 1°.06.2021.)</t>
        </is>
      </c>
      <c r="L342" s="29">
        <f>IF(D342="NCM/SH","",COUNTIF($D$5:$D$1506,D342))</f>
        <v/>
      </c>
    </row>
    <row r="343" ht="15.75" customHeight="1" thickBot="1">
      <c r="A343" s="1" t="inlineStr">
        <is>
          <t>04bCerv</t>
        </is>
      </c>
      <c r="B343" s="164" t="inlineStr">
        <is>
          <t>22.1</t>
        </is>
      </c>
      <c r="C343" s="35" t="inlineStr">
        <is>
          <t>03.022.01</t>
        </is>
      </c>
      <c r="D343" s="35" t="inlineStr">
        <is>
          <t>2202.91.00</t>
        </is>
      </c>
      <c r="E343" s="35" t="n">
        <v>70</v>
      </c>
      <c r="F343" s="35" t="n">
        <v>96.63</v>
      </c>
      <c r="G343" s="35" t="n">
        <v>90.48</v>
      </c>
      <c r="H343" s="35" t="n">
        <v>80.23999999999999</v>
      </c>
      <c r="I343" s="35" t="inlineStr">
        <is>
          <t>Cerveja sem álcool em garrafa de vidro descartável</t>
        </is>
      </c>
      <c r="J343" s="45" t="inlineStr">
        <is>
          <t>Lei nº 1.810/97, art. 49, § 1º, II; Protocolo ICMS 11/91 e 31/91</t>
        </is>
      </c>
      <c r="K343" s="43" t="inlineStr">
        <is>
          <t>(Itens 22.1 ao 22.4: acrescentados pelo Decreto n° 15.657/2021. Efeitos a partir de 1°.06.2021.)</t>
        </is>
      </c>
      <c r="L343" s="29">
        <f>IF(D343="NCM/SH","",COUNTIF($D$5:$D$1506,D343))</f>
        <v/>
      </c>
    </row>
    <row r="344" ht="15.75" customHeight="1" thickBot="1">
      <c r="A344" s="1" t="inlineStr">
        <is>
          <t>04bCerv</t>
        </is>
      </c>
      <c r="B344" s="164" t="inlineStr">
        <is>
          <t>22.2</t>
        </is>
      </c>
      <c r="C344" s="35" t="inlineStr">
        <is>
          <t>03.022.02</t>
        </is>
      </c>
      <c r="D344" s="35" t="inlineStr">
        <is>
          <t>2202.91.00</t>
        </is>
      </c>
      <c r="E344" s="35" t="n">
        <v>70</v>
      </c>
      <c r="F344" s="35" t="n">
        <v>96.63</v>
      </c>
      <c r="G344" s="35" t="n">
        <v>90.48</v>
      </c>
      <c r="H344" s="35" t="n">
        <v>80.23999999999999</v>
      </c>
      <c r="I344" s="35" t="inlineStr">
        <is>
          <t>Cerveja sem álcool em garrafa de alumínio</t>
        </is>
      </c>
      <c r="J344" s="45" t="inlineStr">
        <is>
          <t>Lei nº 1.810/97, art. 49, § 1º, II; Protocolo ICMS 11/91 e 31/91</t>
        </is>
      </c>
      <c r="K344" s="43" t="inlineStr">
        <is>
          <t>(Itens 22.1 ao 22.4: acrescentados pelo Decreto n° 15.657/2021. Efeitos a partir de 1°.06.2021.)</t>
        </is>
      </c>
      <c r="L344" s="29">
        <f>IF(D344="NCM/SH","",COUNTIF($D$5:$D$1506,D344))</f>
        <v/>
      </c>
    </row>
    <row r="345" ht="15.75" customHeight="1" thickBot="1">
      <c r="A345" s="1" t="inlineStr">
        <is>
          <t>04bCerv</t>
        </is>
      </c>
      <c r="B345" s="164" t="inlineStr">
        <is>
          <t>22.3</t>
        </is>
      </c>
      <c r="C345" s="35" t="inlineStr">
        <is>
          <t>03.022.03</t>
        </is>
      </c>
      <c r="D345" s="35" t="inlineStr">
        <is>
          <t>2202.91.00</t>
        </is>
      </c>
      <c r="E345" s="35" t="n">
        <v>70</v>
      </c>
      <c r="F345" s="35" t="n">
        <v>96.63</v>
      </c>
      <c r="G345" s="35" t="n">
        <v>90.48</v>
      </c>
      <c r="H345" s="35" t="n">
        <v>80.23999999999999</v>
      </c>
      <c r="I345" s="35" t="inlineStr">
        <is>
          <t>Cerveja sem álcool em lata</t>
        </is>
      </c>
      <c r="J345" s="45" t="inlineStr">
        <is>
          <t>Lei nº 1.810/97, art. 49, § 1º, II; Protocolo ICMS 11/91 e 31/91</t>
        </is>
      </c>
      <c r="K345" s="43" t="inlineStr">
        <is>
          <t>(Itens 22.1 ao 22.4: acrescentados pelo Decreto n° 15.657/2021. Efeitos a partir de 1°.06.2021.)</t>
        </is>
      </c>
      <c r="L345" s="29">
        <f>IF(D345="NCM/SH","",COUNTIF($D$5:$D$1506,D345))</f>
        <v/>
      </c>
    </row>
    <row r="346" ht="15.75" customHeight="1" thickBot="1">
      <c r="A346" s="1" t="inlineStr">
        <is>
          <t>04bCerv</t>
        </is>
      </c>
      <c r="B346" s="164" t="inlineStr">
        <is>
          <t>22.4</t>
        </is>
      </c>
      <c r="C346" s="35" t="inlineStr">
        <is>
          <t>03.022.04</t>
        </is>
      </c>
      <c r="D346" s="35" t="inlineStr">
        <is>
          <t>2202.91.00</t>
        </is>
      </c>
      <c r="E346" s="35" t="n">
        <v>70</v>
      </c>
      <c r="F346" s="35" t="n">
        <v>96.63</v>
      </c>
      <c r="G346" s="35" t="n">
        <v>90.48</v>
      </c>
      <c r="H346" s="35" t="n">
        <v>80.23999999999999</v>
      </c>
      <c r="I346" s="35" t="inlineStr">
        <is>
          <t>Cerveja sem álcool em barril</t>
        </is>
      </c>
      <c r="J346" s="45" t="inlineStr">
        <is>
          <t>Lei nº 1.810/97, art. 49, § 1º, II; Protocolo ICMS 11/91 e 31/91</t>
        </is>
      </c>
      <c r="K346" s="43" t="inlineStr">
        <is>
          <t>(Itens 22.1 ao 22.4: acrescentados pelo Decreto n° 15.657/2021. Efeitos a partir de 1°.06.2021.)</t>
        </is>
      </c>
      <c r="L346" s="29">
        <f>IF(D346="NCM/SH","",COUNTIF($D$5:$D$1506,D346))</f>
        <v/>
      </c>
    </row>
    <row r="347" ht="15.75" customHeight="1" thickBot="1">
      <c r="A347" s="1" t="inlineStr">
        <is>
          <t>04bCerv</t>
        </is>
      </c>
      <c r="B347" s="164" t="inlineStr">
        <is>
          <t>22.5</t>
        </is>
      </c>
      <c r="C347" s="35" t="inlineStr">
        <is>
          <t>03.022.05</t>
        </is>
      </c>
      <c r="D347" s="35" t="inlineStr">
        <is>
          <t>2202.91.00</t>
        </is>
      </c>
      <c r="E347" s="35" t="n">
        <v>70</v>
      </c>
      <c r="F347" s="35" t="n">
        <v>96.63</v>
      </c>
      <c r="G347" s="35" t="n">
        <v>90.48</v>
      </c>
      <c r="H347" s="35" t="n">
        <v>80.23999999999999</v>
      </c>
      <c r="I347" s="35" t="inlineStr">
        <is>
          <t>Cerveja sem álcool em embalagem PET</t>
        </is>
      </c>
      <c r="J347" s="163" t="inlineStr">
        <is>
          <t>Lei nº 1.810, de 1997, art. 49, § 1º, II</t>
        </is>
      </c>
      <c r="K347" s="43" t="inlineStr">
        <is>
          <t>(Itens 22.5 e 22.6: acrescentados dada pelo Decreto n° 15.912/2022. Efeitos a partir de 1°.04.2022.)</t>
        </is>
      </c>
      <c r="L347" s="29">
        <f>IF(D347="NCM/SH","",COUNTIF($D$5:$D$1506,D347))</f>
        <v/>
      </c>
    </row>
    <row r="348" ht="15.75" customHeight="1" thickBot="1">
      <c r="A348" s="1" t="inlineStr">
        <is>
          <t>04bCerv</t>
        </is>
      </c>
      <c r="B348" s="164" t="inlineStr">
        <is>
          <t>22.6</t>
        </is>
      </c>
      <c r="C348" s="35" t="inlineStr">
        <is>
          <t>03.022.06</t>
        </is>
      </c>
      <c r="D348" s="35" t="inlineStr">
        <is>
          <t>2202.91.00</t>
        </is>
      </c>
      <c r="E348" s="35" t="n">
        <v>70</v>
      </c>
      <c r="F348" s="35" t="n">
        <v>96.63</v>
      </c>
      <c r="G348" s="35" t="n">
        <v>90.48</v>
      </c>
      <c r="H348" s="35" t="n">
        <v>80.23999999999999</v>
      </c>
      <c r="I348" s="35" t="inlineStr">
        <is>
          <t>Cerveja sem álcool em outras embalagens</t>
        </is>
      </c>
      <c r="J348" s="44" t="inlineStr">
        <is>
          <t>Lei nº 1.810, de 1997, art. 49, § 1º, II</t>
        </is>
      </c>
      <c r="K348" s="43" t="inlineStr">
        <is>
          <t>(Itens 22.5 e 22.6: acrescentados dada pelo Decreto n° 15.912/2022. Efeitos a partir de 1°.04.2022.)</t>
        </is>
      </c>
      <c r="L348" s="29">
        <f>IF(D348="NCM/SH","",COUNTIF($D$5:$D$1506,D348))</f>
        <v/>
      </c>
    </row>
    <row r="349" ht="15.75" customHeight="1" thickBot="1">
      <c r="A349" s="1" t="inlineStr">
        <is>
          <t>04bCerv</t>
        </is>
      </c>
      <c r="B349" s="164" t="inlineStr">
        <is>
          <t>23.0</t>
        </is>
      </c>
      <c r="C349" s="35" t="inlineStr">
        <is>
          <t>03.023.00</t>
        </is>
      </c>
      <c r="D349" s="35" t="inlineStr">
        <is>
          <t>2203.00.00</t>
        </is>
      </c>
      <c r="E349" s="35" t="n">
        <v>115</v>
      </c>
      <c r="F349" s="35" t="n">
        <v>186.67</v>
      </c>
      <c r="G349" s="35" t="n">
        <v>177.71</v>
      </c>
      <c r="H349" s="35" t="n">
        <v>162.78</v>
      </c>
      <c r="I349" s="35" t="inlineStr">
        <is>
          <t>Chope</t>
        </is>
      </c>
      <c r="J349" s="164" t="inlineStr">
        <is>
          <t>Lei nº 1.810, de 1997, art. 49, § 1º, II</t>
        </is>
      </c>
      <c r="L349" s="29">
        <f>IF(D349="NCM/SH","",COUNTIF($D$5:$D$1506,D349))</f>
        <v/>
      </c>
    </row>
    <row r="350" ht="15.75" customHeight="1" thickBot="1">
      <c r="A350" s="1" t="inlineStr">
        <is>
          <t>04bCerv</t>
        </is>
      </c>
      <c r="B350" s="164" t="inlineStr">
        <is>
          <t>24.0</t>
        </is>
      </c>
      <c r="C350" s="35" t="inlineStr">
        <is>
          <t>03.024.00</t>
        </is>
      </c>
      <c r="D350" s="35" t="inlineStr">
        <is>
          <t>2201.10.00</t>
        </is>
      </c>
      <c r="E350" s="35" t="n">
        <v>70</v>
      </c>
      <c r="F350" s="35" t="n">
        <v>96.63</v>
      </c>
      <c r="G350" s="35" t="n">
        <v>90.48</v>
      </c>
      <c r="H350" s="35" t="n">
        <v>80.23999999999999</v>
      </c>
      <c r="I350" s="35" t="inlineStr">
        <is>
          <t>Água mineral em embalagens retornáveis com capacidade igual ou superior a 10 (dez) e inferior a 20 (vinte) litros</t>
        </is>
      </c>
      <c r="J350" s="42" t="inlineStr">
        <is>
          <t>Lei nº 1.810/97, art. 49, § 1º, II; Protocolo ICMS 11/91 e 31/91</t>
        </is>
      </c>
      <c r="K350" s="43" t="inlineStr">
        <is>
          <t>(Item 24.0: acrescentado pelo Decreto n° 15.024/2018. Efeitos a partir de 1°.04.2018.)</t>
        </is>
      </c>
      <c r="L350" s="29">
        <f>IF(D350="NCM/SH","",COUNTIF($D$5:$D$1506,D350))</f>
        <v/>
      </c>
    </row>
    <row r="351" ht="15.75" customHeight="1" thickBot="1">
      <c r="A351" s="1" t="inlineStr">
        <is>
          <t>04bCerv</t>
        </is>
      </c>
      <c r="B351" s="164" t="inlineStr">
        <is>
          <t>25.0</t>
        </is>
      </c>
      <c r="C351" s="35" t="inlineStr">
        <is>
          <t>03.025.00</t>
        </is>
      </c>
      <c r="D351" s="35" t="inlineStr">
        <is>
          <t>2201.10.00</t>
        </is>
      </c>
      <c r="E351" s="35" t="n">
        <v>70</v>
      </c>
      <c r="F351" s="35" t="n">
        <v>96.63</v>
      </c>
      <c r="G351" s="35" t="n">
        <v>90.48</v>
      </c>
      <c r="H351" s="35" t="n">
        <v>80.23999999999999</v>
      </c>
      <c r="I351" s="35" t="inlineStr">
        <is>
          <t>Água mineral em embalagens retornáveis com capacidade igual ou superior a 20 (vinte) litros</t>
        </is>
      </c>
      <c r="J351" s="45" t="inlineStr">
        <is>
          <t>Lei nº 1.810/97, art. 49, § 1º, II; Protocolo ICMS 11/91 e 31/91</t>
        </is>
      </c>
      <c r="K351" s="43" t="inlineStr">
        <is>
          <t>(Item 25.0: acrescentado pelo Decreto n° 15.024/2018. Efeitos a partir de 1°.04.2018.)</t>
        </is>
      </c>
      <c r="L351" s="29">
        <f>IF(D351="NCM/SH","",COUNTIF($D$5:$D$1506,D351))</f>
        <v/>
      </c>
    </row>
    <row r="352">
      <c r="B352" s="28" t="n"/>
      <c r="L352" s="29">
        <f>IF(D352="NCM/SH","",COUNTIF($D$5:$D$1506,D352))</f>
        <v/>
      </c>
    </row>
    <row r="353">
      <c r="B353" s="77" t="n"/>
      <c r="L353" s="29">
        <f>IF(D353="NCM/SH","",COUNTIF($D$5:$D$1506,D353))</f>
        <v/>
      </c>
    </row>
    <row r="354" ht="15.75" customHeight="1" thickBot="1">
      <c r="A354" s="1" t="inlineStr">
        <is>
          <t>05Cigar</t>
        </is>
      </c>
      <c r="B354" s="28" t="inlineStr">
        <is>
          <t>Tabela V</t>
        </is>
      </c>
      <c r="C354" s="28" t="inlineStr">
        <is>
          <t>CIGARROS E OUTROS PRODUTOS DERIVADOS DO FUMO</t>
        </is>
      </c>
      <c r="L354" s="29">
        <f>IF(D354="NCM/SH","",COUNTIF($D$5:$D$1506,D354))</f>
        <v/>
      </c>
    </row>
    <row r="355" ht="15.75" customHeight="1" thickBot="1">
      <c r="A355" s="1" t="inlineStr">
        <is>
          <t>05Cigar</t>
        </is>
      </c>
      <c r="B355" s="106" t="inlineStr">
        <is>
          <t>ITEM</t>
        </is>
      </c>
      <c r="C355" s="106" t="inlineStr">
        <is>
          <t>CEST</t>
        </is>
      </c>
      <c r="D355" s="106" t="inlineStr">
        <is>
          <t>NCM/SH</t>
        </is>
      </c>
      <c r="E355" s="106" t="inlineStr">
        <is>
          <t>MARGEM DE VALOR AGREGADO</t>
        </is>
      </c>
      <c r="F355" s="192" t="n"/>
      <c r="G355" s="192" t="n"/>
      <c r="H355" s="193" t="n"/>
      <c r="I355" s="106" t="inlineStr">
        <is>
          <t xml:space="preserve">DESCRIÇÃO </t>
        </is>
      </c>
      <c r="J355" s="106" t="inlineStr">
        <is>
          <t>DISPOSITIVO LEGAL</t>
        </is>
      </c>
      <c r="L355" s="29">
        <f>IF(D355="NCM/SH","",COUNTIF($D$5:$D$1506,D355))</f>
        <v/>
      </c>
    </row>
    <row r="356" ht="15.75" customHeight="1" thickBot="1">
      <c r="A356" s="1" t="inlineStr">
        <is>
          <t>05Cigar</t>
        </is>
      </c>
      <c r="B356" s="194" t="n"/>
      <c r="C356" s="194" t="n"/>
      <c r="D356" s="194" t="n"/>
      <c r="E356" s="35" t="inlineStr">
        <is>
          <t>Oper. interna</t>
        </is>
      </c>
      <c r="F356" s="167" t="inlineStr">
        <is>
          <t>Alíq. 4%</t>
        </is>
      </c>
      <c r="G356" s="167" t="inlineStr">
        <is>
          <t>Alíq. 7%</t>
        </is>
      </c>
      <c r="H356" s="167" t="inlineStr">
        <is>
          <t>Alíq. 12%</t>
        </is>
      </c>
      <c r="I356" s="194" t="n"/>
      <c r="J356" s="194" t="n"/>
      <c r="L356" s="29">
        <f>IF(D356="NCM/SH","",COUNTIF($D$5:$D$1506,D356))</f>
        <v/>
      </c>
    </row>
    <row r="357" ht="21" customHeight="1" thickBot="1">
      <c r="A357" s="1" t="inlineStr">
        <is>
          <t>05Cigar</t>
        </is>
      </c>
      <c r="B357" s="164" t="inlineStr">
        <is>
          <t>1.0</t>
        </is>
      </c>
      <c r="C357" s="35" t="inlineStr">
        <is>
          <t>04.001.00</t>
        </is>
      </c>
      <c r="D357" s="35" t="n">
        <v>2402</v>
      </c>
      <c r="E357" s="35" t="n">
        <v>50</v>
      </c>
      <c r="F357" s="35" t="n">
        <v>100</v>
      </c>
      <c r="G357" s="35" t="n">
        <v>93.75</v>
      </c>
      <c r="H357" s="35" t="n">
        <v>83.33</v>
      </c>
      <c r="I357" s="35" t="inlineStr">
        <is>
          <t>Charutos, cigarrilhas e cigarros, de tabaco ou dos seus sucedâneos</t>
        </is>
      </c>
      <c r="J357" s="42" t="inlineStr">
        <is>
          <t xml:space="preserve">Lei nº 1.810/97, art. 49, § 1º, inciso I; Convênio ICMS 111/17 </t>
        </is>
      </c>
      <c r="K357" s="1" t="inlineStr">
        <is>
          <t>(Nova redação dada pelo Decreto nº 15.024/18. Efeitos a partir de 1º.01.18.)</t>
        </is>
      </c>
      <c r="L357" s="29">
        <f>IF(D357="NCM/SH","",COUNTIF($D$5:$D$1506,D357))</f>
        <v/>
      </c>
    </row>
    <row r="358" ht="15.75" customHeight="1" thickBot="1">
      <c r="A358" s="1" t="inlineStr">
        <is>
          <t>05Cigar</t>
        </is>
      </c>
      <c r="B358" s="164" t="inlineStr">
        <is>
          <t>2.0</t>
        </is>
      </c>
      <c r="C358" s="35" t="inlineStr">
        <is>
          <t>04.002.00</t>
        </is>
      </c>
      <c r="D358" s="35" t="inlineStr">
        <is>
          <t>2403.1</t>
        </is>
      </c>
      <c r="E358" s="35" t="n">
        <v>50</v>
      </c>
      <c r="F358" s="35" t="n">
        <v>100</v>
      </c>
      <c r="G358" s="35" t="n">
        <v>93.75</v>
      </c>
      <c r="H358" s="35" t="n">
        <v>83.33</v>
      </c>
      <c r="I358" s="35" t="inlineStr">
        <is>
          <t xml:space="preserve">Tabaco para fumar, mesmo contendo sucedâneos de tabaco em qualquer proporção </t>
        </is>
      </c>
      <c r="J358" s="46" t="inlineStr">
        <is>
          <t xml:space="preserve">Lei nº 1.810/97, art. 49, § 1º, inciso I; Convênio ICMS 111/17 </t>
        </is>
      </c>
      <c r="K358" s="1" t="inlineStr">
        <is>
          <t>(Nova redação dada pelo Decreto nº 15.024/18. Efeitos a partir de 1º.01.18.)</t>
        </is>
      </c>
      <c r="L358" s="29">
        <f>IF(D358="NCM/SH","",COUNTIF($D$5:$D$1506,D358))</f>
        <v/>
      </c>
    </row>
    <row r="359">
      <c r="B359" s="28" t="n"/>
      <c r="L359" s="29">
        <f>IF(D359="NCM/SH","",COUNTIF($D$5:$D$1506,D359))</f>
        <v/>
      </c>
    </row>
    <row r="360">
      <c r="B360" s="28" t="n"/>
      <c r="L360" s="29">
        <f>IF(D360="NCM/SH","",COUNTIF($D$5:$D$1506,D360))</f>
        <v/>
      </c>
    </row>
    <row r="361" ht="15.75" customHeight="1" thickBot="1">
      <c r="A361" s="1" t="inlineStr">
        <is>
          <t>06Cimento</t>
        </is>
      </c>
      <c r="B361" s="28" t="inlineStr">
        <is>
          <t>Tabela VI</t>
        </is>
      </c>
      <c r="C361" s="28" t="inlineStr">
        <is>
          <t>CIMENTOS</t>
        </is>
      </c>
      <c r="L361" s="29">
        <f>IF(D361="NCM/SH","",COUNTIF($D$5:$D$1506,D361))</f>
        <v/>
      </c>
    </row>
    <row r="362" ht="15.75" customHeight="1" thickBot="1">
      <c r="A362" s="1" t="inlineStr">
        <is>
          <t>06Cimento</t>
        </is>
      </c>
      <c r="B362" s="106" t="inlineStr">
        <is>
          <t>ITEM</t>
        </is>
      </c>
      <c r="C362" s="106" t="inlineStr">
        <is>
          <t>CEST</t>
        </is>
      </c>
      <c r="D362" s="106" t="inlineStr">
        <is>
          <t>NCM/SH</t>
        </is>
      </c>
      <c r="E362" s="106" t="inlineStr">
        <is>
          <t>MARGEM DE VALOR AGREGADO</t>
        </is>
      </c>
      <c r="F362" s="192" t="n"/>
      <c r="G362" s="192" t="n"/>
      <c r="H362" s="193" t="n"/>
      <c r="I362" s="106" t="inlineStr">
        <is>
          <t xml:space="preserve">DESCRIÇÃO </t>
        </is>
      </c>
      <c r="J362" s="106" t="inlineStr">
        <is>
          <t>DISPOSITIVO LEGAL</t>
        </is>
      </c>
      <c r="L362" s="29">
        <f>IF(D362="NCM/SH","",COUNTIF($D$5:$D$1506,D362))</f>
        <v/>
      </c>
    </row>
    <row r="363" ht="15.75" customHeight="1" thickBot="1">
      <c r="A363" s="1" t="inlineStr">
        <is>
          <t>06Cimento</t>
        </is>
      </c>
      <c r="B363" s="194" t="n"/>
      <c r="C363" s="194" t="n"/>
      <c r="D363" s="194" t="n"/>
      <c r="E363" s="35" t="inlineStr">
        <is>
          <t>Oper. interna</t>
        </is>
      </c>
      <c r="F363" s="167" t="inlineStr">
        <is>
          <t>Alíq. 4%</t>
        </is>
      </c>
      <c r="G363" s="167" t="inlineStr">
        <is>
          <t>Alíq. 7%</t>
        </is>
      </c>
      <c r="H363" s="167" t="inlineStr">
        <is>
          <t>Alíq. 12%</t>
        </is>
      </c>
      <c r="I363" s="194" t="n"/>
      <c r="J363" s="194" t="n"/>
      <c r="L363" s="29">
        <f>IF(D363="NCM/SH","",COUNTIF($D$5:$D$1506,D363))</f>
        <v/>
      </c>
    </row>
    <row r="364" ht="15.75" customHeight="1" thickBot="1">
      <c r="A364" s="1" t="inlineStr">
        <is>
          <t>06Cimento</t>
        </is>
      </c>
      <c r="B364" s="164" t="inlineStr">
        <is>
          <t>1.0</t>
        </is>
      </c>
      <c r="C364" s="35" t="inlineStr">
        <is>
          <t>05.001.00</t>
        </is>
      </c>
      <c r="D364" s="35" t="n">
        <v>2523</v>
      </c>
      <c r="E364" s="35" t="n">
        <v>20</v>
      </c>
      <c r="F364" s="35" t="n">
        <v>38.8</v>
      </c>
      <c r="G364" s="35" t="n">
        <v>34.46</v>
      </c>
      <c r="H364" s="35" t="n">
        <v>27.23</v>
      </c>
      <c r="I364" s="35" t="inlineStr">
        <is>
          <t>Cimento</t>
        </is>
      </c>
      <c r="J364" s="35" t="inlineStr">
        <is>
          <t>Lei nº 1.810, art. 49, § 1º, XI; Protocolo ICMS 11/85</t>
        </is>
      </c>
      <c r="L364" s="29">
        <f>IF(D364="NCM/SH","",COUNTIF($D$5:$D$1506,D364))</f>
        <v/>
      </c>
    </row>
    <row r="365">
      <c r="B365" s="51" t="n"/>
      <c r="L365" s="29">
        <f>IF(D365="NCM/SH","",COUNTIF($D$5:$D$1506,D365))</f>
        <v/>
      </c>
    </row>
    <row r="366">
      <c r="B366" s="51" t="n"/>
      <c r="L366" s="29">
        <f>IF(D366="NCM/SH","",COUNTIF($D$5:$D$1506,D366))</f>
        <v/>
      </c>
    </row>
    <row r="367" ht="15.75" customHeight="1" thickBot="1">
      <c r="A367" s="1" t="inlineStr">
        <is>
          <t>07Comb</t>
        </is>
      </c>
      <c r="B367" s="28" t="inlineStr">
        <is>
          <t>Tabela VII</t>
        </is>
      </c>
      <c r="C367" s="28" t="inlineStr">
        <is>
          <t>COMBUSTÍVEIS E LUBRIFICANTES</t>
        </is>
      </c>
      <c r="D367" s="62" t="n"/>
      <c r="E367" s="62" t="n"/>
      <c r="F367" s="30" t="inlineStr">
        <is>
          <t>(Tabela VII: nova redação dada pelo Decreto nº 14.645/2016. Efeitos a partir de 1º.01.2017.)</t>
        </is>
      </c>
      <c r="G367" s="62" t="n"/>
      <c r="H367" s="62" t="n"/>
      <c r="L367" s="29">
        <f>IF(D367="NCM/SH","",COUNTIF($D$5:$D$1506,D367))</f>
        <v/>
      </c>
    </row>
    <row r="368" ht="15" customHeight="1" thickBot="1">
      <c r="A368" s="1" t="inlineStr">
        <is>
          <t>07Comb</t>
        </is>
      </c>
      <c r="B368" s="42" t="inlineStr">
        <is>
          <t>ITEM</t>
        </is>
      </c>
      <c r="C368" s="42" t="inlineStr">
        <is>
          <t>CEST</t>
        </is>
      </c>
      <c r="D368" s="42" t="inlineStr">
        <is>
          <t>NCM/SH</t>
        </is>
      </c>
      <c r="E368" s="78" t="inlineStr">
        <is>
          <t>MARGEM DE VALOR AGREGADO</t>
        </is>
      </c>
      <c r="F368" s="79" t="inlineStr">
        <is>
          <t>(Tabela VII: nova redação dada pelo Decreto nº 14.645/2016. Efeitos a partir de 1º.01.2017.)</t>
        </is>
      </c>
      <c r="G368" s="79" t="n"/>
      <c r="H368" s="80" t="n"/>
      <c r="I368" s="81" t="inlineStr">
        <is>
          <t>DESCRIÇÃO</t>
        </is>
      </c>
      <c r="J368" s="70" t="n"/>
      <c r="L368" s="29">
        <f>IF(D368="NCM/SH","",COUNTIF($D$5:$D$1506,D368))</f>
        <v/>
      </c>
    </row>
    <row r="369" ht="15.75" customHeight="1" thickBot="1">
      <c r="A369" s="1" t="inlineStr">
        <is>
          <t>07Comb</t>
        </is>
      </c>
      <c r="B369" s="46" t="inlineStr">
        <is>
          <t>ITEM</t>
        </is>
      </c>
      <c r="C369" s="46" t="inlineStr">
        <is>
          <t>CEST</t>
        </is>
      </c>
      <c r="D369" s="46" t="inlineStr">
        <is>
          <t>NCM/SH</t>
        </is>
      </c>
      <c r="E369" s="48" t="inlineStr">
        <is>
          <t>Oper. interna</t>
        </is>
      </c>
      <c r="F369" s="80" t="inlineStr">
        <is>
          <t>Alíq. 4%</t>
        </is>
      </c>
      <c r="G369" s="80" t="inlineStr">
        <is>
          <t>Alíq. 7%</t>
        </is>
      </c>
      <c r="H369" s="80" t="inlineStr">
        <is>
          <t>Alíq. 12%</t>
        </is>
      </c>
      <c r="I369" s="82" t="inlineStr">
        <is>
          <t>DESCRIÇÃO</t>
        </is>
      </c>
      <c r="J369" s="48" t="n"/>
      <c r="L369" s="29">
        <f>IF(D369="NCM/SH","",COUNTIF($D$5:$D$1506,D369))</f>
        <v/>
      </c>
    </row>
    <row r="370" ht="14.45" customHeight="1">
      <c r="A370" s="1" t="inlineStr">
        <is>
          <t>07Comb</t>
        </is>
      </c>
      <c r="B370" s="42" t="inlineStr">
        <is>
          <t>1.0</t>
        </is>
      </c>
      <c r="C370" s="42" t="inlineStr">
        <is>
          <t>06.001.00</t>
        </is>
      </c>
      <c r="D370" s="42" t="inlineStr">
        <is>
          <t>2207.10.10</t>
        </is>
      </c>
      <c r="E370" s="81" t="inlineStr">
        <is>
          <t>Convênio ICMS nº 110/2007</t>
        </is>
      </c>
      <c r="F370" s="83" t="n"/>
      <c r="G370" s="83" t="n"/>
      <c r="H370" s="70" t="n"/>
      <c r="I370" s="42" t="inlineStr">
        <is>
          <t>Álcool etílico não desnaturado, com um teor alcoólico em volume igual ou superior a 80% vol - Com um teor de água igual ou inferior a 1 % vol (álcool etílico anidro combustível)</t>
        </is>
      </c>
      <c r="J370" s="84" t="n"/>
      <c r="L370" s="29">
        <f>IF(D370="NCM/SH","",COUNTIF($D$5:$D$1506,D370))</f>
        <v/>
      </c>
    </row>
    <row r="371" ht="15" customHeight="1" thickBot="1">
      <c r="A371" s="1" t="inlineStr">
        <is>
          <t>07Comb</t>
        </is>
      </c>
      <c r="B371" s="46" t="n">
        <v>1</v>
      </c>
      <c r="C371" s="46" t="inlineStr">
        <is>
          <t>06.001.00</t>
        </is>
      </c>
      <c r="D371" s="46" t="inlineStr">
        <is>
          <t>2207.10.10</t>
        </is>
      </c>
      <c r="E371" s="82" t="inlineStr">
        <is>
          <t>e Ato COTEPE/MVA nº 10/2014</t>
        </is>
      </c>
      <c r="F371" s="85" t="n"/>
      <c r="G371" s="85" t="n"/>
      <c r="H371" s="48" t="n"/>
      <c r="I371" s="46" t="inlineStr">
        <is>
          <t>Álcool etílico não desnaturado, com um teor alcoólico em volume igual ou superior a 80% vol - Com um teor de água igual ou inferior a 1 % vol (álcool etílico anidro combustível)</t>
        </is>
      </c>
      <c r="J371" s="64" t="n"/>
      <c r="L371" s="29">
        <f>IF(D371="NCM/SH","",COUNTIF($D$5:$D$1506,D371))</f>
        <v/>
      </c>
    </row>
    <row r="372" ht="14.45" customHeight="1">
      <c r="A372" s="1" t="inlineStr">
        <is>
          <t>07Comb</t>
        </is>
      </c>
      <c r="B372" s="42" t="inlineStr">
        <is>
          <t>1.1</t>
        </is>
      </c>
      <c r="C372" s="42" t="inlineStr">
        <is>
          <t>06.001.01</t>
        </is>
      </c>
      <c r="D372" s="42" t="inlineStr">
        <is>
          <t>2207.10.90</t>
        </is>
      </c>
      <c r="E372" s="81" t="inlineStr">
        <is>
          <t>Convênio ICMS nº 110/2007</t>
        </is>
      </c>
      <c r="F372" s="83" t="n"/>
      <c r="G372" s="83" t="n"/>
      <c r="H372" s="70" t="n"/>
      <c r="I372" s="42" t="inlineStr">
        <is>
          <t>Álcool etílico não desnaturado, com um teor alcoólico em volume igual ou superior a 80% vol - Outros (álcool etílico hidratado combustível)</t>
        </is>
      </c>
      <c r="J372" s="64" t="n"/>
      <c r="L372" s="29">
        <f>IF(D372="NCM/SH","",COUNTIF($D$5:$D$1506,D372))</f>
        <v/>
      </c>
    </row>
    <row r="373" ht="15" customHeight="1" thickBot="1">
      <c r="A373" s="1" t="inlineStr">
        <is>
          <t>07Comb</t>
        </is>
      </c>
      <c r="B373" s="46" t="n">
        <v>1.1</v>
      </c>
      <c r="C373" s="46" t="inlineStr">
        <is>
          <t>06.001.01</t>
        </is>
      </c>
      <c r="D373" s="46" t="inlineStr">
        <is>
          <t>2207.10.90</t>
        </is>
      </c>
      <c r="E373" s="82" t="inlineStr">
        <is>
          <t>e Ato COTEPE/MVA nº 10/2014</t>
        </is>
      </c>
      <c r="F373" s="85" t="n"/>
      <c r="G373" s="85" t="n"/>
      <c r="H373" s="48" t="n"/>
      <c r="I373" s="46" t="inlineStr">
        <is>
          <t>Álcool etílico não desnaturado, com um teor alcoólico em volume igual ou superior a 80% vol - Outros (álcool etílico hidratado combustível)</t>
        </is>
      </c>
      <c r="J373" s="64" t="n"/>
      <c r="L373" s="29">
        <f>IF(D373="NCM/SH","",COUNTIF($D$5:$D$1506,D373))</f>
        <v/>
      </c>
    </row>
    <row r="374" ht="14.45" customHeight="1">
      <c r="A374" s="1" t="inlineStr">
        <is>
          <t>07Comb</t>
        </is>
      </c>
      <c r="B374" s="42" t="inlineStr">
        <is>
          <t>2.0</t>
        </is>
      </c>
      <c r="C374" s="42" t="inlineStr">
        <is>
          <t>06.002.00</t>
        </is>
      </c>
      <c r="D374" s="42" t="inlineStr">
        <is>
          <t>2710.12.59</t>
        </is>
      </c>
      <c r="E374" s="81" t="inlineStr">
        <is>
          <t>Convênio ICMS nº 110/2007</t>
        </is>
      </c>
      <c r="F374" s="83" t="n"/>
      <c r="G374" s="83" t="n"/>
      <c r="H374" s="70" t="n"/>
      <c r="I374" s="42" t="inlineStr">
        <is>
          <t>Gasolina automotiva A, exceto Premium</t>
        </is>
      </c>
      <c r="J374" s="64" t="n"/>
      <c r="L374" s="29">
        <f>IF(D374="NCM/SH","",COUNTIF($D$5:$D$1506,D374))</f>
        <v/>
      </c>
    </row>
    <row r="375" ht="15" customHeight="1" thickBot="1">
      <c r="A375" s="1" t="inlineStr">
        <is>
          <t>07Comb</t>
        </is>
      </c>
      <c r="B375" s="46" t="n">
        <v>2</v>
      </c>
      <c r="C375" s="46" t="inlineStr">
        <is>
          <t>06.002.00</t>
        </is>
      </c>
      <c r="D375" s="46" t="inlineStr">
        <is>
          <t>2710.12.59</t>
        </is>
      </c>
      <c r="E375" s="82" t="inlineStr">
        <is>
          <t>e Ato COTEPE/MVA nº 10/2014</t>
        </is>
      </c>
      <c r="F375" s="85" t="n"/>
      <c r="G375" s="85" t="n"/>
      <c r="H375" s="48" t="n"/>
      <c r="I375" s="46" t="inlineStr">
        <is>
          <t>Gasolina automotiva A, exceto Premium</t>
        </is>
      </c>
      <c r="J375" s="64" t="n"/>
      <c r="L375" s="29">
        <f>IF(D375="NCM/SH","",COUNTIF($D$5:$D$1506,D375))</f>
        <v/>
      </c>
    </row>
    <row r="376" ht="14.45" customHeight="1">
      <c r="A376" s="1" t="inlineStr">
        <is>
          <t>07Comb</t>
        </is>
      </c>
      <c r="B376" s="42" t="inlineStr">
        <is>
          <t>2.1</t>
        </is>
      </c>
      <c r="C376" s="42" t="inlineStr">
        <is>
          <t>06.002.01</t>
        </is>
      </c>
      <c r="D376" s="42" t="inlineStr">
        <is>
          <t>2710.12.59</t>
        </is>
      </c>
      <c r="E376" s="81" t="inlineStr">
        <is>
          <t>Convênio ICMS nº 110/2007</t>
        </is>
      </c>
      <c r="F376" s="83" t="n"/>
      <c r="G376" s="83" t="n"/>
      <c r="H376" s="70" t="n"/>
      <c r="I376" s="42" t="inlineStr">
        <is>
          <t>Gasolina automotiva C, exceto Premium</t>
        </is>
      </c>
      <c r="J376" s="64" t="n"/>
      <c r="L376" s="29">
        <f>IF(D376="NCM/SH","",COUNTIF($D$5:$D$1506,D376))</f>
        <v/>
      </c>
    </row>
    <row r="377" ht="15" customHeight="1" thickBot="1">
      <c r="A377" s="1" t="inlineStr">
        <is>
          <t>07Comb</t>
        </is>
      </c>
      <c r="B377" s="46" t="n">
        <v>2.1</v>
      </c>
      <c r="C377" s="46" t="inlineStr">
        <is>
          <t>06.002.01</t>
        </is>
      </c>
      <c r="D377" s="46" t="inlineStr">
        <is>
          <t>2710.12.59</t>
        </is>
      </c>
      <c r="E377" s="82" t="inlineStr">
        <is>
          <t>e Ato COTEPE/MVA nº 10/2014</t>
        </is>
      </c>
      <c r="F377" s="85" t="n"/>
      <c r="G377" s="85" t="n"/>
      <c r="H377" s="48" t="n"/>
      <c r="I377" s="46" t="inlineStr">
        <is>
          <t>Gasolina automotiva C, exceto Premium</t>
        </is>
      </c>
      <c r="J377" s="64" t="n"/>
      <c r="L377" s="29">
        <f>IF(D377="NCM/SH","",COUNTIF($D$5:$D$1506,D377))</f>
        <v/>
      </c>
    </row>
    <row r="378" ht="14.45" customHeight="1">
      <c r="A378" s="1" t="inlineStr">
        <is>
          <t>07Comb</t>
        </is>
      </c>
      <c r="B378" s="42" t="inlineStr">
        <is>
          <t>2.2</t>
        </is>
      </c>
      <c r="C378" s="42" t="inlineStr">
        <is>
          <t>06.002.02</t>
        </is>
      </c>
      <c r="D378" s="42" t="inlineStr">
        <is>
          <t>2710.12.59</t>
        </is>
      </c>
      <c r="E378" s="81" t="inlineStr">
        <is>
          <t>Convênio ICMS nº 110/2007</t>
        </is>
      </c>
      <c r="F378" s="83" t="n"/>
      <c r="G378" s="83" t="n"/>
      <c r="H378" s="70" t="n"/>
      <c r="I378" s="42" t="inlineStr">
        <is>
          <t>Gasolina automotiva A Premium</t>
        </is>
      </c>
      <c r="J378" s="64" t="n"/>
      <c r="L378" s="29">
        <f>IF(D378="NCM/SH","",COUNTIF($D$5:$D$1506,D378))</f>
        <v/>
      </c>
    </row>
    <row r="379" ht="15" customHeight="1" thickBot="1">
      <c r="A379" s="1" t="inlineStr">
        <is>
          <t>07Comb</t>
        </is>
      </c>
      <c r="B379" s="46" t="n">
        <v>2.2</v>
      </c>
      <c r="C379" s="46" t="inlineStr">
        <is>
          <t>06.002.02</t>
        </is>
      </c>
      <c r="D379" s="46" t="inlineStr">
        <is>
          <t>2710.12.59</t>
        </is>
      </c>
      <c r="E379" s="82" t="inlineStr">
        <is>
          <t>e Ato COTEPE/MVA nº 10/2014</t>
        </is>
      </c>
      <c r="F379" s="85" t="n"/>
      <c r="G379" s="85" t="n"/>
      <c r="H379" s="48" t="n"/>
      <c r="I379" s="46" t="inlineStr">
        <is>
          <t>Gasolina automotiva A Premium</t>
        </is>
      </c>
      <c r="J379" s="64" t="n"/>
      <c r="L379" s="29">
        <f>IF(D379="NCM/SH","",COUNTIF($D$5:$D$1506,D379))</f>
        <v/>
      </c>
    </row>
    <row r="380" ht="14.45" customHeight="1">
      <c r="A380" s="1" t="inlineStr">
        <is>
          <t>07Comb</t>
        </is>
      </c>
      <c r="B380" s="42" t="inlineStr">
        <is>
          <t>2.3</t>
        </is>
      </c>
      <c r="C380" s="42" t="inlineStr">
        <is>
          <t>06.002.03</t>
        </is>
      </c>
      <c r="D380" s="42" t="inlineStr">
        <is>
          <t>2710.12.59</t>
        </is>
      </c>
      <c r="E380" s="81" t="inlineStr">
        <is>
          <t>Convênio ICMS nº 110/2007</t>
        </is>
      </c>
      <c r="F380" s="83" t="n"/>
      <c r="G380" s="83" t="n"/>
      <c r="H380" s="70" t="n"/>
      <c r="I380" s="42" t="inlineStr">
        <is>
          <t>Gasolina automotiva C Premium</t>
        </is>
      </c>
      <c r="J380" s="64" t="n"/>
      <c r="L380" s="29">
        <f>IF(D380="NCM/SH","",COUNTIF($D$5:$D$1506,D380))</f>
        <v/>
      </c>
    </row>
    <row r="381" ht="15" customHeight="1" thickBot="1">
      <c r="A381" s="1" t="inlineStr">
        <is>
          <t>07Comb</t>
        </is>
      </c>
      <c r="B381" s="46" t="n">
        <v>2.3</v>
      </c>
      <c r="C381" s="46" t="inlineStr">
        <is>
          <t>06.002.03</t>
        </is>
      </c>
      <c r="D381" s="46" t="inlineStr">
        <is>
          <t>2710.12.59</t>
        </is>
      </c>
      <c r="E381" s="82" t="inlineStr">
        <is>
          <t>e Ato COTEPE/MVA nº 10/2014</t>
        </is>
      </c>
      <c r="F381" s="85" t="n"/>
      <c r="G381" s="85" t="n"/>
      <c r="H381" s="48" t="n"/>
      <c r="I381" s="46" t="inlineStr">
        <is>
          <t>Gasolina automotiva C Premium</t>
        </is>
      </c>
      <c r="J381" s="64" t="n"/>
      <c r="L381" s="29">
        <f>IF(D381="NCM/SH","",COUNTIF($D$5:$D$1506,D381))</f>
        <v/>
      </c>
    </row>
    <row r="382" ht="14.45" customHeight="1">
      <c r="A382" s="1" t="inlineStr">
        <is>
          <t>07Comb</t>
        </is>
      </c>
      <c r="B382" s="42" t="inlineStr">
        <is>
          <t>3.0</t>
        </is>
      </c>
      <c r="C382" s="42" t="inlineStr">
        <is>
          <t>06.003.00</t>
        </is>
      </c>
      <c r="D382" s="42" t="inlineStr">
        <is>
          <t>2710.12.51</t>
        </is>
      </c>
      <c r="E382" s="81" t="inlineStr">
        <is>
          <t>Convênio ICMS nº 110/2007</t>
        </is>
      </c>
      <c r="F382" s="83" t="n"/>
      <c r="G382" s="83" t="n"/>
      <c r="H382" s="70" t="n"/>
      <c r="I382" s="42" t="inlineStr">
        <is>
          <t>Gasolina de aviação</t>
        </is>
      </c>
      <c r="J382" s="64" t="n"/>
      <c r="L382" s="29">
        <f>IF(D382="NCM/SH","",COUNTIF($D$5:$D$1506,D382))</f>
        <v/>
      </c>
    </row>
    <row r="383" ht="15" customHeight="1" thickBot="1">
      <c r="A383" s="1" t="inlineStr">
        <is>
          <t>07Comb</t>
        </is>
      </c>
      <c r="B383" s="46" t="n">
        <v>3</v>
      </c>
      <c r="C383" s="46" t="inlineStr">
        <is>
          <t>06.003.00</t>
        </is>
      </c>
      <c r="D383" s="46" t="inlineStr">
        <is>
          <t>2710.12.51</t>
        </is>
      </c>
      <c r="E383" s="82" t="inlineStr">
        <is>
          <t>e Ato COTEPE/MVA nº 10/2014</t>
        </is>
      </c>
      <c r="F383" s="85" t="n"/>
      <c r="G383" s="85" t="n"/>
      <c r="H383" s="48" t="n"/>
      <c r="I383" s="46" t="inlineStr">
        <is>
          <t>Gasolina de aviação</t>
        </is>
      </c>
      <c r="J383" s="64" t="n"/>
      <c r="L383" s="29">
        <f>IF(D383="NCM/SH","",COUNTIF($D$5:$D$1506,D383))</f>
        <v/>
      </c>
    </row>
    <row r="384" ht="14.45" customHeight="1">
      <c r="A384" s="1" t="inlineStr">
        <is>
          <t>07Comb</t>
        </is>
      </c>
      <c r="B384" s="42" t="inlineStr">
        <is>
          <t>4.0</t>
        </is>
      </c>
      <c r="C384" s="42" t="inlineStr">
        <is>
          <t>06.004.00</t>
        </is>
      </c>
      <c r="D384" s="42" t="inlineStr">
        <is>
          <t>2710.19.19</t>
        </is>
      </c>
      <c r="E384" s="81" t="inlineStr">
        <is>
          <t>Convênio ICMS nº 110/2007</t>
        </is>
      </c>
      <c r="F384" s="83" t="n"/>
      <c r="G384" s="83" t="n"/>
      <c r="H384" s="70" t="n"/>
      <c r="I384" s="42" t="inlineStr">
        <is>
          <t>Querosenes, exceto de aviação</t>
        </is>
      </c>
      <c r="J384" s="64" t="n"/>
      <c r="L384" s="29">
        <f>IF(D384="NCM/SH","",COUNTIF($D$5:$D$1506,D384))</f>
        <v/>
      </c>
    </row>
    <row r="385" ht="15" customHeight="1" thickBot="1">
      <c r="A385" s="1" t="inlineStr">
        <is>
          <t>07Comb</t>
        </is>
      </c>
      <c r="B385" s="46" t="n">
        <v>4</v>
      </c>
      <c r="C385" s="46" t="inlineStr">
        <is>
          <t>06.004.00</t>
        </is>
      </c>
      <c r="D385" s="46" t="inlineStr">
        <is>
          <t>2710.19.19</t>
        </is>
      </c>
      <c r="E385" s="82" t="inlineStr">
        <is>
          <t>e Ato COTEPE/MVA nº 10/2014</t>
        </is>
      </c>
      <c r="F385" s="85" t="n"/>
      <c r="G385" s="85" t="n"/>
      <c r="H385" s="48" t="n"/>
      <c r="I385" s="46" t="inlineStr">
        <is>
          <t>Querosenes, exceto de aviação</t>
        </is>
      </c>
      <c r="J385" s="64" t="n"/>
      <c r="L385" s="29">
        <f>IF(D385="NCM/SH","",COUNTIF($D$5:$D$1506,D385))</f>
        <v/>
      </c>
    </row>
    <row r="386" ht="14.45" customHeight="1">
      <c r="A386" s="1" t="inlineStr">
        <is>
          <t>07Comb</t>
        </is>
      </c>
      <c r="B386" s="42" t="inlineStr">
        <is>
          <t>5.0</t>
        </is>
      </c>
      <c r="C386" s="42" t="inlineStr">
        <is>
          <t>06.005.00</t>
        </is>
      </c>
      <c r="D386" s="42" t="inlineStr">
        <is>
          <t>2710.19.11</t>
        </is>
      </c>
      <c r="E386" s="81" t="inlineStr">
        <is>
          <t>Convênio ICMS nº 110/2007</t>
        </is>
      </c>
      <c r="F386" s="83" t="n"/>
      <c r="G386" s="83" t="n"/>
      <c r="H386" s="70" t="n"/>
      <c r="I386" s="42" t="inlineStr">
        <is>
          <t>Querosene de aviação</t>
        </is>
      </c>
      <c r="J386" s="64" t="n"/>
      <c r="L386" s="29">
        <f>IF(D386="NCM/SH","",COUNTIF($D$5:$D$1506,D386))</f>
        <v/>
      </c>
    </row>
    <row r="387" ht="15" customHeight="1" thickBot="1">
      <c r="A387" s="1" t="inlineStr">
        <is>
          <t>07Comb</t>
        </is>
      </c>
      <c r="B387" s="46" t="n">
        <v>5</v>
      </c>
      <c r="C387" s="46" t="inlineStr">
        <is>
          <t>06.005.00</t>
        </is>
      </c>
      <c r="D387" s="46" t="inlineStr">
        <is>
          <t>2710.19.11</t>
        </is>
      </c>
      <c r="E387" s="82" t="inlineStr">
        <is>
          <t>e Ato COTEPE/MVA nº 10/2014</t>
        </is>
      </c>
      <c r="F387" s="85" t="n"/>
      <c r="G387" s="85" t="n"/>
      <c r="H387" s="48" t="n"/>
      <c r="I387" s="46" t="inlineStr">
        <is>
          <t>Querosene de aviação</t>
        </is>
      </c>
      <c r="J387" s="64" t="n"/>
      <c r="L387" s="29">
        <f>IF(D387="NCM/SH","",COUNTIF($D$5:$D$1506,D387))</f>
        <v/>
      </c>
    </row>
    <row r="388" ht="14.45" customHeight="1">
      <c r="A388" s="1" t="inlineStr">
        <is>
          <t>07Comb</t>
        </is>
      </c>
      <c r="B388" s="42" t="inlineStr">
        <is>
          <t>6.0</t>
        </is>
      </c>
      <c r="C388" s="42" t="inlineStr">
        <is>
          <t>06.006.00</t>
        </is>
      </c>
      <c r="D388" s="42" t="inlineStr">
        <is>
          <t>2710.19.2</t>
        </is>
      </c>
      <c r="E388" s="81" t="inlineStr">
        <is>
          <t>Convênio ICMS nº 110/2007</t>
        </is>
      </c>
      <c r="F388" s="83" t="n"/>
      <c r="G388" s="83" t="n"/>
      <c r="H388" s="70" t="n"/>
      <c r="I388" s="42" t="inlineStr">
        <is>
          <t>Óleo diesel A, exceto S10 e Marítimo</t>
        </is>
      </c>
      <c r="J388" s="64" t="n"/>
      <c r="L388" s="29">
        <f>IF(D388="NCM/SH","",COUNTIF($D$5:$D$1506,D388))</f>
        <v/>
      </c>
    </row>
    <row r="389" ht="15" customHeight="1" thickBot="1">
      <c r="A389" s="1" t="inlineStr">
        <is>
          <t>07Comb</t>
        </is>
      </c>
      <c r="B389" s="46" t="n">
        <v>6</v>
      </c>
      <c r="C389" s="46" t="inlineStr">
        <is>
          <t>06.006.00</t>
        </is>
      </c>
      <c r="D389" s="46" t="inlineStr">
        <is>
          <t>2710.19.2</t>
        </is>
      </c>
      <c r="E389" s="82" t="inlineStr">
        <is>
          <t>e Ato COTEPE/MVA nº 10/2014</t>
        </is>
      </c>
      <c r="F389" s="85" t="n"/>
      <c r="G389" s="85" t="n"/>
      <c r="H389" s="48" t="n"/>
      <c r="I389" s="46" t="inlineStr">
        <is>
          <t>Óleo diesel A, exceto S10 e Marítimo</t>
        </is>
      </c>
      <c r="J389" s="64" t="n"/>
      <c r="L389" s="29">
        <f>IF(D389="NCM/SH","",COUNTIF($D$5:$D$1506,D389))</f>
        <v/>
      </c>
    </row>
    <row r="390" ht="14.45" customHeight="1">
      <c r="A390" s="1" t="inlineStr">
        <is>
          <t>07Comb</t>
        </is>
      </c>
      <c r="B390" s="42" t="inlineStr">
        <is>
          <t>6.1</t>
        </is>
      </c>
      <c r="C390" s="42" t="inlineStr">
        <is>
          <t>06.006.01</t>
        </is>
      </c>
      <c r="D390" s="42" t="inlineStr">
        <is>
          <t>2710.19.2</t>
        </is>
      </c>
      <c r="E390" s="81" t="inlineStr">
        <is>
          <t>Convênio ICMS nº 110/2007</t>
        </is>
      </c>
      <c r="F390" s="83" t="n"/>
      <c r="G390" s="83" t="n"/>
      <c r="H390" s="70" t="n"/>
      <c r="I390" s="42" t="inlineStr">
        <is>
          <t>Óleo diesel B, exceto S10 (mistura obrigatória)</t>
        </is>
      </c>
      <c r="J390" s="64" t="n"/>
      <c r="L390" s="29">
        <f>IF(D390="NCM/SH","",COUNTIF($D$5:$D$1506,D390))</f>
        <v/>
      </c>
    </row>
    <row r="391" ht="15" customHeight="1" thickBot="1">
      <c r="A391" s="1" t="inlineStr">
        <is>
          <t>07Comb</t>
        </is>
      </c>
      <c r="B391" s="46" t="n">
        <v>6.1</v>
      </c>
      <c r="C391" s="46" t="inlineStr">
        <is>
          <t>06.006.01</t>
        </is>
      </c>
      <c r="D391" s="46" t="inlineStr">
        <is>
          <t>2710.19.2</t>
        </is>
      </c>
      <c r="E391" s="82" t="inlineStr">
        <is>
          <t>e Ato COTEPE/MVA nº 10/2014</t>
        </is>
      </c>
      <c r="F391" s="85" t="n"/>
      <c r="G391" s="85" t="n"/>
      <c r="H391" s="48" t="n"/>
      <c r="I391" s="46" t="inlineStr">
        <is>
          <t>Óleo diesel B, exceto S10 (mistura obrigatória)</t>
        </is>
      </c>
      <c r="J391" s="64" t="n"/>
      <c r="L391" s="29">
        <f>IF(D391="NCM/SH","",COUNTIF($D$5:$D$1506,D391))</f>
        <v/>
      </c>
    </row>
    <row r="392" ht="14.45" customHeight="1">
      <c r="A392" s="1" t="inlineStr">
        <is>
          <t>07Comb</t>
        </is>
      </c>
      <c r="B392" s="42" t="inlineStr">
        <is>
          <t>6.2</t>
        </is>
      </c>
      <c r="C392" s="42" t="inlineStr">
        <is>
          <t>06.006.02</t>
        </is>
      </c>
      <c r="D392" s="42" t="inlineStr">
        <is>
          <t>2710.19.2</t>
        </is>
      </c>
      <c r="E392" s="81" t="inlineStr">
        <is>
          <t>Convênio ICMS nº 110/2007</t>
        </is>
      </c>
      <c r="F392" s="83" t="n"/>
      <c r="G392" s="83" t="n"/>
      <c r="H392" s="70" t="n"/>
      <c r="I392" s="42" t="inlineStr">
        <is>
          <t>Óleo diesel B, exceto S10 (misturas autorizativas)</t>
        </is>
      </c>
      <c r="J392" s="64" t="n"/>
      <c r="L392" s="29">
        <f>IF(D392="NCM/SH","",COUNTIF($D$5:$D$1506,D392))</f>
        <v/>
      </c>
    </row>
    <row r="393" ht="15" customHeight="1" thickBot="1">
      <c r="A393" s="1" t="inlineStr">
        <is>
          <t>07Comb</t>
        </is>
      </c>
      <c r="B393" s="46" t="n">
        <v>6.2</v>
      </c>
      <c r="C393" s="46" t="inlineStr">
        <is>
          <t>06.006.02</t>
        </is>
      </c>
      <c r="D393" s="46" t="inlineStr">
        <is>
          <t>2710.19.2</t>
        </is>
      </c>
      <c r="E393" s="82" t="inlineStr">
        <is>
          <t>e Ato COTEPE/MVA nº 10/2014</t>
        </is>
      </c>
      <c r="F393" s="85" t="n"/>
      <c r="G393" s="85" t="n"/>
      <c r="H393" s="48" t="n"/>
      <c r="I393" s="46" t="inlineStr">
        <is>
          <t>Óleo diesel B, exceto S10 (misturas autorizativas)</t>
        </is>
      </c>
      <c r="J393" s="64" t="n"/>
      <c r="L393" s="29">
        <f>IF(D393="NCM/SH","",COUNTIF($D$5:$D$1506,D393))</f>
        <v/>
      </c>
    </row>
    <row r="394" ht="14.45" customHeight="1">
      <c r="A394" s="1" t="inlineStr">
        <is>
          <t>07Comb</t>
        </is>
      </c>
      <c r="B394" s="42" t="inlineStr">
        <is>
          <t>6.3</t>
        </is>
      </c>
      <c r="C394" s="42" t="inlineStr">
        <is>
          <t>06.006.03</t>
        </is>
      </c>
      <c r="D394" s="42" t="inlineStr">
        <is>
          <t>2710.19.2</t>
        </is>
      </c>
      <c r="E394" s="81" t="inlineStr">
        <is>
          <t>Convênio ICMS nº 110/2007</t>
        </is>
      </c>
      <c r="F394" s="83" t="n"/>
      <c r="G394" s="83" t="n"/>
      <c r="H394" s="70" t="n"/>
      <c r="I394" s="42" t="inlineStr">
        <is>
          <t>Óleo diesel B, exceto S10 (misturas experimentais)</t>
        </is>
      </c>
      <c r="J394" s="64" t="n"/>
      <c r="L394" s="29">
        <f>IF(D394="NCM/SH","",COUNTIF($D$5:$D$1506,D394))</f>
        <v/>
      </c>
    </row>
    <row r="395" ht="15" customHeight="1" thickBot="1">
      <c r="A395" s="1" t="inlineStr">
        <is>
          <t>07Comb</t>
        </is>
      </c>
      <c r="B395" s="46" t="n">
        <v>6.3</v>
      </c>
      <c r="C395" s="46" t="inlineStr">
        <is>
          <t>06.006.03</t>
        </is>
      </c>
      <c r="D395" s="46" t="inlineStr">
        <is>
          <t>2710.19.2</t>
        </is>
      </c>
      <c r="E395" s="82" t="inlineStr">
        <is>
          <t>e Ato COTEPE/MVA nº 10/2014</t>
        </is>
      </c>
      <c r="F395" s="85" t="n"/>
      <c r="G395" s="85" t="n"/>
      <c r="H395" s="48" t="n"/>
      <c r="I395" s="46" t="inlineStr">
        <is>
          <t>Óleo diesel B, exceto S10 (misturas experimentais)</t>
        </is>
      </c>
      <c r="J395" s="64" t="n"/>
      <c r="L395" s="29">
        <f>IF(D395="NCM/SH","",COUNTIF($D$5:$D$1506,D395))</f>
        <v/>
      </c>
    </row>
    <row r="396" ht="14.45" customHeight="1">
      <c r="A396" s="1" t="inlineStr">
        <is>
          <t>07Comb</t>
        </is>
      </c>
      <c r="B396" s="42" t="inlineStr">
        <is>
          <t>6.4</t>
        </is>
      </c>
      <c r="C396" s="42" t="inlineStr">
        <is>
          <t>06.006.04</t>
        </is>
      </c>
      <c r="D396" s="42" t="inlineStr">
        <is>
          <t>2710.19.2</t>
        </is>
      </c>
      <c r="E396" s="81" t="inlineStr">
        <is>
          <t>Convênio ICMS nº 110/2007</t>
        </is>
      </c>
      <c r="F396" s="83" t="n"/>
      <c r="G396" s="83" t="n"/>
      <c r="H396" s="70" t="n"/>
      <c r="I396" s="42" t="inlineStr">
        <is>
          <t>Óleo diesel A S10</t>
        </is>
      </c>
      <c r="J396" s="64" t="n"/>
      <c r="L396" s="29">
        <f>IF(D396="NCM/SH","",COUNTIF($D$5:$D$1506,D396))</f>
        <v/>
      </c>
    </row>
    <row r="397" ht="15" customHeight="1" thickBot="1">
      <c r="A397" s="1" t="inlineStr">
        <is>
          <t>07Comb</t>
        </is>
      </c>
      <c r="B397" s="46" t="n">
        <v>6.4</v>
      </c>
      <c r="C397" s="46" t="inlineStr">
        <is>
          <t>06.006.04</t>
        </is>
      </c>
      <c r="D397" s="46" t="inlineStr">
        <is>
          <t>2710.19.2</t>
        </is>
      </c>
      <c r="E397" s="82" t="inlineStr">
        <is>
          <t>e Ato COTEPE/MVA nº 10/2014</t>
        </is>
      </c>
      <c r="F397" s="85" t="n"/>
      <c r="G397" s="85" t="n"/>
      <c r="H397" s="48" t="n"/>
      <c r="I397" s="46" t="inlineStr">
        <is>
          <t>Óleo diesel A S10</t>
        </is>
      </c>
      <c r="J397" s="64" t="n"/>
      <c r="L397" s="29">
        <f>IF(D397="NCM/SH","",COUNTIF($D$5:$D$1506,D397))</f>
        <v/>
      </c>
    </row>
    <row r="398" ht="14.45" customHeight="1">
      <c r="A398" s="1" t="inlineStr">
        <is>
          <t>07Comb</t>
        </is>
      </c>
      <c r="B398" s="42" t="inlineStr">
        <is>
          <t>6.5</t>
        </is>
      </c>
      <c r="C398" s="42" t="inlineStr">
        <is>
          <t>06.006.05</t>
        </is>
      </c>
      <c r="D398" s="42" t="inlineStr">
        <is>
          <t>2710.19.2</t>
        </is>
      </c>
      <c r="E398" s="81" t="inlineStr">
        <is>
          <t>Convênio ICMS nº 110/2007</t>
        </is>
      </c>
      <c r="F398" s="83" t="n"/>
      <c r="G398" s="83" t="n"/>
      <c r="H398" s="70" t="n"/>
      <c r="I398" s="42" t="inlineStr">
        <is>
          <t>Óleo diesel B S10 (mistura obrigatória)</t>
        </is>
      </c>
      <c r="J398" s="64" t="n"/>
      <c r="L398" s="29">
        <f>IF(D398="NCM/SH","",COUNTIF($D$5:$D$1506,D398))</f>
        <v/>
      </c>
    </row>
    <row r="399" ht="15" customHeight="1" thickBot="1">
      <c r="A399" s="1" t="inlineStr">
        <is>
          <t>07Comb</t>
        </is>
      </c>
      <c r="B399" s="46" t="n">
        <v>6.5</v>
      </c>
      <c r="C399" s="46" t="inlineStr">
        <is>
          <t>06.006.05</t>
        </is>
      </c>
      <c r="D399" s="46" t="inlineStr">
        <is>
          <t>2710.19.2</t>
        </is>
      </c>
      <c r="E399" s="82" t="inlineStr">
        <is>
          <t>e Ato COTEPE/MVA nº 10/2014</t>
        </is>
      </c>
      <c r="F399" s="85" t="n"/>
      <c r="G399" s="85" t="n"/>
      <c r="H399" s="48" t="n"/>
      <c r="I399" s="46" t="inlineStr">
        <is>
          <t>Óleo diesel B S10 (mistura obrigatória)</t>
        </is>
      </c>
      <c r="J399" s="64" t="n"/>
      <c r="L399" s="29">
        <f>IF(D399="NCM/SH","",COUNTIF($D$5:$D$1506,D399))</f>
        <v/>
      </c>
    </row>
    <row r="400" ht="14.45" customHeight="1">
      <c r="A400" s="1" t="inlineStr">
        <is>
          <t>07Comb</t>
        </is>
      </c>
      <c r="B400" s="42" t="inlineStr">
        <is>
          <t>6.6</t>
        </is>
      </c>
      <c r="C400" s="42" t="inlineStr">
        <is>
          <t>06.006.06</t>
        </is>
      </c>
      <c r="D400" s="42" t="inlineStr">
        <is>
          <t>2710.19.2</t>
        </is>
      </c>
      <c r="E400" s="81" t="inlineStr">
        <is>
          <t>Convênio ICMS nº 110/2007</t>
        </is>
      </c>
      <c r="F400" s="83" t="n"/>
      <c r="G400" s="83" t="n"/>
      <c r="H400" s="70" t="n"/>
      <c r="I400" s="42" t="inlineStr">
        <is>
          <t>Óleo diesel B S10 (misturas autorizativas)</t>
        </is>
      </c>
      <c r="J400" s="64" t="n"/>
      <c r="L400" s="29">
        <f>IF(D400="NCM/SH","",COUNTIF($D$5:$D$1506,D400))</f>
        <v/>
      </c>
    </row>
    <row r="401" ht="15" customHeight="1" thickBot="1">
      <c r="A401" s="1" t="inlineStr">
        <is>
          <t>07Comb</t>
        </is>
      </c>
      <c r="B401" s="46" t="n">
        <v>6.6</v>
      </c>
      <c r="C401" s="46" t="inlineStr">
        <is>
          <t>06.006.06</t>
        </is>
      </c>
      <c r="D401" s="46" t="inlineStr">
        <is>
          <t>2710.19.2</t>
        </is>
      </c>
      <c r="E401" s="82" t="inlineStr">
        <is>
          <t>e Ato COTEPE/MVA nº 10/2014</t>
        </is>
      </c>
      <c r="F401" s="85" t="n"/>
      <c r="G401" s="85" t="n"/>
      <c r="H401" s="48" t="n"/>
      <c r="I401" s="46" t="inlineStr">
        <is>
          <t>Óleo diesel B S10 (misturas autorizativas)</t>
        </is>
      </c>
      <c r="J401" s="64" t="n"/>
      <c r="L401" s="29">
        <f>IF(D401="NCM/SH","",COUNTIF($D$5:$D$1506,D401))</f>
        <v/>
      </c>
    </row>
    <row r="402" ht="14.45" customHeight="1">
      <c r="A402" s="1" t="inlineStr">
        <is>
          <t>07Comb</t>
        </is>
      </c>
      <c r="B402" s="42" t="inlineStr">
        <is>
          <t>6.7</t>
        </is>
      </c>
      <c r="C402" s="42" t="inlineStr">
        <is>
          <t>06.006.07</t>
        </is>
      </c>
      <c r="D402" s="42" t="inlineStr">
        <is>
          <t>2710.19.2</t>
        </is>
      </c>
      <c r="E402" s="81" t="inlineStr">
        <is>
          <t>Convênio ICMS nº 110/2007</t>
        </is>
      </c>
      <c r="F402" s="83" t="n"/>
      <c r="G402" s="83" t="n"/>
      <c r="H402" s="70" t="n"/>
      <c r="I402" s="42" t="inlineStr">
        <is>
          <t>Óleo diesel B S10 (misturas experimentais)</t>
        </is>
      </c>
      <c r="J402" s="64" t="n"/>
      <c r="L402" s="29">
        <f>IF(D402="NCM/SH","",COUNTIF($D$5:$D$1506,D402))</f>
        <v/>
      </c>
    </row>
    <row r="403" ht="15" customHeight="1" thickBot="1">
      <c r="A403" s="1" t="inlineStr">
        <is>
          <t>07Comb</t>
        </is>
      </c>
      <c r="B403" s="46" t="n">
        <v>6.7</v>
      </c>
      <c r="C403" s="46" t="inlineStr">
        <is>
          <t>06.006.07</t>
        </is>
      </c>
      <c r="D403" s="46" t="inlineStr">
        <is>
          <t>2710.19.2</t>
        </is>
      </c>
      <c r="E403" s="82" t="inlineStr">
        <is>
          <t>e Ato COTEPE/MVA nº 10/2014</t>
        </is>
      </c>
      <c r="F403" s="85" t="n"/>
      <c r="G403" s="85" t="n"/>
      <c r="H403" s="48" t="n"/>
      <c r="I403" s="46" t="inlineStr">
        <is>
          <t>Óleo diesel B S10 (misturas experimentais)</t>
        </is>
      </c>
      <c r="J403" s="64" t="n"/>
      <c r="L403" s="29">
        <f>IF(D403="NCM/SH","",COUNTIF($D$5:$D$1506,D403))</f>
        <v/>
      </c>
    </row>
    <row r="404" ht="14.45" customHeight="1">
      <c r="A404" s="1" t="inlineStr">
        <is>
          <t>07Comb</t>
        </is>
      </c>
      <c r="B404" s="42" t="inlineStr">
        <is>
          <t>6.8</t>
        </is>
      </c>
      <c r="C404" s="42" t="inlineStr">
        <is>
          <t>06.006.08</t>
        </is>
      </c>
      <c r="D404" s="42" t="inlineStr">
        <is>
          <t>2710.19.2</t>
        </is>
      </c>
      <c r="E404" s="81" t="inlineStr">
        <is>
          <t>Convênio ICMS nº 110/2007</t>
        </is>
      </c>
      <c r="F404" s="83" t="n"/>
      <c r="G404" s="83" t="n"/>
      <c r="H404" s="70" t="n"/>
      <c r="I404" s="42" t="inlineStr">
        <is>
          <t>Óleo Diesel Marítimo</t>
        </is>
      </c>
      <c r="J404" s="64" t="n"/>
      <c r="L404" s="29">
        <f>IF(D404="NCM/SH","",COUNTIF($D$5:$D$1506,D404))</f>
        <v/>
      </c>
    </row>
    <row r="405" ht="15" customHeight="1" thickBot="1">
      <c r="A405" s="1" t="inlineStr">
        <is>
          <t>07Comb</t>
        </is>
      </c>
      <c r="B405" s="46" t="n">
        <v>6.8</v>
      </c>
      <c r="C405" s="46" t="inlineStr">
        <is>
          <t>06.006.08</t>
        </is>
      </c>
      <c r="D405" s="46" t="inlineStr">
        <is>
          <t>2710.19.2</t>
        </is>
      </c>
      <c r="E405" s="82" t="inlineStr">
        <is>
          <t>e Ato COTEPE/MVA nº 10/2014</t>
        </is>
      </c>
      <c r="F405" s="85" t="n"/>
      <c r="G405" s="85" t="n"/>
      <c r="H405" s="48" t="n"/>
      <c r="I405" s="46" t="inlineStr">
        <is>
          <t>Óleo Diesel Marítimo</t>
        </is>
      </c>
      <c r="J405" s="64" t="n"/>
      <c r="L405" s="29">
        <f>IF(D405="NCM/SH","",COUNTIF($D$5:$D$1506,D405))</f>
        <v/>
      </c>
    </row>
    <row r="406" ht="14.45" customHeight="1" thickBot="1">
      <c r="A406" s="1" t="inlineStr">
        <is>
          <t>07Comb</t>
        </is>
      </c>
      <c r="B406" s="42" t="inlineStr">
        <is>
          <t>6.9</t>
        </is>
      </c>
      <c r="C406" s="42" t="inlineStr">
        <is>
          <t>06.006.09</t>
        </is>
      </c>
      <c r="D406" s="42" t="inlineStr">
        <is>
          <t>2710.19.2</t>
        </is>
      </c>
      <c r="E406" s="81" t="inlineStr">
        <is>
          <t>Convênio ICMS nº 110/2007</t>
        </is>
      </c>
      <c r="F406" s="83" t="n"/>
      <c r="G406" s="83" t="n"/>
      <c r="H406" s="70" t="n"/>
      <c r="I406" s="42" t="inlineStr">
        <is>
          <t>Outros óleos combustíveis, exceto os classificados no CEST 06.006.10 e 06.006.11</t>
        </is>
      </c>
      <c r="J406" s="64" t="n"/>
      <c r="K406" s="49" t="inlineStr">
        <is>
          <t>(Item 6.9: nova redação dada pelo Decreto n° 14.916/2017. Efeitos a partir de 1°.11.2017.)</t>
        </is>
      </c>
      <c r="L406" s="29">
        <f>IF(D406="NCM/SH","",COUNTIF($D$5:$D$1506,D406))</f>
        <v/>
      </c>
    </row>
    <row r="407" ht="15" customHeight="1" thickBot="1">
      <c r="A407" s="1" t="inlineStr">
        <is>
          <t>07Comb</t>
        </is>
      </c>
      <c r="B407" s="46" t="n">
        <v>6.9</v>
      </c>
      <c r="C407" s="46" t="inlineStr">
        <is>
          <t>06.006.09</t>
        </is>
      </c>
      <c r="D407" s="46" t="inlineStr">
        <is>
          <t>2710.19.2</t>
        </is>
      </c>
      <c r="E407" s="82" t="inlineStr">
        <is>
          <t>e Ato COTEPE/MVA nº 10/2014</t>
        </is>
      </c>
      <c r="F407" s="85" t="n"/>
      <c r="G407" s="85" t="n"/>
      <c r="H407" s="48" t="n"/>
      <c r="I407" s="46" t="inlineStr">
        <is>
          <t>Outros óleos combustíveis, exceto os classificados no CEST 06.006.10 e 06.006.11</t>
        </is>
      </c>
      <c r="J407" s="64" t="n"/>
      <c r="K407" s="49" t="inlineStr">
        <is>
          <t>(Item 6.9: nova redação dada pelo Decreto n° 14.916/2017. Efeitos a partir de 1°.11.2017.)</t>
        </is>
      </c>
      <c r="L407" s="29">
        <f>IF(D407="NCM/SH","",COUNTIF($D$5:$D$1506,D407))</f>
        <v/>
      </c>
    </row>
    <row r="408" ht="14.45" customHeight="1">
      <c r="A408" s="1" t="inlineStr">
        <is>
          <t>07Comb</t>
        </is>
      </c>
      <c r="B408" s="42" t="inlineStr">
        <is>
          <t>6.10</t>
        </is>
      </c>
      <c r="C408" s="42" t="inlineStr">
        <is>
          <t>06.006.10</t>
        </is>
      </c>
      <c r="D408" s="42" t="inlineStr">
        <is>
          <t>2710.19.2</t>
        </is>
      </c>
      <c r="E408" s="81" t="inlineStr">
        <is>
          <t>Convênio ICMS nº 110/2007</t>
        </is>
      </c>
      <c r="F408" s="83" t="n"/>
      <c r="G408" s="83" t="n"/>
      <c r="H408" s="70" t="n"/>
      <c r="I408" s="42" t="inlineStr">
        <is>
          <t>Óleo combustível derivado de xisto</t>
        </is>
      </c>
      <c r="J408" s="64" t="n"/>
      <c r="L408" s="29">
        <f>IF(D408="NCM/SH","",COUNTIF($D$5:$D$1506,D408))</f>
        <v/>
      </c>
    </row>
    <row r="409" ht="15" customHeight="1" thickBot="1">
      <c r="A409" s="1" t="inlineStr">
        <is>
          <t>07Comb</t>
        </is>
      </c>
      <c r="B409" s="46" t="n">
        <v>6.1</v>
      </c>
      <c r="C409" s="46" t="inlineStr">
        <is>
          <t>06.006.10</t>
        </is>
      </c>
      <c r="D409" s="46" t="inlineStr">
        <is>
          <t>2710.19.2</t>
        </is>
      </c>
      <c r="E409" s="82" t="inlineStr">
        <is>
          <t>e Ato COTEPE/MVA nº 10/2014</t>
        </is>
      </c>
      <c r="F409" s="85" t="n"/>
      <c r="G409" s="85" t="n"/>
      <c r="H409" s="48" t="n"/>
      <c r="I409" s="46" t="inlineStr">
        <is>
          <t>Óleo combustível derivado de xisto</t>
        </is>
      </c>
      <c r="J409" s="64" t="n"/>
      <c r="L409" s="29">
        <f>IF(D409="NCM/SH","",COUNTIF($D$5:$D$1506,D409))</f>
        <v/>
      </c>
    </row>
    <row r="410" ht="14.45" customHeight="1" thickBot="1">
      <c r="A410" s="1" t="inlineStr">
        <is>
          <t>07Comb</t>
        </is>
      </c>
      <c r="B410" s="42" t="inlineStr">
        <is>
          <t>6.11</t>
        </is>
      </c>
      <c r="C410" s="42" t="inlineStr">
        <is>
          <t>06.006.11</t>
        </is>
      </c>
      <c r="D410" s="42" t="inlineStr">
        <is>
          <t>2710.19.22</t>
        </is>
      </c>
      <c r="E410" s="81" t="inlineStr">
        <is>
          <t>Convênio ICMS nº 110/2007</t>
        </is>
      </c>
      <c r="F410" s="83" t="n"/>
      <c r="G410" s="83" t="n"/>
      <c r="H410" s="70" t="n"/>
      <c r="I410" s="42" t="inlineStr">
        <is>
          <t>Óleo combustível pesado</t>
        </is>
      </c>
      <c r="J410" s="64" t="n"/>
      <c r="K410" s="49" t="inlineStr">
        <is>
          <t>(Item 6.11: acrescentado pelo Decreto n° 14.722/2017. Efeitos a partir de 1°.05.2017.)</t>
        </is>
      </c>
      <c r="L410" s="29">
        <f>IF(D410="NCM/SH","",COUNTIF($D$5:$D$1506,D410))</f>
        <v/>
      </c>
    </row>
    <row r="411" ht="15" customHeight="1" thickBot="1">
      <c r="A411" s="1" t="inlineStr">
        <is>
          <t>07Comb</t>
        </is>
      </c>
      <c r="B411" s="46" t="n">
        <v>6.11</v>
      </c>
      <c r="C411" s="46" t="inlineStr">
        <is>
          <t>06.006.11</t>
        </is>
      </c>
      <c r="D411" s="46" t="inlineStr">
        <is>
          <t>2710.19.22</t>
        </is>
      </c>
      <c r="E411" s="82" t="inlineStr">
        <is>
          <t>e Ato COTEPE/MVA nº 10/2014</t>
        </is>
      </c>
      <c r="F411" s="85" t="n"/>
      <c r="G411" s="85" t="n"/>
      <c r="H411" s="48" t="n"/>
      <c r="I411" s="46" t="inlineStr">
        <is>
          <t>Óleo combustível pesado</t>
        </is>
      </c>
      <c r="J411" s="64" t="n"/>
      <c r="K411" s="49" t="inlineStr">
        <is>
          <t>(Item 6.11: acrescentado pelo Decreto n° 14.722/2017. Efeitos a partir de 1°.05.2017.)</t>
        </is>
      </c>
      <c r="L411" s="29">
        <f>IF(D411="NCM/SH","",COUNTIF($D$5:$D$1506,D411))</f>
        <v/>
      </c>
    </row>
    <row r="412" ht="14.45" customHeight="1">
      <c r="A412" s="1" t="inlineStr">
        <is>
          <t>07Comb</t>
        </is>
      </c>
      <c r="B412" s="42" t="inlineStr">
        <is>
          <t>7.0</t>
        </is>
      </c>
      <c r="C412" s="42" t="inlineStr">
        <is>
          <t>06.007.00</t>
        </is>
      </c>
      <c r="D412" s="42" t="inlineStr">
        <is>
          <t>2710.19.3</t>
        </is>
      </c>
      <c r="E412" s="81" t="inlineStr">
        <is>
          <t>Convênio ICMS nº 110/2007</t>
        </is>
      </c>
      <c r="F412" s="83" t="n"/>
      <c r="G412" s="83" t="n"/>
      <c r="H412" s="70" t="n"/>
      <c r="I412" s="42" t="inlineStr">
        <is>
          <t>Óleos lubrificantes</t>
        </is>
      </c>
      <c r="J412" s="64" t="n"/>
      <c r="L412" s="29">
        <f>IF(D412="NCM/SH","",COUNTIF($D$5:$D$1506,D412))</f>
        <v/>
      </c>
    </row>
    <row r="413" ht="15" customHeight="1" thickBot="1">
      <c r="A413" s="1" t="inlineStr">
        <is>
          <t>07Comb</t>
        </is>
      </c>
      <c r="B413" s="46" t="n">
        <v>7</v>
      </c>
      <c r="C413" s="46" t="inlineStr">
        <is>
          <t>06.007.00</t>
        </is>
      </c>
      <c r="D413" s="46" t="inlineStr">
        <is>
          <t>2710.19.3</t>
        </is>
      </c>
      <c r="E413" s="82" t="inlineStr">
        <is>
          <t>e Ato COTEPE/MVA nº 10/2014</t>
        </is>
      </c>
      <c r="F413" s="85" t="n"/>
      <c r="G413" s="85" t="n"/>
      <c r="H413" s="48" t="n"/>
      <c r="I413" s="46" t="inlineStr">
        <is>
          <t>Óleos lubrificantes</t>
        </is>
      </c>
      <c r="J413" s="64" t="n"/>
      <c r="L413" s="29">
        <f>IF(D413="NCM/SH","",COUNTIF($D$5:$D$1506,D413))</f>
        <v/>
      </c>
    </row>
    <row r="414" ht="14.45" customHeight="1" thickBot="1">
      <c r="A414" s="1" t="inlineStr">
        <is>
          <t>07Comb</t>
        </is>
      </c>
      <c r="B414" s="42" t="inlineStr">
        <is>
          <t>8.0</t>
        </is>
      </c>
      <c r="C414" s="42" t="inlineStr">
        <is>
          <t>06.008.00</t>
        </is>
      </c>
      <c r="D414" s="42" t="inlineStr">
        <is>
          <t>2710.19.9</t>
        </is>
      </c>
      <c r="E414" s="81" t="inlineStr">
        <is>
          <t>Convênio ICMS nº 110/2007</t>
        </is>
      </c>
      <c r="F414" s="83" t="n"/>
      <c r="G414" s="83" t="n"/>
      <c r="H414" s="70" t="n"/>
      <c r="I414" s="42" t="inlineStr">
        <is>
          <t>Outros óleos de petróleo ou de minerais betuminosos (exceto óleos brutos) e preparações não especificadas nem compreendidas noutras posições, que contenham, como constituintes básicos, 70% ou mais, em peso, de óleos de petróleo ou de minerais betuminosos, exceto os que contenham biodiesel, exceto os resíduos de óleos e exceto as graxas lubrificantes</t>
        </is>
      </c>
      <c r="J414" s="64" t="n"/>
      <c r="K414" s="49" t="inlineStr">
        <is>
          <t>(Item 8.0: nova redação dada pelo Decreto n° 14.916/2017. Efeitos a partir de 1°.11.2017.)</t>
        </is>
      </c>
      <c r="L414" s="29">
        <f>IF(D414="NCM/SH","",COUNTIF($D$5:$D$1506,D414))</f>
        <v/>
      </c>
    </row>
    <row r="415" ht="15" customHeight="1" thickBot="1">
      <c r="A415" s="1" t="inlineStr">
        <is>
          <t>07Comb</t>
        </is>
      </c>
      <c r="B415" s="46" t="n">
        <v>8</v>
      </c>
      <c r="C415" s="46" t="inlineStr">
        <is>
          <t>06.008.00</t>
        </is>
      </c>
      <c r="D415" s="46" t="inlineStr">
        <is>
          <t>2710.19.9</t>
        </is>
      </c>
      <c r="E415" s="82" t="inlineStr">
        <is>
          <t>e Ato COTEPE/MVA nº 10/2014</t>
        </is>
      </c>
      <c r="F415" s="85" t="n"/>
      <c r="G415" s="85" t="n"/>
      <c r="H415" s="48" t="n"/>
      <c r="I415" s="46" t="inlineStr">
        <is>
          <t>Outros óleos de petróleo ou de minerais betuminosos (exceto óleos brutos) e preparações não especificadas nem compreendidas noutras posições, que contenham, como constituintes básicos, 70% ou mais, em peso, de óleos de petróleo ou de minerais betuminosos, exceto os que contenham biodiesel, exceto os resíduos de óleos e exceto as graxas lubrificantes</t>
        </is>
      </c>
      <c r="J415" s="64" t="n"/>
      <c r="K415" s="49" t="inlineStr">
        <is>
          <t>(Item 8.0: nova redação dada pelo Decreto n° 14.916/2017. Efeitos a partir de 1°.11.2017.)</t>
        </is>
      </c>
      <c r="L415" s="29">
        <f>IF(D415="NCM/SH","",COUNTIF($D$5:$D$1506,D415))</f>
        <v/>
      </c>
    </row>
    <row r="416" ht="14.45" customHeight="1" thickBot="1">
      <c r="A416" s="1" t="inlineStr">
        <is>
          <t>07Comb</t>
        </is>
      </c>
      <c r="B416" s="86" t="inlineStr">
        <is>
          <t>8.1</t>
        </is>
      </c>
      <c r="C416" s="86" t="inlineStr">
        <is>
          <t>06.008.01</t>
        </is>
      </c>
      <c r="D416" s="86" t="inlineStr">
        <is>
          <t>2710.19.9</t>
        </is>
      </c>
      <c r="E416" s="66" t="inlineStr">
        <is>
          <t>Convênio ICMS nº 110/2007</t>
        </is>
      </c>
      <c r="F416" s="87" t="n"/>
      <c r="G416" s="87" t="n"/>
      <c r="H416" s="88" t="n"/>
      <c r="I416" s="86" t="inlineStr">
        <is>
          <t>Graxa lubrificante</t>
        </is>
      </c>
      <c r="J416" s="64" t="n"/>
      <c r="K416" s="49" t="inlineStr">
        <is>
          <t>(Item 8.1: acrescentado pelo Decreto n° 14.916/2017. Efeitos a partir de 1°.11.2017.)</t>
        </is>
      </c>
      <c r="L416" s="29">
        <f>IF(D416="NCM/SH","",COUNTIF($D$5:$D$1506,D416))</f>
        <v/>
      </c>
    </row>
    <row r="417" ht="15" customHeight="1" thickBot="1">
      <c r="A417" s="1" t="inlineStr">
        <is>
          <t>07Comb</t>
        </is>
      </c>
      <c r="B417" s="89" t="inlineStr">
        <is>
          <t>8.1</t>
        </is>
      </c>
      <c r="C417" s="89" t="inlineStr">
        <is>
          <t>06.008.01</t>
        </is>
      </c>
      <c r="D417" s="89" t="inlineStr">
        <is>
          <t>2710.19.9</t>
        </is>
      </c>
      <c r="E417" s="90" t="inlineStr">
        <is>
          <t>e Ato COTEPE/MVA nº 10/2014</t>
        </is>
      </c>
      <c r="F417" s="91" t="n"/>
      <c r="G417" s="91" t="n"/>
      <c r="H417" s="92" t="n"/>
      <c r="I417" s="89" t="inlineStr">
        <is>
          <t>Graxa lubrificante</t>
        </is>
      </c>
      <c r="J417" s="64" t="n"/>
      <c r="K417" s="49" t="inlineStr">
        <is>
          <t>(Item 8.1: acrescentado pelo Decreto n° 14.916/2017. Efeitos a partir de 1°.11.2017.)</t>
        </is>
      </c>
      <c r="L417" s="29">
        <f>IF(D417="NCM/SH","",COUNTIF($D$5:$D$1506,D417))</f>
        <v/>
      </c>
    </row>
    <row r="418" ht="14.45" customHeight="1">
      <c r="A418" s="1" t="inlineStr">
        <is>
          <t>07Comb</t>
        </is>
      </c>
      <c r="B418" s="42" t="inlineStr">
        <is>
          <t>9.0</t>
        </is>
      </c>
      <c r="C418" s="42" t="inlineStr">
        <is>
          <t>06.009.00</t>
        </is>
      </c>
      <c r="D418" s="42" t="inlineStr">
        <is>
          <t>2710.9</t>
        </is>
      </c>
      <c r="E418" s="81" t="inlineStr">
        <is>
          <t>Convênio ICMS nº 110/2007</t>
        </is>
      </c>
      <c r="F418" s="83" t="n"/>
      <c r="G418" s="83" t="n"/>
      <c r="H418" s="70" t="n"/>
      <c r="I418" s="42" t="inlineStr">
        <is>
          <t>Resíduos de óleos</t>
        </is>
      </c>
      <c r="J418" s="64" t="n"/>
      <c r="L418" s="29">
        <f>IF(D418="NCM/SH","",COUNTIF($D$5:$D$1506,D418))</f>
        <v/>
      </c>
    </row>
    <row r="419" ht="15" customHeight="1" thickBot="1">
      <c r="A419" s="1" t="inlineStr">
        <is>
          <t>07Comb</t>
        </is>
      </c>
      <c r="B419" s="46" t="n">
        <v>9</v>
      </c>
      <c r="C419" s="46" t="inlineStr">
        <is>
          <t>06.009.00</t>
        </is>
      </c>
      <c r="D419" s="46" t="n">
        <v>2710.9</v>
      </c>
      <c r="E419" s="82" t="inlineStr">
        <is>
          <t>e Ato COTEPE/MVA nº 10/2014</t>
        </is>
      </c>
      <c r="F419" s="85" t="n"/>
      <c r="G419" s="85" t="n"/>
      <c r="H419" s="48" t="n"/>
      <c r="I419" s="46" t="inlineStr">
        <is>
          <t>Resíduos de óleos</t>
        </is>
      </c>
      <c r="J419" s="64" t="n"/>
      <c r="L419" s="29">
        <f>IF(D419="NCM/SH","",COUNTIF($D$5:$D$1506,D419))</f>
        <v/>
      </c>
    </row>
    <row r="420" ht="14.45" customHeight="1">
      <c r="A420" s="1" t="inlineStr">
        <is>
          <t>07Comb</t>
        </is>
      </c>
      <c r="B420" s="42" t="inlineStr">
        <is>
          <t>10.0</t>
        </is>
      </c>
      <c r="C420" s="42" t="inlineStr">
        <is>
          <t>06.010.00</t>
        </is>
      </c>
      <c r="D420" s="42" t="n">
        <v>2711</v>
      </c>
      <c r="E420" s="81" t="inlineStr">
        <is>
          <t>Convênio ICMS nº 110/2007</t>
        </is>
      </c>
      <c r="F420" s="83" t="n"/>
      <c r="G420" s="83" t="n"/>
      <c r="H420" s="70" t="n"/>
      <c r="I420" s="42" t="inlineStr">
        <is>
          <t>Gás de petróleo e outros hidrocarbonetos gasosos, exceto GLP, GLGN, Gás Natural e Gás de xisto.</t>
        </is>
      </c>
      <c r="J420" s="64" t="n"/>
      <c r="L420" s="29">
        <f>IF(D420="NCM/SH","",COUNTIF($D$5:$D$1506,D420))</f>
        <v/>
      </c>
    </row>
    <row r="421" ht="15" customHeight="1" thickBot="1">
      <c r="A421" s="1" t="inlineStr">
        <is>
          <t>07Comb</t>
        </is>
      </c>
      <c r="B421" s="46" t="n">
        <v>10</v>
      </c>
      <c r="C421" s="46" t="inlineStr">
        <is>
          <t>06.010.00</t>
        </is>
      </c>
      <c r="D421" s="46" t="n">
        <v>2711</v>
      </c>
      <c r="E421" s="82" t="inlineStr">
        <is>
          <t>e Ato COTEPE/MVA nº 10/2014</t>
        </is>
      </c>
      <c r="F421" s="85" t="n"/>
      <c r="G421" s="85" t="n"/>
      <c r="H421" s="48" t="n"/>
      <c r="I421" s="46" t="inlineStr">
        <is>
          <t>Gás de petróleo e outros hidrocarbonetos gasosos, exceto GLP, GLGN, Gás Natural e Gás de xisto.</t>
        </is>
      </c>
      <c r="J421" s="64" t="n"/>
      <c r="L421" s="29">
        <f>IF(D421="NCM/SH","",COUNTIF($D$5:$D$1506,D421))</f>
        <v/>
      </c>
    </row>
    <row r="422" ht="14.45" customHeight="1">
      <c r="A422" s="1" t="inlineStr">
        <is>
          <t>07Comb</t>
        </is>
      </c>
      <c r="B422" s="42" t="inlineStr">
        <is>
          <t>11.0</t>
        </is>
      </c>
      <c r="C422" s="42" t="inlineStr">
        <is>
          <t>06.011.00</t>
        </is>
      </c>
      <c r="D422" s="42" t="inlineStr">
        <is>
          <t>2711.19.10</t>
        </is>
      </c>
      <c r="E422" s="81" t="inlineStr">
        <is>
          <t>Convênio ICMS nº 110/2007</t>
        </is>
      </c>
      <c r="F422" s="83" t="n"/>
      <c r="G422" s="83" t="n"/>
      <c r="H422" s="70" t="n"/>
      <c r="I422" s="42" t="inlineStr">
        <is>
          <t>Gás liquefeito de petróleo em botijão de 13 Kg (GLP)</t>
        </is>
      </c>
      <c r="J422" s="64" t="n"/>
      <c r="L422" s="29">
        <f>IF(D422="NCM/SH","",COUNTIF($D$5:$D$1506,D422))</f>
        <v/>
      </c>
    </row>
    <row r="423" ht="15" customHeight="1" thickBot="1">
      <c r="A423" s="1" t="inlineStr">
        <is>
          <t>07Comb</t>
        </is>
      </c>
      <c r="B423" s="46" t="n">
        <v>11</v>
      </c>
      <c r="C423" s="46" t="inlineStr">
        <is>
          <t>06.011.00</t>
        </is>
      </c>
      <c r="D423" s="46" t="inlineStr">
        <is>
          <t>2711.19.10</t>
        </is>
      </c>
      <c r="E423" s="82" t="inlineStr">
        <is>
          <t>e Ato COTEPE nº 10/2014</t>
        </is>
      </c>
      <c r="F423" s="85" t="n"/>
      <c r="G423" s="85" t="n"/>
      <c r="H423" s="48" t="n"/>
      <c r="I423" s="46" t="inlineStr">
        <is>
          <t>Gás liquefeito de petróleo em botijão de 13 Kg (GLP)</t>
        </is>
      </c>
      <c r="J423" s="64" t="n"/>
      <c r="L423" s="29">
        <f>IF(D423="NCM/SH","",COUNTIF($D$5:$D$1506,D423))</f>
        <v/>
      </c>
    </row>
    <row r="424" ht="14.45" customHeight="1">
      <c r="A424" s="1" t="inlineStr">
        <is>
          <t>07Comb</t>
        </is>
      </c>
      <c r="B424" s="42" t="inlineStr">
        <is>
          <t>11.1</t>
        </is>
      </c>
      <c r="C424" s="42" t="inlineStr">
        <is>
          <t>06.011.01</t>
        </is>
      </c>
      <c r="D424" s="42" t="inlineStr">
        <is>
          <t>2711.19.10</t>
        </is>
      </c>
      <c r="E424" s="81" t="inlineStr">
        <is>
          <t>Convênio ICMS nº 110/2007</t>
        </is>
      </c>
      <c r="F424" s="83" t="n"/>
      <c r="G424" s="83" t="n"/>
      <c r="H424" s="70" t="n"/>
      <c r="I424" s="42" t="inlineStr">
        <is>
          <t>Gás liquefeito de petróleo (GLP), exceto em botijão de 13 Kg</t>
        </is>
      </c>
      <c r="J424" s="64" t="n"/>
      <c r="L424" s="29">
        <f>IF(D424="NCM/SH","",COUNTIF($D$5:$D$1506,D424))</f>
        <v/>
      </c>
    </row>
    <row r="425" ht="15" customHeight="1" thickBot="1">
      <c r="A425" s="1" t="inlineStr">
        <is>
          <t>07Comb</t>
        </is>
      </c>
      <c r="B425" s="46" t="n">
        <v>11.1</v>
      </c>
      <c r="C425" s="46" t="inlineStr">
        <is>
          <t>06.011.01</t>
        </is>
      </c>
      <c r="D425" s="46" t="inlineStr">
        <is>
          <t>2711.19.10</t>
        </is>
      </c>
      <c r="E425" s="82" t="inlineStr">
        <is>
          <t>e Ato COTEPE/MVA nº 10/2014</t>
        </is>
      </c>
      <c r="F425" s="85" t="n"/>
      <c r="G425" s="85" t="n"/>
      <c r="H425" s="48" t="n"/>
      <c r="I425" s="46" t="inlineStr">
        <is>
          <t>Gás liquefeito de petróleo (GLP), exceto em botijão de 13 Kg</t>
        </is>
      </c>
      <c r="J425" s="64" t="n"/>
      <c r="L425" s="29">
        <f>IF(D425="NCM/SH","",COUNTIF($D$5:$D$1506,D425))</f>
        <v/>
      </c>
    </row>
    <row r="426" ht="14.45" customHeight="1">
      <c r="A426" s="1" t="inlineStr">
        <is>
          <t>07Comb</t>
        </is>
      </c>
      <c r="B426" s="42" t="inlineStr">
        <is>
          <t>11.2</t>
        </is>
      </c>
      <c r="C426" s="42" t="inlineStr">
        <is>
          <t>06.011.02</t>
        </is>
      </c>
      <c r="D426" s="42" t="inlineStr">
        <is>
          <t>2711.19.10</t>
        </is>
      </c>
      <c r="E426" s="81" t="inlineStr">
        <is>
          <t>Convênio ICMS nº 110/2007</t>
        </is>
      </c>
      <c r="F426" s="83" t="n"/>
      <c r="G426" s="83" t="n"/>
      <c r="H426" s="70" t="n"/>
      <c r="I426" s="42" t="inlineStr">
        <is>
          <t>Gás liquefeito de petróleo em botijão de 13 Kg (GLGNn)</t>
        </is>
      </c>
      <c r="J426" s="64" t="n"/>
      <c r="L426" s="29">
        <f>IF(D426="NCM/SH","",COUNTIF($D$5:$D$1506,D426))</f>
        <v/>
      </c>
    </row>
    <row r="427" ht="15" customHeight="1" thickBot="1">
      <c r="A427" s="1" t="inlineStr">
        <is>
          <t>07Comb</t>
        </is>
      </c>
      <c r="B427" s="46" t="n">
        <v>11.2</v>
      </c>
      <c r="C427" s="46" t="inlineStr">
        <is>
          <t>06.011.02</t>
        </is>
      </c>
      <c r="D427" s="46" t="inlineStr">
        <is>
          <t>2711.19.10</t>
        </is>
      </c>
      <c r="E427" s="82" t="inlineStr">
        <is>
          <t>e Ato COTEPE/MVA nº 10/2014</t>
        </is>
      </c>
      <c r="F427" s="85" t="n"/>
      <c r="G427" s="85" t="n"/>
      <c r="H427" s="48" t="n"/>
      <c r="I427" s="46" t="inlineStr">
        <is>
          <t>Gás liquefeito de petróleo em botijão de 13 Kg (GLGNn)</t>
        </is>
      </c>
      <c r="J427" s="64" t="n"/>
      <c r="L427" s="29">
        <f>IF(D427="NCM/SH","",COUNTIF($D$5:$D$1506,D427))</f>
        <v/>
      </c>
    </row>
    <row r="428" ht="14.45" customHeight="1">
      <c r="A428" s="1" t="inlineStr">
        <is>
          <t>07Comb</t>
        </is>
      </c>
      <c r="B428" s="42" t="inlineStr">
        <is>
          <t>11.3</t>
        </is>
      </c>
      <c r="C428" s="42" t="inlineStr">
        <is>
          <t>06.011.03</t>
        </is>
      </c>
      <c r="D428" s="42" t="inlineStr">
        <is>
          <t>2711.19.10</t>
        </is>
      </c>
      <c r="E428" s="81" t="inlineStr">
        <is>
          <t>Convênio ICMS nº 110/2007</t>
        </is>
      </c>
      <c r="F428" s="83" t="n"/>
      <c r="G428" s="83" t="n"/>
      <c r="H428" s="70" t="n"/>
      <c r="I428" s="42" t="inlineStr">
        <is>
          <t>Gás liquefeito de petróleo (GLGNn), exceto em botijão de 13 Kg</t>
        </is>
      </c>
      <c r="J428" s="64" t="n"/>
      <c r="L428" s="29">
        <f>IF(D428="NCM/SH","",COUNTIF($D$5:$D$1506,D428))</f>
        <v/>
      </c>
    </row>
    <row r="429" ht="15" customHeight="1" thickBot="1">
      <c r="A429" s="1" t="inlineStr">
        <is>
          <t>07Comb</t>
        </is>
      </c>
      <c r="B429" s="46" t="n">
        <v>11.3</v>
      </c>
      <c r="C429" s="46" t="inlineStr">
        <is>
          <t>06.011.03</t>
        </is>
      </c>
      <c r="D429" s="46" t="inlineStr">
        <is>
          <t>2711.19.10</t>
        </is>
      </c>
      <c r="E429" s="82" t="inlineStr">
        <is>
          <t>e Ato COTEPE/MVA nº 10/2014</t>
        </is>
      </c>
      <c r="F429" s="85" t="n"/>
      <c r="G429" s="85" t="n"/>
      <c r="H429" s="48" t="n"/>
      <c r="I429" s="46" t="inlineStr">
        <is>
          <t>Gás liquefeito de petróleo (GLGNn), exceto em botijão de 13 Kg</t>
        </is>
      </c>
      <c r="J429" s="64" t="n"/>
      <c r="L429" s="29">
        <f>IF(D429="NCM/SH","",COUNTIF($D$5:$D$1506,D429))</f>
        <v/>
      </c>
    </row>
    <row r="430" ht="14.45" customHeight="1">
      <c r="A430" s="1" t="inlineStr">
        <is>
          <t>07Comb</t>
        </is>
      </c>
      <c r="B430" s="42" t="inlineStr">
        <is>
          <t>11.4</t>
        </is>
      </c>
      <c r="C430" s="42" t="inlineStr">
        <is>
          <t>06.011.04</t>
        </is>
      </c>
      <c r="D430" s="42" t="inlineStr">
        <is>
          <t>2711.19.10</t>
        </is>
      </c>
      <c r="E430" s="81" t="inlineStr">
        <is>
          <t>Convênio ICMS nº 110/2007</t>
        </is>
      </c>
      <c r="F430" s="83" t="n"/>
      <c r="G430" s="83" t="n"/>
      <c r="H430" s="70" t="n"/>
      <c r="I430" s="42" t="inlineStr">
        <is>
          <t>Gás liquefeito de petróleo em botijão de 13 Kg (GLGNi)</t>
        </is>
      </c>
      <c r="J430" s="64" t="n"/>
      <c r="L430" s="29">
        <f>IF(D430="NCM/SH","",COUNTIF($D$5:$D$1506,D430))</f>
        <v/>
      </c>
    </row>
    <row r="431" ht="15" customHeight="1" thickBot="1">
      <c r="A431" s="1" t="inlineStr">
        <is>
          <t>07Comb</t>
        </is>
      </c>
      <c r="B431" s="46" t="n">
        <v>11.4</v>
      </c>
      <c r="C431" s="46" t="inlineStr">
        <is>
          <t>06.011.04</t>
        </is>
      </c>
      <c r="D431" s="46" t="inlineStr">
        <is>
          <t>2711.19.10</t>
        </is>
      </c>
      <c r="E431" s="82" t="inlineStr">
        <is>
          <t>e Ato COTEPE/MVA nº 10/2014</t>
        </is>
      </c>
      <c r="F431" s="85" t="n"/>
      <c r="G431" s="85" t="n"/>
      <c r="H431" s="48" t="n"/>
      <c r="I431" s="46" t="inlineStr">
        <is>
          <t>Gás liquefeito de petróleo em botijão de 13 Kg (GLGNi)</t>
        </is>
      </c>
      <c r="J431" s="64" t="n"/>
      <c r="L431" s="29">
        <f>IF(D431="NCM/SH","",COUNTIF($D$5:$D$1506,D431))</f>
        <v/>
      </c>
    </row>
    <row r="432" ht="14.45" customHeight="1">
      <c r="A432" s="1" t="inlineStr">
        <is>
          <t>07Comb</t>
        </is>
      </c>
      <c r="B432" s="42" t="inlineStr">
        <is>
          <t>11.5</t>
        </is>
      </c>
      <c r="C432" s="42" t="inlineStr">
        <is>
          <t>06.011.05</t>
        </is>
      </c>
      <c r="D432" s="42" t="inlineStr">
        <is>
          <t>2711.19.10</t>
        </is>
      </c>
      <c r="E432" s="81" t="inlineStr">
        <is>
          <t>Convênio ICMS nº 110/2007</t>
        </is>
      </c>
      <c r="F432" s="83" t="n"/>
      <c r="G432" s="83" t="n"/>
      <c r="H432" s="70" t="n"/>
      <c r="I432" s="42" t="inlineStr">
        <is>
          <t>Gás liquefeito de petróleo (GLGNi), exceto em botijão de 13 Kg</t>
        </is>
      </c>
      <c r="J432" s="64" t="n"/>
      <c r="L432" s="29">
        <f>IF(D432="NCM/SH","",COUNTIF($D$5:$D$1506,D432))</f>
        <v/>
      </c>
    </row>
    <row r="433" ht="15" customHeight="1" thickBot="1">
      <c r="A433" s="1" t="inlineStr">
        <is>
          <t>07Comb</t>
        </is>
      </c>
      <c r="B433" s="46" t="n">
        <v>11.5</v>
      </c>
      <c r="C433" s="46" t="inlineStr">
        <is>
          <t>06.011.05</t>
        </is>
      </c>
      <c r="D433" s="46" t="inlineStr">
        <is>
          <t>2711.19.10</t>
        </is>
      </c>
      <c r="E433" s="82" t="inlineStr">
        <is>
          <t>e Ato COTEPE/MVA nº 10/2014</t>
        </is>
      </c>
      <c r="F433" s="85" t="n"/>
      <c r="G433" s="85" t="n"/>
      <c r="H433" s="48" t="n"/>
      <c r="I433" s="46" t="inlineStr">
        <is>
          <t>Gás liquefeito de petróleo (GLGNi), exceto em botijão de 13 Kg</t>
        </is>
      </c>
      <c r="J433" s="64" t="n"/>
      <c r="L433" s="29">
        <f>IF(D433="NCM/SH","",COUNTIF($D$5:$D$1506,D433))</f>
        <v/>
      </c>
    </row>
    <row r="434" ht="14.45" customHeight="1">
      <c r="A434" s="1" t="inlineStr">
        <is>
          <t>07Comb</t>
        </is>
      </c>
      <c r="B434" s="42" t="inlineStr">
        <is>
          <t>11.6</t>
        </is>
      </c>
      <c r="C434" s="42" t="inlineStr">
        <is>
          <t>06.011.06</t>
        </is>
      </c>
      <c r="D434" s="42" t="inlineStr">
        <is>
          <t>2711.19.10</t>
        </is>
      </c>
      <c r="E434" s="81" t="inlineStr">
        <is>
          <t>Convênio ICMS nº 110/2007</t>
        </is>
      </c>
      <c r="F434" s="83" t="n"/>
      <c r="G434" s="83" t="n"/>
      <c r="H434" s="70" t="n"/>
      <c r="I434" s="42" t="inlineStr">
        <is>
          <t>Gás liquefeito de petróleo em botijão de 13 kg (Misturas)</t>
        </is>
      </c>
      <c r="J434" s="64" t="n"/>
      <c r="L434" s="29">
        <f>IF(D434="NCM/SH","",COUNTIF($D$5:$D$1506,D434))</f>
        <v/>
      </c>
    </row>
    <row r="435" ht="15" customHeight="1" thickBot="1">
      <c r="A435" s="1" t="inlineStr">
        <is>
          <t>07Comb</t>
        </is>
      </c>
      <c r="B435" s="46" t="n">
        <v>11.6</v>
      </c>
      <c r="C435" s="46" t="inlineStr">
        <is>
          <t>06.011.06</t>
        </is>
      </c>
      <c r="D435" s="46" t="inlineStr">
        <is>
          <t>2711.19.10</t>
        </is>
      </c>
      <c r="E435" s="82" t="inlineStr">
        <is>
          <t>e Ato COTEPE/MVA nº 10/2014</t>
        </is>
      </c>
      <c r="F435" s="85" t="n"/>
      <c r="G435" s="85" t="n"/>
      <c r="H435" s="48" t="n"/>
      <c r="I435" s="46" t="inlineStr">
        <is>
          <t>Gás liquefeito de petróleo em botijão de 13 kg (Misturas)</t>
        </is>
      </c>
      <c r="J435" s="64" t="n"/>
      <c r="L435" s="29">
        <f>IF(D435="NCM/SH","",COUNTIF($D$5:$D$1506,D435))</f>
        <v/>
      </c>
    </row>
    <row r="436" ht="14.45" customHeight="1">
      <c r="A436" s="1" t="inlineStr">
        <is>
          <t>07Comb</t>
        </is>
      </c>
      <c r="B436" s="42" t="inlineStr">
        <is>
          <t>11.7</t>
        </is>
      </c>
      <c r="C436" s="42" t="inlineStr">
        <is>
          <t>06.011.07</t>
        </is>
      </c>
      <c r="D436" s="42" t="inlineStr">
        <is>
          <t>2711.19.10</t>
        </is>
      </c>
      <c r="E436" s="81" t="inlineStr">
        <is>
          <t>Convênio ICMS nº 110/2007</t>
        </is>
      </c>
      <c r="F436" s="83" t="n"/>
      <c r="G436" s="83" t="n"/>
      <c r="H436" s="70" t="n"/>
      <c r="I436" s="42" t="inlineStr">
        <is>
          <t>Gás liquefeito de petróleo (Misturas), exceto em botijão de 13 Kg</t>
        </is>
      </c>
      <c r="J436" s="64" t="n"/>
      <c r="L436" s="29">
        <f>IF(D436="NCM/SH","",COUNTIF($D$5:$D$1506,D436))</f>
        <v/>
      </c>
    </row>
    <row r="437" ht="15" customHeight="1" thickBot="1">
      <c r="A437" s="1" t="inlineStr">
        <is>
          <t>07Comb</t>
        </is>
      </c>
      <c r="B437" s="46" t="n">
        <v>11.7</v>
      </c>
      <c r="C437" s="46" t="inlineStr">
        <is>
          <t>06.011.07</t>
        </is>
      </c>
      <c r="D437" s="46" t="inlineStr">
        <is>
          <t>2711.19.10</t>
        </is>
      </c>
      <c r="E437" s="82" t="inlineStr">
        <is>
          <t>e Ato COTEPE/MVA nº 10/2014</t>
        </is>
      </c>
      <c r="F437" s="85" t="n"/>
      <c r="G437" s="85" t="n"/>
      <c r="H437" s="48" t="n"/>
      <c r="I437" s="46" t="inlineStr">
        <is>
          <t>Gás liquefeito de petróleo (Misturas), exceto em botijão de 13 Kg</t>
        </is>
      </c>
      <c r="J437" s="64" t="n"/>
      <c r="L437" s="29">
        <f>IF(D437="NCM/SH","",COUNTIF($D$5:$D$1506,D437))</f>
        <v/>
      </c>
    </row>
    <row r="438" ht="14.45" customHeight="1">
      <c r="A438" s="1" t="inlineStr">
        <is>
          <t>07Comb</t>
        </is>
      </c>
      <c r="B438" s="42" t="inlineStr">
        <is>
          <t>12.0</t>
        </is>
      </c>
      <c r="C438" s="42" t="inlineStr">
        <is>
          <t>06.012.00</t>
        </is>
      </c>
      <c r="D438" s="42" t="inlineStr">
        <is>
          <t>2711.11.00</t>
        </is>
      </c>
      <c r="E438" s="81" t="inlineStr">
        <is>
          <t>Convênio ICMS nº 110/2007</t>
        </is>
      </c>
      <c r="F438" s="83" t="n"/>
      <c r="G438" s="83" t="n"/>
      <c r="H438" s="70" t="n"/>
      <c r="I438" s="42" t="inlineStr">
        <is>
          <t>Gás Natural Liquefeito</t>
        </is>
      </c>
      <c r="J438" s="64" t="n"/>
      <c r="L438" s="29">
        <f>IF(D438="NCM/SH","",COUNTIF($D$5:$D$1506,D438))</f>
        <v/>
      </c>
    </row>
    <row r="439" ht="15" customHeight="1" thickBot="1">
      <c r="A439" s="1" t="inlineStr">
        <is>
          <t>07Comb</t>
        </is>
      </c>
      <c r="B439" s="46" t="n">
        <v>12</v>
      </c>
      <c r="C439" s="46" t="inlineStr">
        <is>
          <t>06.012.00</t>
        </is>
      </c>
      <c r="D439" s="46" t="inlineStr">
        <is>
          <t>2711.11.00</t>
        </is>
      </c>
      <c r="E439" s="82" t="inlineStr">
        <is>
          <t>e Ato COTEPE/MVA nº 10/2014</t>
        </is>
      </c>
      <c r="F439" s="85" t="n"/>
      <c r="G439" s="85" t="n"/>
      <c r="H439" s="48" t="n"/>
      <c r="I439" s="46" t="inlineStr">
        <is>
          <t>Gás Natural Liquefeito</t>
        </is>
      </c>
      <c r="J439" s="64" t="n"/>
      <c r="L439" s="29">
        <f>IF(D439="NCM/SH","",COUNTIF($D$5:$D$1506,D439))</f>
        <v/>
      </c>
    </row>
    <row r="440" ht="14.45" customHeight="1">
      <c r="A440" s="1" t="inlineStr">
        <is>
          <t>07Comb</t>
        </is>
      </c>
      <c r="B440" s="42" t="inlineStr">
        <is>
          <t>13.0</t>
        </is>
      </c>
      <c r="C440" s="42" t="inlineStr">
        <is>
          <t>06.013.00</t>
        </is>
      </c>
      <c r="D440" s="42" t="inlineStr">
        <is>
          <t>2711.21.00</t>
        </is>
      </c>
      <c r="E440" s="81" t="inlineStr">
        <is>
          <t>Convênio ICMS nº 110/2007</t>
        </is>
      </c>
      <c r="F440" s="83" t="n"/>
      <c r="G440" s="83" t="n"/>
      <c r="H440" s="70" t="n"/>
      <c r="I440" s="42" t="inlineStr">
        <is>
          <t>Gás Natural Gasoso</t>
        </is>
      </c>
      <c r="J440" s="64" t="n"/>
      <c r="L440" s="29">
        <f>IF(D440="NCM/SH","",COUNTIF($D$5:$D$1506,D440))</f>
        <v/>
      </c>
    </row>
    <row r="441" ht="15" customHeight="1" thickBot="1">
      <c r="A441" s="1" t="inlineStr">
        <is>
          <t>07Comb</t>
        </is>
      </c>
      <c r="B441" s="46" t="n">
        <v>13</v>
      </c>
      <c r="C441" s="46" t="inlineStr">
        <is>
          <t>06.013.00</t>
        </is>
      </c>
      <c r="D441" s="46" t="inlineStr">
        <is>
          <t>2711.21.00</t>
        </is>
      </c>
      <c r="E441" s="82" t="inlineStr">
        <is>
          <t>e Ato COTEPE/MVA nº 10/2014</t>
        </is>
      </c>
      <c r="F441" s="85" t="n"/>
      <c r="G441" s="85" t="n"/>
      <c r="H441" s="48" t="n"/>
      <c r="I441" s="46" t="inlineStr">
        <is>
          <t>Gás Natural Gasoso</t>
        </is>
      </c>
      <c r="J441" s="64" t="n"/>
      <c r="L441" s="29">
        <f>IF(D441="NCM/SH","",COUNTIF($D$5:$D$1506,D441))</f>
        <v/>
      </c>
    </row>
    <row r="442" ht="14.45" customHeight="1">
      <c r="A442" s="1" t="inlineStr">
        <is>
          <t>07Comb</t>
        </is>
      </c>
      <c r="B442" s="42" t="inlineStr">
        <is>
          <t>14.0</t>
        </is>
      </c>
      <c r="C442" s="42" t="inlineStr">
        <is>
          <t>06.014.00</t>
        </is>
      </c>
      <c r="D442" s="42" t="inlineStr">
        <is>
          <t>2711.29.90</t>
        </is>
      </c>
      <c r="E442" s="81" t="inlineStr">
        <is>
          <t>Convênio ICMS nº 110/2007</t>
        </is>
      </c>
      <c r="F442" s="83" t="n"/>
      <c r="G442" s="83" t="n"/>
      <c r="H442" s="70" t="n"/>
      <c r="I442" s="42" t="inlineStr">
        <is>
          <t>Gás de xisto</t>
        </is>
      </c>
      <c r="J442" s="64" t="n"/>
      <c r="L442" s="29">
        <f>IF(D442="NCM/SH","",COUNTIF($D$5:$D$1506,D442))</f>
        <v/>
      </c>
    </row>
    <row r="443" ht="15" customHeight="1" thickBot="1">
      <c r="A443" s="1" t="inlineStr">
        <is>
          <t>07Comb</t>
        </is>
      </c>
      <c r="B443" s="46" t="n">
        <v>14</v>
      </c>
      <c r="C443" s="46" t="inlineStr">
        <is>
          <t>06.014.00</t>
        </is>
      </c>
      <c r="D443" s="46" t="inlineStr">
        <is>
          <t>2711.29.90</t>
        </is>
      </c>
      <c r="E443" s="82" t="inlineStr">
        <is>
          <t>e Ato COTEPE/MVA nº 10/2014</t>
        </is>
      </c>
      <c r="F443" s="85" t="n"/>
      <c r="G443" s="85" t="n"/>
      <c r="H443" s="48" t="n"/>
      <c r="I443" s="46" t="inlineStr">
        <is>
          <t>Gás de xisto</t>
        </is>
      </c>
      <c r="J443" s="64" t="n"/>
      <c r="L443" s="29">
        <f>IF(D443="NCM/SH","",COUNTIF($D$5:$D$1506,D443))</f>
        <v/>
      </c>
    </row>
    <row r="444" ht="14.45" customHeight="1">
      <c r="A444" s="1" t="inlineStr">
        <is>
          <t>07Comb</t>
        </is>
      </c>
      <c r="B444" s="42" t="inlineStr">
        <is>
          <t>15.0</t>
        </is>
      </c>
      <c r="C444" s="42" t="inlineStr">
        <is>
          <t>06.015.00</t>
        </is>
      </c>
      <c r="D444" s="42" t="n">
        <v>2713</v>
      </c>
      <c r="E444" s="81" t="inlineStr">
        <is>
          <t>Convênio ICMS nº 110/2007</t>
        </is>
      </c>
      <c r="F444" s="83" t="n"/>
      <c r="G444" s="83" t="n"/>
      <c r="H444" s="70" t="n"/>
      <c r="I444" s="42" t="inlineStr">
        <is>
          <t>Coque de petróleo e outros resíduos de óleo de petróleo ou de minerais betuminosos</t>
        </is>
      </c>
      <c r="J444" s="64" t="n"/>
      <c r="L444" s="29">
        <f>IF(D444="NCM/SH","",COUNTIF($D$5:$D$1506,D444))</f>
        <v/>
      </c>
    </row>
    <row r="445" ht="15" customHeight="1" thickBot="1">
      <c r="A445" s="1" t="inlineStr">
        <is>
          <t>07Comb</t>
        </is>
      </c>
      <c r="B445" s="46" t="n">
        <v>15</v>
      </c>
      <c r="C445" s="46" t="inlineStr">
        <is>
          <t>06.015.00</t>
        </is>
      </c>
      <c r="D445" s="46" t="n">
        <v>2713</v>
      </c>
      <c r="E445" s="82" t="inlineStr">
        <is>
          <t>e Ato COTEPE/MVA nº 10/2014</t>
        </is>
      </c>
      <c r="F445" s="85" t="n"/>
      <c r="G445" s="85" t="n"/>
      <c r="H445" s="48" t="n"/>
      <c r="I445" s="46" t="inlineStr">
        <is>
          <t>Coque de petróleo e outros resíduos de óleo de petróleo ou de minerais betuminosos</t>
        </is>
      </c>
      <c r="J445" s="64" t="n"/>
      <c r="L445" s="29">
        <f>IF(D445="NCM/SH","",COUNTIF($D$5:$D$1506,D445))</f>
        <v/>
      </c>
    </row>
    <row r="446" ht="14.45" customHeight="1">
      <c r="A446" s="1" t="inlineStr">
        <is>
          <t>07Comb</t>
        </is>
      </c>
      <c r="B446" s="42" t="inlineStr">
        <is>
          <t>16.0</t>
        </is>
      </c>
      <c r="C446" s="42" t="inlineStr">
        <is>
          <t>06.016.00</t>
        </is>
      </c>
      <c r="D446" s="42" t="inlineStr">
        <is>
          <t>3826.00.00</t>
        </is>
      </c>
      <c r="E446" s="81" t="inlineStr">
        <is>
          <t>Convênio ICMS nº 110/2007</t>
        </is>
      </c>
      <c r="F446" s="83" t="n"/>
      <c r="G446" s="83" t="n"/>
      <c r="H446" s="70" t="n"/>
      <c r="I446" s="42" t="inlineStr">
        <is>
          <t>Biodiesel e suas misturas, que não contenham ou que contenham menos de 70%, em peso, de óleos de petróleo ou de óleos minerais betuminosos</t>
        </is>
      </c>
      <c r="J446" s="64" t="n"/>
      <c r="L446" s="29">
        <f>IF(D446="NCM/SH","",COUNTIF($D$5:$D$1506,D446))</f>
        <v/>
      </c>
    </row>
    <row r="447" ht="15" customHeight="1" thickBot="1">
      <c r="A447" s="1" t="inlineStr">
        <is>
          <t>07Comb</t>
        </is>
      </c>
      <c r="B447" s="46" t="n">
        <v>16</v>
      </c>
      <c r="C447" s="46" t="inlineStr">
        <is>
          <t>06.016.00</t>
        </is>
      </c>
      <c r="D447" s="46" t="inlineStr">
        <is>
          <t>3826.00.00</t>
        </is>
      </c>
      <c r="E447" s="82" t="inlineStr">
        <is>
          <t>e Ato COTEPE/MVA nº 10/2014</t>
        </is>
      </c>
      <c r="F447" s="85" t="n"/>
      <c r="G447" s="85" t="n"/>
      <c r="H447" s="48" t="n"/>
      <c r="I447" s="46" t="inlineStr">
        <is>
          <t>Biodiesel e suas misturas, que não contenham ou que contenham menos de 70%, em peso, de óleos de petróleo ou de óleos minerais betuminosos</t>
        </is>
      </c>
      <c r="J447" s="64" t="n"/>
      <c r="L447" s="29">
        <f>IF(D447="NCM/SH","",COUNTIF($D$5:$D$1506,D447))</f>
        <v/>
      </c>
    </row>
    <row r="448" ht="14.45" customHeight="1">
      <c r="A448" s="1" t="inlineStr">
        <is>
          <t>07Comb</t>
        </is>
      </c>
      <c r="B448" s="42" t="inlineStr">
        <is>
          <t>17.0</t>
        </is>
      </c>
      <c r="C448" s="42" t="inlineStr">
        <is>
          <t>06.017.00</t>
        </is>
      </c>
      <c r="D448" s="42" t="n">
        <v>3403</v>
      </c>
      <c r="E448" s="81" t="inlineStr">
        <is>
          <t>Convênio ICMS nº 110/2007</t>
        </is>
      </c>
      <c r="F448" s="83" t="n"/>
      <c r="G448" s="83" t="n"/>
      <c r="H448" s="70" t="n"/>
      <c r="I448" s="42" t="inlineStr">
        <is>
          <t>Preparações lubrificantes, exceto as contendo, como constituintes de base, 70% ou mais, em peso, de óleos de petróleo ou de minerais betuminosos</t>
        </is>
      </c>
      <c r="J448" s="64" t="n"/>
      <c r="L448" s="29">
        <f>IF(D448="NCM/SH","",COUNTIF($D$5:$D$1506,D448))</f>
        <v/>
      </c>
    </row>
    <row r="449" ht="15" customHeight="1" thickBot="1">
      <c r="A449" s="1" t="inlineStr">
        <is>
          <t>07Comb</t>
        </is>
      </c>
      <c r="B449" s="46" t="n">
        <v>17</v>
      </c>
      <c r="C449" s="46" t="inlineStr">
        <is>
          <t>06.017.00</t>
        </is>
      </c>
      <c r="D449" s="46" t="n">
        <v>3403</v>
      </c>
      <c r="E449" s="82" t="inlineStr">
        <is>
          <t>e Ato COTEPE/MVA nº 10/2014</t>
        </is>
      </c>
      <c r="F449" s="85" t="n"/>
      <c r="G449" s="85" t="n"/>
      <c r="H449" s="48" t="n"/>
      <c r="I449" s="46" t="inlineStr">
        <is>
          <t>Preparações lubrificantes, exceto as contendo, como constituintes de base, 70% ou mais, em peso, de óleos de petróleo ou de minerais betuminosos</t>
        </is>
      </c>
      <c r="J449" s="64" t="n"/>
      <c r="L449" s="29">
        <f>IF(D449="NCM/SH","",COUNTIF($D$5:$D$1506,D449))</f>
        <v/>
      </c>
    </row>
    <row r="450" ht="14.45" customHeight="1">
      <c r="A450" s="1" t="inlineStr">
        <is>
          <t>07Comb</t>
        </is>
      </c>
      <c r="B450" s="42" t="inlineStr">
        <is>
          <t>18.0</t>
        </is>
      </c>
      <c r="C450" s="42" t="inlineStr">
        <is>
          <t>06.018.00</t>
        </is>
      </c>
      <c r="D450" s="42" t="inlineStr">
        <is>
          <t>2710.20.00</t>
        </is>
      </c>
      <c r="E450" s="81" t="inlineStr">
        <is>
          <t>Convênio ICMS nº 110/2007</t>
        </is>
      </c>
      <c r="F450" s="83" t="n"/>
      <c r="G450" s="83" t="n"/>
      <c r="H450" s="70" t="n"/>
      <c r="I450" s="42" t="inlineStr">
        <is>
          <t>Óleos de petróleo ou de minerais betuminosos (exceto óleos brutos) e preparações não especificadas nem compreendidas noutras posições, que contenham, como constituintes básicos, 70% ou mais, em peso, de óleos de petróleo ou de minerais betuminosos, que contenham biodiesel, exceto os resíduos de óleos</t>
        </is>
      </c>
      <c r="J450" s="64" t="n"/>
      <c r="L450" s="29">
        <f>IF(D450="NCM/SH","",COUNTIF($D$5:$D$1506,D450))</f>
        <v/>
      </c>
    </row>
    <row r="451" ht="15" customHeight="1" thickBot="1">
      <c r="A451" s="1" t="inlineStr">
        <is>
          <t>07Comb</t>
        </is>
      </c>
      <c r="B451" s="46" t="n">
        <v>18</v>
      </c>
      <c r="C451" s="46" t="inlineStr">
        <is>
          <t>06.018.00</t>
        </is>
      </c>
      <c r="D451" s="46" t="inlineStr">
        <is>
          <t>2710.20.00</t>
        </is>
      </c>
      <c r="E451" s="82" t="inlineStr">
        <is>
          <t>e Ato COTEPE/MVA nº 10/2014</t>
        </is>
      </c>
      <c r="F451" s="85" t="n"/>
      <c r="G451" s="85" t="n"/>
      <c r="H451" s="48" t="n"/>
      <c r="I451" s="46" t="inlineStr">
        <is>
          <t>Óleos de petróleo ou de minerais betuminosos (exceto óleos brutos) e preparações não especificadas nem compreendidas noutras posições, que contenham, como constituintes básicos, 70% ou mais, em peso, de óleos de petróleo ou de minerais betuminosos, que contenham biodiesel, exceto os resíduos de óleos</t>
        </is>
      </c>
      <c r="J451" s="64" t="n"/>
      <c r="L451" s="29">
        <f>IF(D451="NCM/SH","",COUNTIF($D$5:$D$1506,D451))</f>
        <v/>
      </c>
    </row>
    <row r="452">
      <c r="B452" s="65" t="n"/>
      <c r="C452" s="65" t="n"/>
      <c r="D452" s="65" t="n"/>
      <c r="E452" s="65" t="n"/>
      <c r="F452" s="65" t="n"/>
      <c r="G452" s="65" t="n"/>
      <c r="H452" s="65" t="n"/>
      <c r="I452" s="65" t="n"/>
      <c r="J452" s="65" t="n"/>
      <c r="L452" s="29">
        <f>IF(D452="NCM/SH","",COUNTIF($D$5:$D$1506,D452))</f>
        <v/>
      </c>
    </row>
    <row r="453">
      <c r="B453" s="31" t="n"/>
      <c r="L453" s="29">
        <f>IF(D453="NCM/SH","",COUNTIF($D$5:$D$1506,D453))</f>
        <v/>
      </c>
    </row>
    <row r="454">
      <c r="B454" s="31" t="n"/>
      <c r="L454" s="29">
        <f>IF(D454="NCM/SH","",COUNTIF($D$5:$D$1506,D454))</f>
        <v/>
      </c>
    </row>
    <row r="455" ht="15.75" customHeight="1" thickBot="1">
      <c r="A455" s="1" t="inlineStr">
        <is>
          <t>08Energ</t>
        </is>
      </c>
      <c r="B455" s="28" t="inlineStr">
        <is>
          <t>Tabela VIII</t>
        </is>
      </c>
      <c r="C455" s="28" t="inlineStr">
        <is>
          <t>ENERGIA ELÉTRICA</t>
        </is>
      </c>
      <c r="L455" s="29">
        <f>IF(D455="NCM/SH","",COUNTIF($D$5:$D$1506,D455))</f>
        <v/>
      </c>
    </row>
    <row r="456" ht="15" customHeight="1" thickBot="1">
      <c r="A456" s="1" t="inlineStr">
        <is>
          <t>08Energ</t>
        </is>
      </c>
      <c r="B456" s="163" t="inlineStr">
        <is>
          <t>ITEM</t>
        </is>
      </c>
      <c r="C456" s="163" t="inlineStr">
        <is>
          <t>CEST</t>
        </is>
      </c>
      <c r="D456" s="163" t="inlineStr">
        <is>
          <t>NCM/SH</t>
        </is>
      </c>
      <c r="E456" s="165" t="inlineStr">
        <is>
          <t>MARGEM DE VALOR AGREGADO</t>
        </is>
      </c>
      <c r="F456" s="166" t="n"/>
      <c r="G456" s="166" t="n"/>
      <c r="H456" s="167" t="n"/>
      <c r="I456" s="163" t="inlineStr">
        <is>
          <t xml:space="preserve">DESCRIÇÃO </t>
        </is>
      </c>
      <c r="J456" s="163" t="inlineStr">
        <is>
          <t>DISPOSITIVO LEGAL</t>
        </is>
      </c>
      <c r="L456" s="29">
        <f>IF(D456="NCM/SH","",COUNTIF($D$5:$D$1506,D456))</f>
        <v/>
      </c>
    </row>
    <row r="457" ht="15.75" customHeight="1" thickBot="1">
      <c r="A457" s="1" t="inlineStr">
        <is>
          <t>08Energ</t>
        </is>
      </c>
      <c r="B457" s="164" t="n"/>
      <c r="C457" s="164" t="n"/>
      <c r="D457" s="164" t="n"/>
      <c r="E457" s="35" t="inlineStr">
        <is>
          <t>Oper. interna</t>
        </is>
      </c>
      <c r="F457" s="35" t="inlineStr">
        <is>
          <t>Alíq. 4%</t>
        </is>
      </c>
      <c r="G457" s="35" t="inlineStr">
        <is>
          <t>Alíq. 7%</t>
        </is>
      </c>
      <c r="H457" s="35" t="inlineStr">
        <is>
          <t>Alíq. 12%</t>
        </is>
      </c>
      <c r="I457" s="164" t="n"/>
      <c r="J457" s="164" t="n"/>
      <c r="L457" s="29">
        <f>IF(D457="NCM/SH","",COUNTIF($D$5:$D$1506,D457))</f>
        <v/>
      </c>
    </row>
    <row r="458" ht="15.75" customHeight="1" thickBot="1">
      <c r="A458" s="1" t="inlineStr">
        <is>
          <t>08Energ</t>
        </is>
      </c>
      <c r="B458" s="164" t="inlineStr">
        <is>
          <t>1.0</t>
        </is>
      </c>
      <c r="C458" s="35" t="inlineStr">
        <is>
          <t>07.001.00</t>
        </is>
      </c>
      <c r="D458" s="35" t="inlineStr">
        <is>
          <t>2716.00.00</t>
        </is>
      </c>
      <c r="E458" s="35" t="inlineStr">
        <is>
          <t>-</t>
        </is>
      </c>
      <c r="F458" s="35" t="inlineStr">
        <is>
          <t>-</t>
        </is>
      </c>
      <c r="G458" s="35" t="inlineStr">
        <is>
          <t>-</t>
        </is>
      </c>
      <c r="H458" s="35" t="inlineStr">
        <is>
          <t>-</t>
        </is>
      </c>
      <c r="I458" s="35" t="inlineStr">
        <is>
          <t>Energia elétrica</t>
        </is>
      </c>
      <c r="J458" s="35" t="inlineStr">
        <is>
          <t>Lei 1.810 arts. 36 e 51</t>
        </is>
      </c>
      <c r="L458" s="29">
        <f>IF(D458="NCM/SH","",COUNTIF($D$5:$D$1506,D458))</f>
        <v/>
      </c>
    </row>
    <row r="459">
      <c r="B459" s="28" t="n"/>
      <c r="L459" s="29">
        <f>IF(D459="NCM/SH","",COUNTIF($D$5:$D$1506,D459))</f>
        <v/>
      </c>
    </row>
    <row r="460">
      <c r="B460" s="28" t="n"/>
      <c r="L460" s="29">
        <f>IF(D460="NCM/SH","",COUNTIF($D$5:$D$1506,D460))</f>
        <v/>
      </c>
    </row>
    <row r="461" ht="15.75" customHeight="1" thickBot="1">
      <c r="A461" s="1" t="inlineStr">
        <is>
          <t>09Ferram</t>
        </is>
      </c>
      <c r="B461" s="28" t="inlineStr">
        <is>
          <t>Tabela IX</t>
        </is>
      </c>
      <c r="C461" s="28" t="inlineStr">
        <is>
          <t>FERRAMENTAS</t>
        </is>
      </c>
      <c r="D461" s="62" t="n"/>
      <c r="E461" s="62" t="n"/>
      <c r="F461" s="62" t="n"/>
      <c r="G461" s="62" t="n"/>
      <c r="H461" s="62" t="n"/>
      <c r="L461" s="29">
        <f>IF(D461="NCM/SH","",COUNTIF($D$5:$D$1506,D461))</f>
        <v/>
      </c>
    </row>
    <row r="462" ht="15" customHeight="1" thickBot="1">
      <c r="A462" s="1" t="inlineStr">
        <is>
          <t>09Ferram</t>
        </is>
      </c>
      <c r="B462" s="163" t="inlineStr">
        <is>
          <t>ITEM</t>
        </is>
      </c>
      <c r="C462" s="163" t="inlineStr">
        <is>
          <t>CEST</t>
        </is>
      </c>
      <c r="D462" s="163" t="inlineStr">
        <is>
          <t>NCM/SH</t>
        </is>
      </c>
      <c r="E462" s="165" t="inlineStr">
        <is>
          <t>MARGEM DE VALOR AGREGADO</t>
        </is>
      </c>
      <c r="F462" s="166" t="n"/>
      <c r="G462" s="166" t="n"/>
      <c r="H462" s="167" t="n"/>
      <c r="I462" s="163" t="inlineStr">
        <is>
          <t xml:space="preserve">DESCRIÇÃO </t>
        </is>
      </c>
      <c r="J462" s="163" t="inlineStr">
        <is>
          <t>DISPOSITIVO LEGAL</t>
        </is>
      </c>
      <c r="L462" s="29">
        <f>IF(D462="NCM/SH","",COUNTIF($D$5:$D$1506,D462))</f>
        <v/>
      </c>
    </row>
    <row r="463" ht="15.75" customHeight="1" thickBot="1">
      <c r="A463" s="1" t="inlineStr">
        <is>
          <t>09Ferram</t>
        </is>
      </c>
      <c r="B463" s="164" t="inlineStr">
        <is>
          <t>ITEM</t>
        </is>
      </c>
      <c r="C463" s="164" t="inlineStr">
        <is>
          <t>CEST</t>
        </is>
      </c>
      <c r="D463" s="164" t="inlineStr">
        <is>
          <t>NCM/SH</t>
        </is>
      </c>
      <c r="E463" s="35" t="inlineStr">
        <is>
          <t>Oper. interna</t>
        </is>
      </c>
      <c r="F463" s="167" t="inlineStr">
        <is>
          <t>Alíq. 4%</t>
        </is>
      </c>
      <c r="G463" s="167" t="inlineStr">
        <is>
          <t>Alíq. 7%</t>
        </is>
      </c>
      <c r="H463" s="167" t="inlineStr">
        <is>
          <t>Alíq. 12%</t>
        </is>
      </c>
      <c r="I463" s="164" t="inlineStr">
        <is>
          <t xml:space="preserve">DESCRIÇÃO </t>
        </is>
      </c>
      <c r="J463" s="164" t="inlineStr">
        <is>
          <t>DISPOSITIVO LEGAL</t>
        </is>
      </c>
      <c r="L463" s="29">
        <f>IF(D463="NCM/SH","",COUNTIF($D$5:$D$1506,D463))</f>
        <v/>
      </c>
    </row>
    <row r="464" ht="15.75" customHeight="1" thickBot="1">
      <c r="A464" s="1" t="inlineStr">
        <is>
          <t>09Ferram</t>
        </is>
      </c>
      <c r="B464" s="164" t="inlineStr">
        <is>
          <t>1.0</t>
        </is>
      </c>
      <c r="C464" s="35" t="inlineStr">
        <is>
          <t>08.001.00</t>
        </is>
      </c>
      <c r="D464" s="35" t="inlineStr">
        <is>
          <t>4016.99.90</t>
        </is>
      </c>
      <c r="E464" s="35" t="n">
        <v>38</v>
      </c>
      <c r="F464" s="35" t="n">
        <v>59.61</v>
      </c>
      <c r="G464" s="35" t="n">
        <v>54.63</v>
      </c>
      <c r="H464" s="35" t="n">
        <v>46.31</v>
      </c>
      <c r="I464" s="35" t="inlineStr">
        <is>
          <t xml:space="preserve">Ferramentas de borracha vulcanizada não endurecida </t>
        </is>
      </c>
      <c r="J464" s="38" t="inlineStr">
        <is>
          <t>Lei nº 1.810, art. 49, § 1º, XXIX</t>
        </is>
      </c>
      <c r="L464" s="29">
        <f>IF(D464="NCM/SH","",COUNTIF($D$5:$D$1506,D464))</f>
        <v/>
      </c>
    </row>
    <row r="465" ht="15.75" customHeight="1" thickBot="1">
      <c r="A465" s="1" t="inlineStr">
        <is>
          <t>09Ferram</t>
        </is>
      </c>
      <c r="B465" s="164" t="inlineStr">
        <is>
          <t>2.0</t>
        </is>
      </c>
      <c r="C465" s="35" t="inlineStr">
        <is>
          <t>08.002.00</t>
        </is>
      </c>
      <c r="D465" s="35" t="inlineStr">
        <is>
          <t>4417.00.10 4417.00.90</t>
        </is>
      </c>
      <c r="E465" s="35" t="n">
        <v>38</v>
      </c>
      <c r="F465" s="35" t="n">
        <v>59.61</v>
      </c>
      <c r="G465" s="35" t="n">
        <v>54.63</v>
      </c>
      <c r="H465" s="35" t="n">
        <v>46.31</v>
      </c>
      <c r="I465" s="35" t="inlineStr">
        <is>
          <t xml:space="preserve">Ferramentas, armações e cabos de ferramentas, de madeira </t>
        </is>
      </c>
      <c r="J465" s="38" t="inlineStr">
        <is>
          <t>Lei nº 1.810, art. 49, § 1º, XXIX</t>
        </is>
      </c>
      <c r="L465" s="29">
        <f>IF(D465="NCM/SH","",COUNTIF($D$5:$D$1506,D465))</f>
        <v/>
      </c>
    </row>
    <row r="466" ht="15.75" customHeight="1" thickBot="1">
      <c r="A466" s="1" t="inlineStr">
        <is>
          <t>09Ferram</t>
        </is>
      </c>
      <c r="B466" s="164" t="inlineStr">
        <is>
          <t>3.0</t>
        </is>
      </c>
      <c r="C466" s="35" t="inlineStr">
        <is>
          <t>08.003.00</t>
        </is>
      </c>
      <c r="D466" s="35" t="n">
        <v>6804</v>
      </c>
      <c r="E466" s="35" t="n">
        <v>38</v>
      </c>
      <c r="F466" s="35" t="n">
        <v>59.61</v>
      </c>
      <c r="G466" s="35" t="n">
        <v>54.63</v>
      </c>
      <c r="H466" s="35" t="n">
        <v>46.31</v>
      </c>
      <c r="I466" s="35" t="inlineStr">
        <is>
          <t>Mós e artefatos semelhantes, sem armação, para moer, desfibrar, triturar, amolar, polir, retificar ou cortar; pedras para amolar ou para polir, manualmente, e suas partes, de pedras naturais, de abrasivos naturais ou artificiais aglomerados ou de cerâmica, mesmo com partes de outras matérias</t>
        </is>
      </c>
      <c r="J466" s="41" t="inlineStr">
        <is>
          <t>Lei nº 1.810, art. 49, § 1º, XXIX</t>
        </is>
      </c>
      <c r="L466" s="29">
        <f>IF(D466="NCM/SH","",COUNTIF($D$5:$D$1506,D466))</f>
        <v/>
      </c>
    </row>
    <row r="467" ht="14.45" customHeight="1">
      <c r="A467" s="1" t="inlineStr">
        <is>
          <t>09Ferram</t>
        </is>
      </c>
      <c r="B467" s="163" t="inlineStr">
        <is>
          <t>4.0</t>
        </is>
      </c>
      <c r="C467" s="163" t="inlineStr">
        <is>
          <t>08.004.00</t>
        </is>
      </c>
      <c r="D467" s="163" t="n">
        <v>8201</v>
      </c>
      <c r="E467" s="163" t="n">
        <v>38</v>
      </c>
      <c r="F467" s="163" t="n">
        <v>59.61</v>
      </c>
      <c r="G467" s="163" t="n">
        <v>54.63</v>
      </c>
      <c r="H467" s="163" t="n">
        <v>46.31</v>
      </c>
      <c r="I467" s="163" t="inlineStr">
        <is>
          <t>Pás, alviões, picaretas, enxadas, sachos, forcados e forquilhas, ancinhos e raspadeiras; machados, podões e ferramentas semelhantes com gume; tesouras de podar de todos os tipos; foices e foicinhas, facas para feno ou para palha, tesouras para sebes, cunhas e outras ferramentas manuais para agricultura, horticultura ou silvicultura</t>
        </is>
      </c>
      <c r="J467" s="38" t="inlineStr">
        <is>
          <t>Lei nº 1.810, art. 49, § 1º, XXIX</t>
        </is>
      </c>
      <c r="L467" s="29">
        <f>IF(D467="NCM/SH","",COUNTIF($D$5:$D$1506,D467))</f>
        <v/>
      </c>
    </row>
    <row r="468" ht="15.75" customHeight="1" thickBot="1">
      <c r="A468" s="1" t="inlineStr">
        <is>
          <t>09Ferram</t>
        </is>
      </c>
      <c r="B468" s="164" t="inlineStr">
        <is>
          <t>5.0</t>
        </is>
      </c>
      <c r="C468" s="35" t="inlineStr">
        <is>
          <t>08.005.00</t>
        </is>
      </c>
      <c r="D468" s="35" t="inlineStr">
        <is>
          <t>8202.20.00</t>
        </is>
      </c>
      <c r="E468" s="35" t="n">
        <v>38</v>
      </c>
      <c r="F468" s="35" t="n">
        <v>59.61</v>
      </c>
      <c r="G468" s="35" t="n">
        <v>54.63</v>
      </c>
      <c r="H468" s="35" t="n">
        <v>46.31</v>
      </c>
      <c r="I468" s="35" t="inlineStr">
        <is>
          <t>Folhas de serras de fita</t>
        </is>
      </c>
      <c r="J468" s="38" t="inlineStr">
        <is>
          <t>Lei nº 1.810, art. 49, § 1º, XXIX</t>
        </is>
      </c>
      <c r="L468" s="29">
        <f>IF(D468="NCM/SH","",COUNTIF($D$5:$D$1506,D468))</f>
        <v/>
      </c>
    </row>
    <row r="469" ht="15.75" customHeight="1" thickBot="1">
      <c r="A469" s="1" t="inlineStr">
        <is>
          <t>09Ferram</t>
        </is>
      </c>
      <c r="B469" s="164" t="inlineStr">
        <is>
          <t>6.0</t>
        </is>
      </c>
      <c r="C469" s="35" t="inlineStr">
        <is>
          <t>08.006.00</t>
        </is>
      </c>
      <c r="D469" s="35" t="inlineStr">
        <is>
          <t>8202.91.00</t>
        </is>
      </c>
      <c r="E469" s="35" t="n">
        <v>38</v>
      </c>
      <c r="F469" s="35" t="n">
        <v>59.61</v>
      </c>
      <c r="G469" s="35" t="n">
        <v>54.63</v>
      </c>
      <c r="H469" s="35" t="n">
        <v>46.31</v>
      </c>
      <c r="I469" s="35" t="inlineStr">
        <is>
          <t>Lâminas de serras máquinas</t>
        </is>
      </c>
      <c r="J469" s="38" t="inlineStr">
        <is>
          <t>Lei nº 1.810, art. 49, § 1º, XXIX</t>
        </is>
      </c>
      <c r="L469" s="29">
        <f>IF(D469="NCM/SH","",COUNTIF($D$5:$D$1506,D469))</f>
        <v/>
      </c>
    </row>
    <row r="470" ht="15.75" customHeight="1" thickBot="1">
      <c r="A470" s="1" t="inlineStr">
        <is>
          <t>09Ferram</t>
        </is>
      </c>
      <c r="B470" s="164" t="inlineStr">
        <is>
          <t>7.0</t>
        </is>
      </c>
      <c r="C470" s="35" t="inlineStr">
        <is>
          <t>08.007.00</t>
        </is>
      </c>
      <c r="D470" s="35" t="n">
        <v>8202</v>
      </c>
      <c r="E470" s="35" t="n">
        <v>38</v>
      </c>
      <c r="F470" s="35" t="n">
        <v>59.61</v>
      </c>
      <c r="G470" s="35" t="n">
        <v>54.63</v>
      </c>
      <c r="H470" s="35" t="n">
        <v>46.31</v>
      </c>
      <c r="I470" s="48" t="inlineStr">
        <is>
          <t>Serras manuais e outras folhas de serras (incluídas as fresas-serras e as folhas não dentadas para serrar), exceto as classificadas nos CEST 08.005.00 e 08.006.00</t>
        </is>
      </c>
      <c r="J470" s="38" t="inlineStr">
        <is>
          <t>Lei nº 1.810, art. 49, § 1º, XXIX</t>
        </is>
      </c>
      <c r="K470" s="43" t="inlineStr">
        <is>
          <t>(Item 7.0: nova redação dada pelo Decreto nº 14.645/2016. Efeitos a partir de 1º.01.2017.)</t>
        </is>
      </c>
      <c r="L470" s="29">
        <f>IF(D470="NCM/SH","",COUNTIF($D$5:$D$1506,D470))</f>
        <v/>
      </c>
    </row>
    <row r="471" ht="15.75" customHeight="1" thickBot="1">
      <c r="A471" s="1" t="inlineStr">
        <is>
          <t>09Ferram</t>
        </is>
      </c>
      <c r="B471" s="164" t="inlineStr">
        <is>
          <t>8.0</t>
        </is>
      </c>
      <c r="C471" s="35" t="inlineStr">
        <is>
          <t>08.008.00</t>
        </is>
      </c>
      <c r="D471" s="35" t="n">
        <v>8203</v>
      </c>
      <c r="E471" s="35" t="n">
        <v>38</v>
      </c>
      <c r="F471" s="35" t="n">
        <v>59.61</v>
      </c>
      <c r="G471" s="35" t="n">
        <v>54.63</v>
      </c>
      <c r="H471" s="35" t="n">
        <v>46.31</v>
      </c>
      <c r="I471" s="35" t="inlineStr">
        <is>
          <t>Limas, grosas, alicates (mesmo cortantes), tenazes, pinças, cisalhas para metais, corta-tubos, corta-pinos, saca-bocados e ferramentas semelhantes, manuais, exceto as pinças para sobrancelhas classificadas na posição 8203.20.90</t>
        </is>
      </c>
      <c r="J471" s="1" t="inlineStr">
        <is>
          <t>Lei nº 1.810, art. 49, § 1º, XXIX</t>
        </is>
      </c>
      <c r="L471" s="29">
        <f>IF(D471="NCM/SH","",COUNTIF($D$5:$D$1506,D471))</f>
        <v/>
      </c>
    </row>
    <row r="472" ht="15.75" customHeight="1" thickBot="1">
      <c r="A472" s="1" t="inlineStr">
        <is>
          <t>09Ferram</t>
        </is>
      </c>
      <c r="B472" s="164" t="inlineStr">
        <is>
          <t>9.0</t>
        </is>
      </c>
      <c r="C472" s="35" t="inlineStr">
        <is>
          <t>08.009.00</t>
        </is>
      </c>
      <c r="D472" s="35" t="n">
        <v>8204</v>
      </c>
      <c r="E472" s="35" t="n">
        <v>38</v>
      </c>
      <c r="F472" s="35" t="n">
        <v>59.61</v>
      </c>
      <c r="G472" s="35" t="n">
        <v>54.63</v>
      </c>
      <c r="H472" s="35" t="n">
        <v>46.31</v>
      </c>
      <c r="I472" s="48" t="inlineStr">
        <is>
          <t>Chaves de porcas, manuais (incluídas as chaves dinamométricas); chaves de caixa intercambiáveis, mesmo com cabos</t>
        </is>
      </c>
      <c r="J472" s="48" t="inlineStr">
        <is>
          <t>Lei nº 1.810, art. 49, § 1º, XXIX</t>
        </is>
      </c>
      <c r="L472" s="29">
        <f>IF(D472="NCM/SH","",COUNTIF($D$5:$D$1506,D472))</f>
        <v/>
      </c>
    </row>
    <row r="473" ht="14.45" customHeight="1" thickBot="1">
      <c r="A473" s="1" t="inlineStr">
        <is>
          <t>09Ferram</t>
        </is>
      </c>
      <c r="B473" s="163" t="inlineStr">
        <is>
          <t>10.0</t>
        </is>
      </c>
      <c r="C473" s="163" t="inlineStr">
        <is>
          <t>08.010.00</t>
        </is>
      </c>
      <c r="D473" s="163" t="n">
        <v>8205</v>
      </c>
      <c r="E473" s="163" t="n">
        <v>38</v>
      </c>
      <c r="F473" s="163" t="n">
        <v>59.61</v>
      </c>
      <c r="G473" s="163" t="n">
        <v>54.63</v>
      </c>
      <c r="H473" s="163" t="n">
        <v>46.31</v>
      </c>
      <c r="I473" s="42" t="inlineStr">
        <is>
          <t>Ferramentas manuais (incluídos os diamantes de vidraceiro) não especificadas nem compreendidas em outras posições, lamparinas ou lâmpadas de soldar (maçaricos) e semelhantes; tornos de apertar, sargentos e semelhantes, exceto os acessórios ou partes de máquinas-ferramentas; bigornas; forjas-portáteis; mós com armação, manuais ou de pedal</t>
        </is>
      </c>
      <c r="J473" s="38" t="inlineStr">
        <is>
          <t>Lei nº 1.810, art. 49, § 1º, XXIX</t>
        </is>
      </c>
      <c r="L473" s="29">
        <f>IF(D473="NCM/SH","",COUNTIF($D$5:$D$1506,D473))</f>
        <v/>
      </c>
    </row>
    <row r="474" ht="15.75" customHeight="1" thickBot="1">
      <c r="A474" s="1" t="inlineStr">
        <is>
          <t>09Ferram</t>
        </is>
      </c>
      <c r="B474" s="164" t="inlineStr">
        <is>
          <t>11.0</t>
        </is>
      </c>
      <c r="C474" s="35" t="inlineStr">
        <is>
          <t>08.011.00</t>
        </is>
      </c>
      <c r="D474" s="35" t="inlineStr">
        <is>
          <t>8206.00.00</t>
        </is>
      </c>
      <c r="E474" s="35" t="n">
        <v>38</v>
      </c>
      <c r="F474" s="35" t="n">
        <v>59.61</v>
      </c>
      <c r="G474" s="35" t="n">
        <v>54.63</v>
      </c>
      <c r="H474" s="35" t="n">
        <v>46.31</v>
      </c>
      <c r="I474" s="48" t="inlineStr">
        <is>
          <t>Ferramentas de pelo menos duas das posições 8202 a 8205, acondicionadas em sortidos para venda a retalho</t>
        </is>
      </c>
      <c r="J474" s="38" t="inlineStr">
        <is>
          <t>Lei nº 1.810, art. 49, § 1º, XXIX</t>
        </is>
      </c>
      <c r="K474" s="43" t="inlineStr">
        <is>
          <t>(Item 11.0: nova redação dada pelo Decreto nº 14.645/2016. Efeitos a partir de 1º.01.2017.)</t>
        </is>
      </c>
      <c r="L474" s="29">
        <f>IF(D474="NCM/SH","",COUNTIF($D$5:$D$1506,D474))</f>
        <v/>
      </c>
    </row>
    <row r="475" ht="14.45" customHeight="1">
      <c r="A475" s="1" t="inlineStr">
        <is>
          <t>09Ferram</t>
        </is>
      </c>
      <c r="B475" s="163" t="inlineStr">
        <is>
          <t>12.0</t>
        </is>
      </c>
      <c r="C475" s="163" t="inlineStr">
        <is>
          <t>08.012.00</t>
        </is>
      </c>
      <c r="D475" s="37" t="inlineStr">
        <is>
          <t>8207.40</t>
        </is>
      </c>
      <c r="E475" s="163" t="n">
        <v>38</v>
      </c>
      <c r="F475" s="163" t="n">
        <v>59.61</v>
      </c>
      <c r="G475" s="163" t="n">
        <v>54.63</v>
      </c>
      <c r="H475" s="163" t="n">
        <v>46.31</v>
      </c>
      <c r="I475" s="42" t="inlineStr">
        <is>
          <t>Ferramentas de roscar interior ou exteriormente; de mandrilar ou de brochar; e de fresar</t>
        </is>
      </c>
      <c r="J475" s="38" t="inlineStr">
        <is>
          <t>Lei nº 1.810, art. 49, § 1º, XXIX</t>
        </is>
      </c>
      <c r="L475" s="29">
        <f>IF(D475="NCM/SH","",COUNTIF($D$5:$D$1506,D475))</f>
        <v/>
      </c>
    </row>
    <row r="476">
      <c r="A476" s="1" t="inlineStr">
        <is>
          <t>09Ferram</t>
        </is>
      </c>
      <c r="B476" s="44" t="n">
        <v>12</v>
      </c>
      <c r="C476" s="44" t="inlineStr">
        <is>
          <t>08.012.00</t>
        </is>
      </c>
      <c r="D476" s="37" t="inlineStr">
        <is>
          <t>8207.60</t>
        </is>
      </c>
      <c r="E476" s="44" t="n">
        <v>38</v>
      </c>
      <c r="F476" s="44" t="n">
        <v>59.61</v>
      </c>
      <c r="G476" s="44" t="n">
        <v>54.63</v>
      </c>
      <c r="H476" s="44" t="n">
        <v>46.31</v>
      </c>
      <c r="I476" s="45" t="inlineStr">
        <is>
          <t>Ferramentas de roscar interior ou exteriormente; de mandrilar ou de brochar; e de fresar</t>
        </is>
      </c>
      <c r="J476" s="38" t="inlineStr">
        <is>
          <t>Lei nº 1.810, art. 49, § 1º, XXIX</t>
        </is>
      </c>
      <c r="L476" s="29">
        <f>IF(D476="NCM/SH","",COUNTIF($D$5:$D$1506,D476))</f>
        <v/>
      </c>
    </row>
    <row r="477" ht="15.75" customHeight="1" thickBot="1">
      <c r="A477" s="1" t="inlineStr">
        <is>
          <t>09Ferram</t>
        </is>
      </c>
      <c r="B477" s="164" t="n">
        <v>12</v>
      </c>
      <c r="C477" s="164" t="inlineStr">
        <is>
          <t>08.012.00</t>
        </is>
      </c>
      <c r="D477" s="35" t="inlineStr">
        <is>
          <t>8207.70</t>
        </is>
      </c>
      <c r="E477" s="164" t="n">
        <v>38</v>
      </c>
      <c r="F477" s="164" t="n">
        <v>59.61</v>
      </c>
      <c r="G477" s="164" t="n">
        <v>54.63</v>
      </c>
      <c r="H477" s="164" t="n">
        <v>46.31</v>
      </c>
      <c r="I477" s="46" t="inlineStr">
        <is>
          <t>Ferramentas de roscar interior ou exteriormente; de mandrilar ou de brochar; e de fresar</t>
        </is>
      </c>
      <c r="J477" s="93" t="inlineStr">
        <is>
          <t>Lei nº 1.810, art. 49, § 1º, XXIX</t>
        </is>
      </c>
      <c r="L477" s="29">
        <f>IF(D477="NCM/SH","",COUNTIF($D$5:$D$1506,D477))</f>
        <v/>
      </c>
    </row>
    <row r="478" ht="15.75" customHeight="1" thickBot="1">
      <c r="A478" s="1" t="inlineStr">
        <is>
          <t>09Ferram</t>
        </is>
      </c>
      <c r="B478" s="164" t="inlineStr">
        <is>
          <t>13.0</t>
        </is>
      </c>
      <c r="C478" s="35" t="inlineStr">
        <is>
          <t>08.013.00</t>
        </is>
      </c>
      <c r="D478" s="35" t="n">
        <v>8207</v>
      </c>
      <c r="E478" s="35" t="n">
        <v>38</v>
      </c>
      <c r="F478" s="35" t="n">
        <v>59.61</v>
      </c>
      <c r="G478" s="35" t="n">
        <v>54.63</v>
      </c>
      <c r="H478" s="35" t="n">
        <v>46.31</v>
      </c>
      <c r="I478" s="92" t="inlineStr">
        <is>
          <t>Outras ferramentas intercambiáveis para ferramentas manuais, mesmo mecânicas, ou para máquinas-ferramentas (por exemplo, de embutir, estampar, puncionar, furar, tornear, aparafusar), incluídas as fieiras de estiragem ou de extrusão, para metais, e as ferramentas de perfuração ou de sondagem, exceto forma ou gabarito de produtos em epoxy e as classificadas no CEST 08.012.00</t>
        </is>
      </c>
      <c r="J478" s="94" t="inlineStr">
        <is>
          <t>Lei nº 1.810, art. 49, § 1º, XXIX</t>
        </is>
      </c>
      <c r="K478" s="67" t="inlineStr">
        <is>
          <t>(Item 13.0: nova redação dada pelo Decreto nº 14.668/2017. Efeitos a partir de 1º.02.2017.)</t>
        </is>
      </c>
      <c r="L478" s="29">
        <f>IF(D478="NCM/SH","",COUNTIF($D$5:$D$1506,D478))</f>
        <v/>
      </c>
    </row>
    <row r="479" ht="15.75" customHeight="1" thickBot="1">
      <c r="A479" s="1" t="inlineStr">
        <is>
          <t>09Ferram</t>
        </is>
      </c>
      <c r="B479" s="164" t="inlineStr">
        <is>
          <t>14.0</t>
        </is>
      </c>
      <c r="C479" s="35" t="inlineStr">
        <is>
          <t>08.014.00</t>
        </is>
      </c>
      <c r="D479" s="35" t="n">
        <v>8208</v>
      </c>
      <c r="E479" s="35" t="n">
        <v>38</v>
      </c>
      <c r="F479" s="35" t="n">
        <v>59.61</v>
      </c>
      <c r="G479" s="35" t="n">
        <v>54.63</v>
      </c>
      <c r="H479" s="35" t="n">
        <v>46.31</v>
      </c>
      <c r="I479" s="48" t="inlineStr">
        <is>
          <t>Facas e lâminas cortantes, para máquinas ou para aparelhos mecânicos</t>
        </is>
      </c>
      <c r="J479" s="38" t="inlineStr">
        <is>
          <t>Lei nº 1.810, art. 49, § 1º, XXIX</t>
        </is>
      </c>
      <c r="L479" s="29">
        <f>IF(D479="NCM/SH","",COUNTIF($D$5:$D$1506,D479))</f>
        <v/>
      </c>
    </row>
    <row r="480" ht="15.75" customHeight="1" thickBot="1">
      <c r="A480" s="1" t="inlineStr">
        <is>
          <t>09Ferram</t>
        </is>
      </c>
      <c r="B480" s="164" t="inlineStr">
        <is>
          <t>15.0</t>
        </is>
      </c>
      <c r="C480" s="35" t="inlineStr">
        <is>
          <t>08.015.00</t>
        </is>
      </c>
      <c r="D480" s="35" t="inlineStr">
        <is>
          <t>8209.00.11</t>
        </is>
      </c>
      <c r="E480" s="35" t="n">
        <v>38</v>
      </c>
      <c r="F480" s="35" t="n">
        <v>59.61</v>
      </c>
      <c r="G480" s="35" t="n">
        <v>54.63</v>
      </c>
      <c r="H480" s="35" t="n">
        <v>46.31</v>
      </c>
      <c r="I480" s="48" t="inlineStr">
        <is>
          <t>Plaquetas ou pastilhas intercambiáveis</t>
        </is>
      </c>
      <c r="J480" s="38" t="inlineStr">
        <is>
          <t>Lei nº 1.810, art. 49, § 1º, XXIX</t>
        </is>
      </c>
      <c r="L480" s="29">
        <f>IF(D480="NCM/SH","",COUNTIF($D$5:$D$1506,D480))</f>
        <v/>
      </c>
    </row>
    <row r="481" ht="15.75" customHeight="1" thickBot="1">
      <c r="A481" s="1" t="inlineStr">
        <is>
          <t>09Ferram</t>
        </is>
      </c>
      <c r="B481" s="164" t="inlineStr">
        <is>
          <t>16.0</t>
        </is>
      </c>
      <c r="C481" s="35" t="inlineStr">
        <is>
          <t>08.016.00</t>
        </is>
      </c>
      <c r="D481" s="35" t="inlineStr">
        <is>
          <t>8209.00</t>
        </is>
      </c>
      <c r="E481" s="35" t="n">
        <v>38</v>
      </c>
      <c r="F481" s="35" t="n">
        <v>59.61</v>
      </c>
      <c r="G481" s="35" t="n">
        <v>54.63</v>
      </c>
      <c r="H481" s="35" t="n">
        <v>46.31</v>
      </c>
      <c r="I481" s="48" t="inlineStr">
        <is>
          <t>Outras plaquetas, varetas, pontas e objetos semelhantes para ferramentas, não montados, de ceramais ("cermets"), exceto as classificadas no CEST 08.015.00</t>
        </is>
      </c>
      <c r="J481" s="38" t="inlineStr">
        <is>
          <t>Lei nº 1.810, art. 49, § 1º, XXIX</t>
        </is>
      </c>
      <c r="K481" s="43" t="inlineStr">
        <is>
          <t>(Item 16.0: nova redação dada pelo Decreto nº 14.645/2016. Efeitos a partir de 1º.01.2017.)</t>
        </is>
      </c>
      <c r="L481" s="29">
        <f>IF(D481="NCM/SH","",COUNTIF($D$5:$D$1506,D481))</f>
        <v/>
      </c>
    </row>
    <row r="482" ht="15.75" customHeight="1" thickBot="1">
      <c r="A482" s="1" t="inlineStr">
        <is>
          <t>09Ferram</t>
        </is>
      </c>
      <c r="B482" s="164" t="inlineStr">
        <is>
          <t>17.0</t>
        </is>
      </c>
      <c r="C482" s="35" t="inlineStr">
        <is>
          <t>08.017.00</t>
        </is>
      </c>
      <c r="D482" s="35" t="n">
        <v>8211</v>
      </c>
      <c r="E482" s="35" t="n">
        <v>38</v>
      </c>
      <c r="F482" s="35" t="n">
        <v>59.61</v>
      </c>
      <c r="G482" s="35" t="n">
        <v>54.63</v>
      </c>
      <c r="H482" s="35" t="n">
        <v>46.31</v>
      </c>
      <c r="I482" s="48" t="inlineStr">
        <is>
          <t>Facas de lâmina cortante ou serrilhada, incluídas as podadeiras de lâmina móvel, e suas lâminas, exceto as de uso doméstico</t>
        </is>
      </c>
      <c r="J482" s="38" t="inlineStr">
        <is>
          <t>Lei nº 1.810, art. 49, § 1º, XXIX</t>
        </is>
      </c>
      <c r="K482" s="43" t="inlineStr">
        <is>
          <t>(Item 17.0: nova redação dada pelo Decreto nº 14.645/2016. Efeitos a partir de 1º.01.2017.)</t>
        </is>
      </c>
      <c r="L482" s="29">
        <f>IF(D482="NCM/SH","",COUNTIF($D$5:$D$1506,D482))</f>
        <v/>
      </c>
    </row>
    <row r="483" ht="15.75" customHeight="1" thickBot="1">
      <c r="A483" s="1" t="inlineStr">
        <is>
          <t>09Ferram</t>
        </is>
      </c>
      <c r="B483" s="164" t="inlineStr">
        <is>
          <t>18.0</t>
        </is>
      </c>
      <c r="C483" s="35" t="inlineStr">
        <is>
          <t>08.018.00</t>
        </is>
      </c>
      <c r="D483" s="35" t="n">
        <v>8213</v>
      </c>
      <c r="E483" s="35" t="n">
        <v>38</v>
      </c>
      <c r="F483" s="35" t="n">
        <v>59.61</v>
      </c>
      <c r="G483" s="35" t="n">
        <v>54.63</v>
      </c>
      <c r="H483" s="35" t="n">
        <v>46.31</v>
      </c>
      <c r="I483" s="48" t="inlineStr">
        <is>
          <t>Tesouras e suas lâminas</t>
        </is>
      </c>
      <c r="J483" s="163" t="inlineStr">
        <is>
          <t>Lei nº 1.810, art. 49, § 1º, XXIX</t>
        </is>
      </c>
      <c r="L483" s="29">
        <f>IF(D483="NCM/SH","",COUNTIF($D$5:$D$1506,D483))</f>
        <v/>
      </c>
    </row>
    <row r="484" ht="15.75" customHeight="1" thickBot="1">
      <c r="A484" s="1" t="inlineStr">
        <is>
          <t>09Ferram</t>
        </is>
      </c>
      <c r="B484" s="164" t="inlineStr">
        <is>
          <t>19.0</t>
        </is>
      </c>
      <c r="C484" s="35" t="inlineStr">
        <is>
          <t>08.019.00</t>
        </is>
      </c>
      <c r="D484" s="35" t="n">
        <v>8467</v>
      </c>
      <c r="E484" s="35" t="n">
        <v>38</v>
      </c>
      <c r="F484" s="35" t="n">
        <v>59.61</v>
      </c>
      <c r="G484" s="35" t="n">
        <v>54.63</v>
      </c>
      <c r="H484" s="35" t="n">
        <v>46.31</v>
      </c>
      <c r="I484" s="48" t="inlineStr">
        <is>
          <t>Ferramentas pneumáticas, hidráulicas ou com motor (elétrico ou não elétrico) incorporado, de uso manual, exceto o descrito no CEST 08.019.01</t>
        </is>
      </c>
      <c r="J484" s="44" t="inlineStr">
        <is>
          <t>Lei nº 1.810, art. 49, § 1º, XXIX</t>
        </is>
      </c>
      <c r="K484" s="43" t="inlineStr">
        <is>
          <t>(Item 19.0: nova redação dada pelo Decreto nº 14.668/2017. Efeitos a partir de 1º.02.2017.)</t>
        </is>
      </c>
      <c r="L484" s="29">
        <f>IF(D484="NCM/SH","",COUNTIF($D$5:$D$1506,D484))</f>
        <v/>
      </c>
    </row>
    <row r="485" ht="15.75" customHeight="1" thickBot="1">
      <c r="A485" s="1" t="inlineStr">
        <is>
          <t>09Ferram</t>
        </is>
      </c>
      <c r="B485" s="46" t="inlineStr">
        <is>
          <t>19.1</t>
        </is>
      </c>
      <c r="C485" s="48" t="inlineStr">
        <is>
          <t>08.019.01</t>
        </is>
      </c>
      <c r="D485" s="48" t="inlineStr">
        <is>
          <t>8467.81.00</t>
        </is>
      </c>
      <c r="E485" s="48" t="n">
        <v>38</v>
      </c>
      <c r="F485" s="48" t="n">
        <v>59.61</v>
      </c>
      <c r="G485" s="48" t="n">
        <v>54.63</v>
      </c>
      <c r="H485" s="48" t="n">
        <v>46.31</v>
      </c>
      <c r="I485" s="48" t="inlineStr">
        <is>
          <t>Motosserras portáteis de corrente, com motor incorporado, não elétrico, de uso agrícola</t>
        </is>
      </c>
      <c r="J485" s="44" t="inlineStr">
        <is>
          <t>Lei nº 1.810, art. 49, § 1º, XXIX</t>
        </is>
      </c>
      <c r="K485" s="43" t="inlineStr">
        <is>
          <t>(Item 19.1: acrescentado pelo Decreto nº 14.668/2017. Efeitos a partir de 1º.02.2017.)</t>
        </is>
      </c>
      <c r="L485" s="29">
        <f>IF(D485="NCM/SH","",COUNTIF($D$5:$D$1506,D485))</f>
        <v/>
      </c>
    </row>
    <row r="486" ht="15.75" customHeight="1" thickBot="1">
      <c r="A486" s="1" t="inlineStr">
        <is>
          <t>09Ferram</t>
        </is>
      </c>
      <c r="B486" s="164" t="inlineStr">
        <is>
          <t>20.0</t>
        </is>
      </c>
      <c r="C486" s="35" t="inlineStr">
        <is>
          <t>08.020.00</t>
        </is>
      </c>
      <c r="D486" s="35" t="n">
        <v>9015</v>
      </c>
      <c r="E486" s="35" t="n">
        <v>38</v>
      </c>
      <c r="F486" s="35" t="n">
        <v>59.61</v>
      </c>
      <c r="G486" s="35" t="n">
        <v>54.63</v>
      </c>
      <c r="H486" s="35" t="n">
        <v>46.31</v>
      </c>
      <c r="I486" s="48" t="inlineStr">
        <is>
          <t>Instrumentos e aparelhos de geodésia, topografia, agrimensura, nivelamento, fotogrametria, hidrografia, oceanografia, hidrologia, meteorologia ou de geofísica, exceto bussolas; telêmetros</t>
        </is>
      </c>
      <c r="J486" s="44" t="inlineStr">
        <is>
          <t>Lei nº 1.810, art. 49, § 1º, XXIX</t>
        </is>
      </c>
      <c r="L486" s="29">
        <f>IF(D486="NCM/SH","",COUNTIF($D$5:$D$1506,D486))</f>
        <v/>
      </c>
    </row>
    <row r="487" ht="14.45" customHeight="1">
      <c r="A487" s="1" t="inlineStr">
        <is>
          <t>09Ferram</t>
        </is>
      </c>
      <c r="B487" s="163" t="inlineStr">
        <is>
          <t>21.0</t>
        </is>
      </c>
      <c r="C487" s="163" t="inlineStr">
        <is>
          <t>08.021.00</t>
        </is>
      </c>
      <c r="D487" s="37" t="inlineStr">
        <is>
          <t>9017.20.00</t>
        </is>
      </c>
      <c r="E487" s="163" t="n">
        <v>38</v>
      </c>
      <c r="F487" s="163" t="n">
        <v>59.61</v>
      </c>
      <c r="G487" s="163" t="n">
        <v>54.63</v>
      </c>
      <c r="H487" s="163" t="n">
        <v>46.31</v>
      </c>
      <c r="I487" s="42" t="inlineStr">
        <is>
          <t>Instrumentos de desenho, de traçado ou de cálculo; metros, micrômetros, paquímetros, calibres e semelhantes; partes e acessórios</t>
        </is>
      </c>
      <c r="J487" s="44" t="inlineStr">
        <is>
          <t>Lei nº 1.810, art. 49, § 1º, XXIX</t>
        </is>
      </c>
      <c r="L487" s="29">
        <f>IF(D487="NCM/SH","",COUNTIF($D$5:$D$1506,D487))</f>
        <v/>
      </c>
    </row>
    <row r="488">
      <c r="A488" s="1" t="inlineStr">
        <is>
          <t>09Ferram</t>
        </is>
      </c>
      <c r="B488" s="44" t="n">
        <v>21</v>
      </c>
      <c r="C488" s="44" t="inlineStr">
        <is>
          <t>08.021.00</t>
        </is>
      </c>
      <c r="D488" s="37" t="inlineStr">
        <is>
          <t>9017.30</t>
        </is>
      </c>
      <c r="E488" s="44" t="n">
        <v>38</v>
      </c>
      <c r="F488" s="44" t="n">
        <v>59.61</v>
      </c>
      <c r="G488" s="44" t="n">
        <v>54.63</v>
      </c>
      <c r="H488" s="44" t="n">
        <v>46.31</v>
      </c>
      <c r="I488" s="45" t="inlineStr">
        <is>
          <t>Instrumentos de desenho, de traçado ou de cálculo; metros, micrômetros, paquímetros, calibres e semelhantes; partes e acessórios</t>
        </is>
      </c>
      <c r="J488" s="44" t="inlineStr">
        <is>
          <t>Lei nº 1.810, art. 49, § 1º, XXIX</t>
        </is>
      </c>
      <c r="L488" s="29">
        <f>IF(D488="NCM/SH","",COUNTIF($D$5:$D$1506,D488))</f>
        <v/>
      </c>
    </row>
    <row r="489">
      <c r="A489" s="1" t="inlineStr">
        <is>
          <t>09Ferram</t>
        </is>
      </c>
      <c r="B489" s="44" t="n">
        <v>21</v>
      </c>
      <c r="C489" s="44" t="inlineStr">
        <is>
          <t>08.021.00</t>
        </is>
      </c>
      <c r="D489" s="37" t="inlineStr">
        <is>
          <t>9017.80</t>
        </is>
      </c>
      <c r="E489" s="44" t="n">
        <v>38</v>
      </c>
      <c r="F489" s="44" t="n">
        <v>59.61</v>
      </c>
      <c r="G489" s="44" t="n">
        <v>54.63</v>
      </c>
      <c r="H489" s="44" t="n">
        <v>46.31</v>
      </c>
      <c r="I489" s="45" t="inlineStr">
        <is>
          <t>Instrumentos de desenho, de traçado ou de cálculo; metros, micrômetros, paquímetros, calibres e semelhantes; partes e acessórios</t>
        </is>
      </c>
      <c r="J489" s="44" t="inlineStr">
        <is>
          <t>Lei nº 1.810, art. 49, § 1º, XXIX</t>
        </is>
      </c>
      <c r="L489" s="29">
        <f>IF(D489="NCM/SH","",COUNTIF($D$5:$D$1506,D489))</f>
        <v/>
      </c>
    </row>
    <row r="490" ht="15.75" customHeight="1" thickBot="1">
      <c r="A490" s="1" t="inlineStr">
        <is>
          <t>09Ferram</t>
        </is>
      </c>
      <c r="B490" s="164" t="n">
        <v>21</v>
      </c>
      <c r="C490" s="164" t="inlineStr">
        <is>
          <t>08.021.00</t>
        </is>
      </c>
      <c r="D490" s="35" t="inlineStr">
        <is>
          <t>9017.90.90</t>
        </is>
      </c>
      <c r="E490" s="164" t="n">
        <v>38</v>
      </c>
      <c r="F490" s="164" t="n">
        <v>59.61</v>
      </c>
      <c r="G490" s="164" t="n">
        <v>54.63</v>
      </c>
      <c r="H490" s="164" t="n">
        <v>46.31</v>
      </c>
      <c r="I490" s="46" t="inlineStr">
        <is>
          <t>Instrumentos de desenho, de traçado ou de cálculo; metros, micrômetros, paquímetros, calibres e semelhantes; partes e acessórios</t>
        </is>
      </c>
      <c r="J490" s="44" t="inlineStr">
        <is>
          <t>Lei nº 1.810, art. 49, § 1º, XXIX</t>
        </is>
      </c>
      <c r="L490" s="29">
        <f>IF(D490="NCM/SH","",COUNTIF($D$5:$D$1506,D490))</f>
        <v/>
      </c>
    </row>
    <row r="491">
      <c r="A491" s="1" t="inlineStr">
        <is>
          <t>09Ferram</t>
        </is>
      </c>
      <c r="B491" s="163" t="inlineStr">
        <is>
          <t>22.0</t>
        </is>
      </c>
      <c r="C491" s="163" t="inlineStr">
        <is>
          <t>08.022.00</t>
        </is>
      </c>
      <c r="D491" s="37" t="inlineStr">
        <is>
          <t>9025.11.90</t>
        </is>
      </c>
      <c r="E491" s="163" t="n">
        <v>38</v>
      </c>
      <c r="F491" s="163" t="n">
        <v>59.61</v>
      </c>
      <c r="G491" s="163" t="n">
        <v>54.63</v>
      </c>
      <c r="H491" s="163" t="n">
        <v>46.31</v>
      </c>
      <c r="I491" s="42" t="inlineStr">
        <is>
          <t>Termômetros, suas partes e acessórios</t>
        </is>
      </c>
      <c r="J491" s="44" t="inlineStr">
        <is>
          <t>Lei nº 1.810, art. 49, § 1º, XXIX</t>
        </is>
      </c>
      <c r="L491" s="29">
        <f>IF(D491="NCM/SH","",COUNTIF($D$5:$D$1506,D491))</f>
        <v/>
      </c>
    </row>
    <row r="492" ht="15.75" customHeight="1" thickBot="1">
      <c r="A492" s="1" t="inlineStr">
        <is>
          <t>09Ferram</t>
        </is>
      </c>
      <c r="B492" s="164" t="n">
        <v>22</v>
      </c>
      <c r="C492" s="164" t="inlineStr">
        <is>
          <t>08.022.00</t>
        </is>
      </c>
      <c r="D492" s="35" t="inlineStr">
        <is>
          <t>9025.90.10</t>
        </is>
      </c>
      <c r="E492" s="164" t="n">
        <v>38</v>
      </c>
      <c r="F492" s="164" t="n">
        <v>59.61</v>
      </c>
      <c r="G492" s="164" t="n">
        <v>54.63</v>
      </c>
      <c r="H492" s="164" t="n">
        <v>46.31</v>
      </c>
      <c r="I492" s="46" t="inlineStr">
        <is>
          <t>Termômetros, suas partes e acessórios</t>
        </is>
      </c>
      <c r="J492" s="44" t="inlineStr">
        <is>
          <t>Lei nº 1.810, art. 49, § 1º, XXIX</t>
        </is>
      </c>
      <c r="L492" s="29">
        <f>IF(D492="NCM/SH","",COUNTIF($D$5:$D$1506,D492))</f>
        <v/>
      </c>
    </row>
    <row r="493">
      <c r="A493" s="1" t="inlineStr">
        <is>
          <t>09Ferram</t>
        </is>
      </c>
      <c r="B493" s="163" t="inlineStr">
        <is>
          <t>23.0</t>
        </is>
      </c>
      <c r="C493" s="163" t="inlineStr">
        <is>
          <t>08.023.00</t>
        </is>
      </c>
      <c r="D493" s="37" t="inlineStr">
        <is>
          <t>9025.19</t>
        </is>
      </c>
      <c r="E493" s="163" t="n">
        <v>38</v>
      </c>
      <c r="F493" s="163" t="n">
        <v>59.61</v>
      </c>
      <c r="G493" s="163" t="n">
        <v>54.63</v>
      </c>
      <c r="H493" s="163" t="n">
        <v>46.31</v>
      </c>
      <c r="I493" s="42" t="inlineStr">
        <is>
          <t>Pirômetros, suas partes e acessórios</t>
        </is>
      </c>
      <c r="J493" s="44" t="inlineStr">
        <is>
          <t>Lei nº 1.810, art. 49, § 1º, XXIX</t>
        </is>
      </c>
      <c r="L493" s="29">
        <f>IF(D493="NCM/SH","",COUNTIF($D$5:$D$1506,D493))</f>
        <v/>
      </c>
    </row>
    <row r="494" ht="15.75" customHeight="1" thickBot="1">
      <c r="A494" s="1" t="inlineStr">
        <is>
          <t>09Ferram</t>
        </is>
      </c>
      <c r="B494" s="164" t="n">
        <v>23</v>
      </c>
      <c r="C494" s="164" t="inlineStr">
        <is>
          <t>08.023.00</t>
        </is>
      </c>
      <c r="D494" s="35" t="inlineStr">
        <is>
          <t>9025.90.90</t>
        </is>
      </c>
      <c r="E494" s="164" t="n">
        <v>38</v>
      </c>
      <c r="F494" s="164" t="n">
        <v>59.61</v>
      </c>
      <c r="G494" s="164" t="n">
        <v>54.63</v>
      </c>
      <c r="H494" s="164" t="n">
        <v>46.31</v>
      </c>
      <c r="I494" s="46" t="inlineStr">
        <is>
          <t>Pirômetros, suas partes e acessórios</t>
        </is>
      </c>
      <c r="J494" s="164" t="inlineStr">
        <is>
          <t>Lei nº 1.810, art. 49, § 1º, XXIX</t>
        </is>
      </c>
      <c r="L494" s="29">
        <f>IF(D494="NCM/SH","",COUNTIF($D$5:$D$1506,D494))</f>
        <v/>
      </c>
    </row>
    <row r="495">
      <c r="B495" s="77" t="n"/>
      <c r="L495" s="29">
        <f>IF(D495="NCM/SH","",COUNTIF($D$5:$D$1506,D495))</f>
        <v/>
      </c>
    </row>
    <row r="496">
      <c r="B496" s="28" t="n"/>
      <c r="L496" s="29">
        <f>IF(D496="NCM/SH","",COUNTIF($D$5:$D$1506,D496))</f>
        <v/>
      </c>
    </row>
    <row r="497" ht="15.75" customHeight="1" thickBot="1">
      <c r="A497" s="1" t="inlineStr">
        <is>
          <t>10Lampada</t>
        </is>
      </c>
      <c r="B497" s="28" t="inlineStr">
        <is>
          <t>Tabela X</t>
        </is>
      </c>
      <c r="C497" s="28" t="inlineStr">
        <is>
          <t>LÂMPADAS, REATORES E “STARTER”</t>
        </is>
      </c>
      <c r="D497" s="62" t="n"/>
      <c r="E497" s="62" t="n"/>
      <c r="F497" s="62" t="n"/>
      <c r="G497" s="62" t="n"/>
      <c r="H497" s="62" t="n"/>
      <c r="L497" s="29">
        <f>IF(D497="NCM/SH","",COUNTIF($D$5:$D$1506,D497))</f>
        <v/>
      </c>
    </row>
    <row r="498" ht="15" customHeight="1" thickBot="1">
      <c r="A498" s="1" t="inlineStr">
        <is>
          <t>10Lampada</t>
        </is>
      </c>
      <c r="B498" s="163" t="inlineStr">
        <is>
          <t>ITEM</t>
        </is>
      </c>
      <c r="C498" s="163" t="inlineStr">
        <is>
          <t>CEST</t>
        </is>
      </c>
      <c r="D498" s="163" t="inlineStr">
        <is>
          <t>NCM/SH</t>
        </is>
      </c>
      <c r="E498" s="165" t="inlineStr">
        <is>
          <t>MARGEM DE VALOR AGREGADO</t>
        </is>
      </c>
      <c r="F498" s="166" t="n"/>
      <c r="G498" s="166" t="n"/>
      <c r="H498" s="167" t="n"/>
      <c r="I498" s="163" t="inlineStr">
        <is>
          <t xml:space="preserve">DESCRIÇÃO </t>
        </is>
      </c>
      <c r="J498" s="163" t="inlineStr">
        <is>
          <t>DISPOSITIVO LEGAL</t>
        </is>
      </c>
      <c r="L498" s="29">
        <f>IF(D498="NCM/SH","",COUNTIF($D$5:$D$1506,D498))</f>
        <v/>
      </c>
    </row>
    <row r="499" ht="15.75" customHeight="1" thickBot="1">
      <c r="A499" s="1" t="inlineStr">
        <is>
          <t>10Lampada</t>
        </is>
      </c>
      <c r="B499" s="164" t="inlineStr">
        <is>
          <t>ITEM</t>
        </is>
      </c>
      <c r="C499" s="164" t="inlineStr">
        <is>
          <t>CEST</t>
        </is>
      </c>
      <c r="D499" s="164" t="inlineStr">
        <is>
          <t>NCM/SH</t>
        </is>
      </c>
      <c r="E499" s="35" t="inlineStr">
        <is>
          <t>Oper. interna</t>
        </is>
      </c>
      <c r="F499" s="167" t="inlineStr">
        <is>
          <t>Alíq. 4%</t>
        </is>
      </c>
      <c r="G499" s="167" t="inlineStr">
        <is>
          <t>Alíq. 7%</t>
        </is>
      </c>
      <c r="H499" s="167" t="inlineStr">
        <is>
          <t>Alíq. 12%</t>
        </is>
      </c>
      <c r="I499" s="164" t="inlineStr">
        <is>
          <t xml:space="preserve">DESCRIÇÃO </t>
        </is>
      </c>
      <c r="J499" s="164" t="inlineStr">
        <is>
          <t>DISPOSITIVO LEGAL</t>
        </is>
      </c>
      <c r="L499" s="29">
        <f>IF(D499="NCM/SH","",COUNTIF($D$5:$D$1506,D499))</f>
        <v/>
      </c>
    </row>
    <row r="500" ht="15.75" customHeight="1" thickBot="1">
      <c r="A500" s="1" t="inlineStr">
        <is>
          <t>10Lampada</t>
        </is>
      </c>
      <c r="B500" s="164" t="inlineStr">
        <is>
          <t>1.0</t>
        </is>
      </c>
      <c r="C500" s="35" t="inlineStr">
        <is>
          <t>09.001.00</t>
        </is>
      </c>
      <c r="D500" s="35" t="n">
        <v>8539</v>
      </c>
      <c r="E500" s="48" t="n">
        <v>60.03</v>
      </c>
      <c r="F500" s="48" t="n">
        <v>85.09</v>
      </c>
      <c r="G500" s="48" t="n">
        <v>79.31</v>
      </c>
      <c r="H500" s="48" t="n">
        <v>69.67</v>
      </c>
      <c r="I500" s="35" t="inlineStr">
        <is>
          <t>Lâmpadas elétricas</t>
        </is>
      </c>
      <c r="J500" s="38" t="inlineStr">
        <is>
          <t>Lei nº 1.810/97, art. 49,</t>
        </is>
      </c>
      <c r="L500" s="29">
        <f>IF(D500="NCM/SH","",COUNTIF($D$5:$D$1506,D500))</f>
        <v/>
      </c>
    </row>
    <row r="501" ht="15.75" customHeight="1" thickBot="1">
      <c r="A501" s="1" t="inlineStr">
        <is>
          <t>10Lampada</t>
        </is>
      </c>
      <c r="B501" s="164" t="inlineStr">
        <is>
          <t>2.0</t>
        </is>
      </c>
      <c r="C501" s="35" t="inlineStr">
        <is>
          <t>09.002.00</t>
        </is>
      </c>
      <c r="D501" s="35" t="n">
        <v>8540</v>
      </c>
      <c r="E501" s="48" t="n">
        <v>102.31</v>
      </c>
      <c r="F501" s="48" t="n">
        <v>134</v>
      </c>
      <c r="G501" s="48" t="n">
        <v>126.68</v>
      </c>
      <c r="H501" s="48" t="n">
        <v>114.5</v>
      </c>
      <c r="I501" s="35" t="inlineStr">
        <is>
          <t>Lâmpadas eletrônicas</t>
        </is>
      </c>
      <c r="J501" s="38" t="inlineStr">
        <is>
          <t>§ 1º, XV, Protocolo ICMS 17/85 (Dispositivo Legal: acrescentado pelo Decreto nº 15.295/2019. Efeitos a partir de 09.10.2019.)</t>
        </is>
      </c>
      <c r="L501" s="29">
        <f>IF(D501="NCM/SH","",COUNTIF($D$5:$D$1506,D501))</f>
        <v/>
      </c>
    </row>
    <row r="502" ht="15.75" customHeight="1" thickBot="1">
      <c r="A502" s="1" t="inlineStr">
        <is>
          <t>10Lampada</t>
        </is>
      </c>
      <c r="B502" s="164" t="inlineStr">
        <is>
          <t>3.0</t>
        </is>
      </c>
      <c r="C502" s="35" t="inlineStr">
        <is>
          <t>09.003.00</t>
        </is>
      </c>
      <c r="D502" s="35" t="inlineStr">
        <is>
          <t xml:space="preserve">8504.10.00 </t>
        </is>
      </c>
      <c r="E502" s="48" t="n">
        <v>53.13</v>
      </c>
      <c r="F502" s="48" t="n">
        <v>77.11</v>
      </c>
      <c r="G502" s="48" t="n">
        <v>71.58</v>
      </c>
      <c r="H502" s="48" t="n">
        <v>62.35</v>
      </c>
      <c r="I502" s="35" t="inlineStr">
        <is>
          <t xml:space="preserve">Reatores para lâmpadas ou tubos de descargas </t>
        </is>
      </c>
      <c r="J502" s="40" t="inlineStr">
        <is>
          <t>§ 1º, XV, Protocolo ICMS 17/85 (Dispositivo Legal: acrescentado pelo Decreto nº 15.295/2019. Efeitos a partir de 09.10.2019.)</t>
        </is>
      </c>
      <c r="L502" s="29">
        <f>IF(D502="NCM/SH","",COUNTIF($D$5:$D$1506,D502))</f>
        <v/>
      </c>
    </row>
    <row r="503" ht="15.75" customHeight="1" thickBot="1">
      <c r="A503" s="1" t="inlineStr">
        <is>
          <t>10Lampada</t>
        </is>
      </c>
      <c r="B503" s="164" t="inlineStr">
        <is>
          <t>4.0</t>
        </is>
      </c>
      <c r="C503" s="35" t="inlineStr">
        <is>
          <t>09.004.00</t>
        </is>
      </c>
      <c r="D503" s="35" t="inlineStr">
        <is>
          <t xml:space="preserve">8536.50 </t>
        </is>
      </c>
      <c r="E503" s="48" t="n">
        <v>102.31</v>
      </c>
      <c r="F503" s="48" t="n">
        <v>134</v>
      </c>
      <c r="G503" s="48" t="n">
        <v>126.68</v>
      </c>
      <c r="H503" s="48" t="n">
        <v>114.5</v>
      </c>
      <c r="I503" s="35" t="inlineStr">
        <is>
          <t xml:space="preserve">“Starter” </t>
        </is>
      </c>
      <c r="J503" s="40" t="inlineStr">
        <is>
          <t>§ 1º, XV, Protocolo ICMS 17/85 (Dispositivo Legal: acrescentado pelo Decreto nº 15.295/2019. Efeitos a partir de 09.10.2019.)</t>
        </is>
      </c>
      <c r="L503" s="29">
        <f>IF(D503="NCM/SH","",COUNTIF($D$5:$D$1506,D503))</f>
        <v/>
      </c>
    </row>
    <row r="504" ht="15.75" customHeight="1" thickBot="1">
      <c r="A504" s="1" t="inlineStr">
        <is>
          <t>10Lampada</t>
        </is>
      </c>
      <c r="B504" s="164" t="inlineStr">
        <is>
          <t>5.0</t>
        </is>
      </c>
      <c r="C504" s="35" t="inlineStr">
        <is>
          <t>09.005.00</t>
        </is>
      </c>
      <c r="D504" s="35" t="inlineStr">
        <is>
          <t xml:space="preserve">8539.52.00 </t>
        </is>
      </c>
      <c r="E504" s="48" t="n">
        <v>63.67</v>
      </c>
      <c r="F504" s="48" t="n">
        <v>89.31</v>
      </c>
      <c r="G504" s="48" t="n">
        <v>83.39</v>
      </c>
      <c r="H504" s="48" t="n">
        <v>73.53</v>
      </c>
      <c r="I504" s="35" t="inlineStr">
        <is>
          <t>Lâmpadas de LED (Diodos Emissores de Luz) ” (NR)</t>
        </is>
      </c>
      <c r="J504" s="40" t="inlineStr">
        <is>
          <t>§ 1º, XV, Protocolo ICMS 17/85 (Dispositivo Legal: acrescentado pelo Decreto nº 15.295/2019. Efeitos a partir de 09.10.2019.)</t>
        </is>
      </c>
      <c r="K504" s="47" t="inlineStr">
        <is>
          <t>(Item 5.0: nova redação dada pelo Decreto nº 16.011/2022. Efeitos a partir de 16.08.2022.)</t>
        </is>
      </c>
      <c r="L504" s="29">
        <f>IF(D504="NCM/SH","",COUNTIF($D$5:$D$1506,D504))</f>
        <v/>
      </c>
    </row>
    <row r="505" ht="15" customHeight="1" thickBot="1">
      <c r="C505" s="95" t="n"/>
      <c r="D505" s="95" t="n"/>
      <c r="E505" s="95" t="n"/>
      <c r="F505" s="95" t="n"/>
      <c r="G505" s="95" t="n"/>
      <c r="H505" s="95" t="n"/>
      <c r="I505" s="96" t="n"/>
      <c r="J505" s="41" t="n"/>
      <c r="L505" s="29">
        <f>IF(D505="NCM/SH","",COUNTIF($D$5:$D$1506,D505))</f>
        <v/>
      </c>
    </row>
    <row r="506">
      <c r="B506" s="31" t="n"/>
      <c r="L506" s="29">
        <f>IF(D506="NCM/SH","",COUNTIF($D$5:$D$1506,D506))</f>
        <v/>
      </c>
    </row>
    <row r="507">
      <c r="B507" s="31" t="n"/>
      <c r="L507" s="29">
        <f>IF(D507="NCM/SH","",COUNTIF($D$5:$D$1506,D507))</f>
        <v/>
      </c>
    </row>
    <row r="508" ht="15.75" customHeight="1" thickBot="1">
      <c r="A508" s="1" t="inlineStr">
        <is>
          <t>11Constr</t>
        </is>
      </c>
      <c r="B508" s="28" t="inlineStr">
        <is>
          <t>Tabela XI</t>
        </is>
      </c>
      <c r="C508" s="28" t="inlineStr">
        <is>
          <t>MATERIAIS DE CONSTRUÇÃO E CONGÊNERES</t>
        </is>
      </c>
      <c r="D508" s="62" t="n"/>
      <c r="E508" s="62" t="n"/>
      <c r="F508" s="62" t="n"/>
      <c r="G508" s="62" t="n"/>
      <c r="H508" s="62" t="n"/>
      <c r="L508" s="29">
        <f>IF(D508="NCM/SH","",COUNTIF($D$5:$D$1506,D508))</f>
        <v/>
      </c>
    </row>
    <row r="509" ht="15" customHeight="1" thickBot="1">
      <c r="A509" s="1" t="inlineStr">
        <is>
          <t>11Constr</t>
        </is>
      </c>
      <c r="B509" s="163" t="inlineStr">
        <is>
          <t>ITEM</t>
        </is>
      </c>
      <c r="C509" s="163" t="inlineStr">
        <is>
          <t>CEST</t>
        </is>
      </c>
      <c r="D509" s="163" t="inlineStr">
        <is>
          <t>NCM/SH</t>
        </is>
      </c>
      <c r="E509" s="165" t="inlineStr">
        <is>
          <t>MARGEM DE VALOR AGREGADO</t>
        </is>
      </c>
      <c r="F509" s="166" t="n"/>
      <c r="G509" s="166" t="n"/>
      <c r="H509" s="167" t="n"/>
      <c r="I509" s="163" t="inlineStr">
        <is>
          <t xml:space="preserve">DESCRIÇÃO </t>
        </is>
      </c>
      <c r="J509" s="163" t="inlineStr">
        <is>
          <t>DISPOSITIVO LEGAL</t>
        </is>
      </c>
      <c r="L509" s="29">
        <f>IF(D509="NCM/SH","",COUNTIF($D$5:$D$1506,D509))</f>
        <v/>
      </c>
    </row>
    <row r="510" ht="15.75" customHeight="1" thickBot="1">
      <c r="A510" s="1" t="inlineStr">
        <is>
          <t>11Constr</t>
        </is>
      </c>
      <c r="B510" s="164" t="inlineStr">
        <is>
          <t>ITEM</t>
        </is>
      </c>
      <c r="C510" s="164" t="inlineStr">
        <is>
          <t>CEST</t>
        </is>
      </c>
      <c r="D510" s="164" t="inlineStr">
        <is>
          <t>NCM/SH</t>
        </is>
      </c>
      <c r="E510" s="35" t="inlineStr">
        <is>
          <t>Oper. interna</t>
        </is>
      </c>
      <c r="F510" s="167" t="inlineStr">
        <is>
          <t>Alíq. 4%</t>
        </is>
      </c>
      <c r="G510" s="167" t="inlineStr">
        <is>
          <t>Alíq. 7%</t>
        </is>
      </c>
      <c r="H510" s="167" t="inlineStr">
        <is>
          <t>Alíq. 12%</t>
        </is>
      </c>
      <c r="I510" s="164" t="inlineStr">
        <is>
          <t xml:space="preserve">DESCRIÇÃO </t>
        </is>
      </c>
      <c r="J510" s="164" t="inlineStr">
        <is>
          <t>DISPOSITIVO LEGAL</t>
        </is>
      </c>
      <c r="L510" s="29">
        <f>IF(D510="NCM/SH","",COUNTIF($D$5:$D$1506,D510))</f>
        <v/>
      </c>
    </row>
    <row r="511" ht="15.75" customHeight="1" thickBot="1">
      <c r="A511" s="1" t="inlineStr">
        <is>
          <t>11Constr</t>
        </is>
      </c>
      <c r="B511" s="164" t="inlineStr">
        <is>
          <t>1.0</t>
        </is>
      </c>
      <c r="C511" s="35" t="inlineStr">
        <is>
          <t>10.001.00</t>
        </is>
      </c>
      <c r="D511" s="35" t="n">
        <v>2522</v>
      </c>
      <c r="E511" s="35" t="n">
        <v>38</v>
      </c>
      <c r="F511" s="35" t="n">
        <v>59.61</v>
      </c>
      <c r="G511" s="35" t="n">
        <v>54.63</v>
      </c>
      <c r="H511" s="35" t="n">
        <v>46.31</v>
      </c>
      <c r="I511" s="35" t="inlineStr">
        <is>
          <t>Cal</t>
        </is>
      </c>
      <c r="J511" s="38" t="inlineStr">
        <is>
          <t>Lei nº 1.810, art. 49, § 1º, XXIX</t>
        </is>
      </c>
      <c r="L511" s="29">
        <f>IF(D511="NCM/SH","",COUNTIF($D$5:$D$1506,D511))</f>
        <v/>
      </c>
    </row>
    <row r="512">
      <c r="A512" s="1" t="inlineStr">
        <is>
          <t>11Constr</t>
        </is>
      </c>
      <c r="B512" s="163" t="inlineStr">
        <is>
          <t>2.0</t>
        </is>
      </c>
      <c r="C512" s="163" t="inlineStr">
        <is>
          <t>10.002.00</t>
        </is>
      </c>
      <c r="D512" s="37" t="inlineStr">
        <is>
          <t>3816.00.1</t>
        </is>
      </c>
      <c r="E512" s="163" t="n">
        <v>38</v>
      </c>
      <c r="F512" s="163" t="n">
        <v>59.61</v>
      </c>
      <c r="G512" s="163" t="n">
        <v>54.63</v>
      </c>
      <c r="H512" s="163" t="n">
        <v>46.31</v>
      </c>
      <c r="I512" s="163" t="inlineStr">
        <is>
          <t>Argamassas</t>
        </is>
      </c>
      <c r="J512" s="38" t="inlineStr">
        <is>
          <t>Lei nº 1.810, art. 49, § 1º, XXIX</t>
        </is>
      </c>
      <c r="L512" s="29">
        <f>IF(D512="NCM/SH","",COUNTIF($D$5:$D$1506,D512))</f>
        <v/>
      </c>
    </row>
    <row r="513" ht="15.75" customHeight="1" thickBot="1">
      <c r="A513" s="1" t="inlineStr">
        <is>
          <t>11Constr</t>
        </is>
      </c>
      <c r="B513" s="164" t="n">
        <v>2</v>
      </c>
      <c r="C513" s="164" t="inlineStr">
        <is>
          <t>10.002.00</t>
        </is>
      </c>
      <c r="D513" s="35" t="inlineStr">
        <is>
          <t>3824.50.00</t>
        </is>
      </c>
      <c r="E513" s="164" t="n">
        <v>38</v>
      </c>
      <c r="F513" s="164" t="n">
        <v>59.61</v>
      </c>
      <c r="G513" s="164" t="n">
        <v>54.63</v>
      </c>
      <c r="H513" s="164" t="n">
        <v>46.31</v>
      </c>
      <c r="I513" s="164" t="inlineStr">
        <is>
          <t>Argamassas</t>
        </is>
      </c>
      <c r="J513" s="37" t="inlineStr">
        <is>
          <t>Lei nº 1.810, art. 49, § 1º, XXIX</t>
        </is>
      </c>
      <c r="L513" s="29">
        <f>IF(D513="NCM/SH","",COUNTIF($D$5:$D$1506,D513))</f>
        <v/>
      </c>
    </row>
    <row r="514" ht="15.75" customHeight="1" thickBot="1">
      <c r="A514" s="1" t="inlineStr">
        <is>
          <t>11Constr</t>
        </is>
      </c>
      <c r="B514" s="164" t="inlineStr">
        <is>
          <t>3.0</t>
        </is>
      </c>
      <c r="C514" s="35" t="inlineStr">
        <is>
          <t>10.003.00</t>
        </is>
      </c>
      <c r="D514" s="35" t="inlineStr">
        <is>
          <t>3214.90.00</t>
        </is>
      </c>
      <c r="E514" s="35" t="n">
        <v>38</v>
      </c>
      <c r="F514" s="35" t="n">
        <v>59.61</v>
      </c>
      <c r="G514" s="35" t="n">
        <v>54.63</v>
      </c>
      <c r="H514" s="35" t="n">
        <v>46.31</v>
      </c>
      <c r="I514" s="35" t="inlineStr">
        <is>
          <t>Outras argamassas</t>
        </is>
      </c>
      <c r="J514" s="40" t="inlineStr">
        <is>
          <t>Lei nº 1.810, art. 49, § 1º, XXIX</t>
        </is>
      </c>
      <c r="L514" s="29">
        <f>IF(D514="NCM/SH","",COUNTIF($D$5:$D$1506,D514))</f>
        <v/>
      </c>
    </row>
    <row r="515" ht="15.75" customHeight="1" thickBot="1">
      <c r="A515" s="1" t="inlineStr">
        <is>
          <t>11Constr</t>
        </is>
      </c>
      <c r="B515" s="164" t="inlineStr">
        <is>
          <t>4.0</t>
        </is>
      </c>
      <c r="C515" s="35" t="inlineStr">
        <is>
          <t>10.004.00</t>
        </is>
      </c>
      <c r="D515" s="35" t="inlineStr">
        <is>
          <t>3910.00</t>
        </is>
      </c>
      <c r="E515" s="35" t="n">
        <v>38</v>
      </c>
      <c r="F515" s="35" t="n">
        <v>59.61</v>
      </c>
      <c r="G515" s="35" t="n">
        <v>54.63</v>
      </c>
      <c r="H515" s="35" t="n">
        <v>46.31</v>
      </c>
      <c r="I515" s="35" t="inlineStr">
        <is>
          <t xml:space="preserve">Silicones em formas primárias, para uso na construção </t>
        </is>
      </c>
      <c r="J515" s="40" t="inlineStr">
        <is>
          <t>Lei nº 1.810, art. 49, § 1º, XXIX</t>
        </is>
      </c>
      <c r="L515" s="29">
        <f>IF(D515="NCM/SH","",COUNTIF($D$5:$D$1506,D515))</f>
        <v/>
      </c>
    </row>
    <row r="516" ht="15.75" customHeight="1" thickBot="1">
      <c r="A516" s="1" t="inlineStr">
        <is>
          <t>11Constr</t>
        </is>
      </c>
      <c r="B516" s="164" t="inlineStr">
        <is>
          <t>5.0</t>
        </is>
      </c>
      <c r="C516" s="35" t="inlineStr">
        <is>
          <t>10.005.00</t>
        </is>
      </c>
      <c r="D516" s="35" t="n">
        <v>3916</v>
      </c>
      <c r="E516" s="35" t="n">
        <v>38</v>
      </c>
      <c r="F516" s="35" t="n">
        <v>59.61</v>
      </c>
      <c r="G516" s="35" t="n">
        <v>54.63</v>
      </c>
      <c r="H516" s="35" t="n">
        <v>46.31</v>
      </c>
      <c r="I516" s="35" t="inlineStr">
        <is>
          <t xml:space="preserve">Revestimentos de PVC e outros plásticos; forro, sancas e afins de PVC, para uso na construção </t>
        </is>
      </c>
      <c r="J516" s="40" t="inlineStr">
        <is>
          <t>Lei nº 1.810, art. 49, § 1º, XXIX</t>
        </is>
      </c>
      <c r="L516" s="29">
        <f>IF(D516="NCM/SH","",COUNTIF($D$5:$D$1506,D516))</f>
        <v/>
      </c>
    </row>
    <row r="517" ht="15.75" customHeight="1" thickBot="1">
      <c r="A517" s="1" t="inlineStr">
        <is>
          <t>11Constr</t>
        </is>
      </c>
      <c r="B517" s="164" t="inlineStr">
        <is>
          <t>6.0</t>
        </is>
      </c>
      <c r="C517" s="35" t="inlineStr">
        <is>
          <t>10.006.00</t>
        </is>
      </c>
      <c r="D517" s="35" t="n">
        <v>3917</v>
      </c>
      <c r="E517" s="35" t="n">
        <v>38</v>
      </c>
      <c r="F517" s="35" t="n">
        <v>59.61</v>
      </c>
      <c r="G517" s="35" t="n">
        <v>54.63</v>
      </c>
      <c r="H517" s="35" t="n">
        <v>46.31</v>
      </c>
      <c r="I517" s="35" t="inlineStr">
        <is>
          <t xml:space="preserve">Tubos, e seus acessórios (por exemplo, juntas, cotovelos, flanges, uniões), de plásticos, para uso na construção </t>
        </is>
      </c>
      <c r="J517" s="40" t="inlineStr">
        <is>
          <t>Lei nº 1.810, art. 49, § 1º, XXIX</t>
        </is>
      </c>
      <c r="L517" s="29">
        <f>IF(D517="NCM/SH","",COUNTIF($D$5:$D$1506,D517))</f>
        <v/>
      </c>
    </row>
    <row r="518" ht="15.75" customHeight="1" thickBot="1">
      <c r="A518" s="1" t="inlineStr">
        <is>
          <t>11Constr</t>
        </is>
      </c>
      <c r="B518" s="164" t="inlineStr">
        <is>
          <t>7.0</t>
        </is>
      </c>
      <c r="C518" s="35" t="inlineStr">
        <is>
          <t>10.007.00</t>
        </is>
      </c>
      <c r="D518" s="35" t="n">
        <v>3918</v>
      </c>
      <c r="E518" s="35" t="n">
        <v>38</v>
      </c>
      <c r="F518" s="35" t="n">
        <v>59.61</v>
      </c>
      <c r="G518" s="35" t="n">
        <v>54.63</v>
      </c>
      <c r="H518" s="35" t="n">
        <v>46.31</v>
      </c>
      <c r="I518" s="35" t="inlineStr">
        <is>
          <t xml:space="preserve">Revestimento de pavimento de PVC e outros plásticos </t>
        </is>
      </c>
      <c r="J518" s="40" t="inlineStr">
        <is>
          <t>Lei nº 1.810, art. 49, § 1º, XXIX</t>
        </is>
      </c>
      <c r="L518" s="29">
        <f>IF(D518="NCM/SH","",COUNTIF($D$5:$D$1506,D518))</f>
        <v/>
      </c>
    </row>
    <row r="519" ht="15.75" customHeight="1" thickBot="1">
      <c r="A519" s="1" t="inlineStr">
        <is>
          <t>11Constr</t>
        </is>
      </c>
      <c r="B519" s="164" t="inlineStr">
        <is>
          <t>8.0</t>
        </is>
      </c>
      <c r="C519" s="35" t="inlineStr">
        <is>
          <t>10.008.00</t>
        </is>
      </c>
      <c r="D519" s="35" t="n">
        <v>3919</v>
      </c>
      <c r="E519" s="35" t="n">
        <v>38</v>
      </c>
      <c r="F519" s="35" t="n">
        <v>59.61</v>
      </c>
      <c r="G519" s="35" t="n">
        <v>54.63</v>
      </c>
      <c r="H519" s="35" t="n">
        <v>46.31</v>
      </c>
      <c r="I519" s="35" t="inlineStr">
        <is>
          <t xml:space="preserve">Chapas, folhas, tiras, fitas, películas e outras formas planas, autoadesivas, de plásticos, mesmo em rolos, para uso na construção </t>
        </is>
      </c>
      <c r="J519" s="40" t="inlineStr">
        <is>
          <t>Lei nº 1.810, art. 49, § 1º, XXIX</t>
        </is>
      </c>
      <c r="L519" s="29">
        <f>IF(D519="NCM/SH","",COUNTIF($D$5:$D$1506,D519))</f>
        <v/>
      </c>
    </row>
    <row r="520" ht="14.45" customHeight="1">
      <c r="A520" s="1" t="inlineStr">
        <is>
          <t>11Constr</t>
        </is>
      </c>
      <c r="B520" s="163" t="inlineStr">
        <is>
          <t>9.0</t>
        </is>
      </c>
      <c r="C520" s="163" t="inlineStr">
        <is>
          <t>10.009.00</t>
        </is>
      </c>
      <c r="D520" s="37" t="n">
        <v>3919</v>
      </c>
      <c r="E520" s="163" t="n">
        <v>38</v>
      </c>
      <c r="F520" s="163" t="n">
        <v>59.61</v>
      </c>
      <c r="G520" s="163" t="n">
        <v>54.63</v>
      </c>
      <c r="H520" s="163" t="n">
        <v>46.31</v>
      </c>
      <c r="I520" s="163" t="inlineStr">
        <is>
          <t>Veda rosca, lona plástica para uso na construção, fitas isolantes e afins</t>
        </is>
      </c>
      <c r="J520" s="40" t="inlineStr">
        <is>
          <t>Lei nº 1.810, art. 49, § 1º, XXIX</t>
        </is>
      </c>
      <c r="L520" s="29">
        <f>IF(D520="NCM/SH","",COUNTIF($D$5:$D$1506,D520))</f>
        <v/>
      </c>
    </row>
    <row r="521">
      <c r="A521" s="1" t="inlineStr">
        <is>
          <t>11Constr</t>
        </is>
      </c>
      <c r="B521" s="44" t="n">
        <v>9</v>
      </c>
      <c r="C521" s="44" t="inlineStr">
        <is>
          <t>10.009.00</t>
        </is>
      </c>
      <c r="D521" s="37" t="n">
        <v>3920</v>
      </c>
      <c r="E521" s="44" t="n">
        <v>38</v>
      </c>
      <c r="F521" s="44" t="n">
        <v>59.61</v>
      </c>
      <c r="G521" s="44" t="n">
        <v>54.63</v>
      </c>
      <c r="H521" s="44" t="n">
        <v>46.31</v>
      </c>
      <c r="I521" s="44" t="inlineStr">
        <is>
          <t>Veda rosca, lona plástica para uso na construção, fitas isolantes e afins</t>
        </is>
      </c>
      <c r="J521" s="40" t="inlineStr">
        <is>
          <t>Lei nº 1.810, art. 49, § 1º, XXIX</t>
        </is>
      </c>
      <c r="L521" s="29">
        <f>IF(D521="NCM/SH","",COUNTIF($D$5:$D$1506,D521))</f>
        <v/>
      </c>
    </row>
    <row r="522" ht="15.75" customHeight="1" thickBot="1">
      <c r="A522" s="1" t="inlineStr">
        <is>
          <t>11Constr</t>
        </is>
      </c>
      <c r="B522" s="164" t="n">
        <v>9</v>
      </c>
      <c r="C522" s="164" t="inlineStr">
        <is>
          <t>10.009.00</t>
        </is>
      </c>
      <c r="D522" s="35" t="n">
        <v>3921</v>
      </c>
      <c r="E522" s="164" t="n">
        <v>38</v>
      </c>
      <c r="F522" s="164" t="n">
        <v>59.61</v>
      </c>
      <c r="G522" s="164" t="n">
        <v>54.63</v>
      </c>
      <c r="H522" s="164" t="n">
        <v>46.31</v>
      </c>
      <c r="I522" s="164" t="inlineStr">
        <is>
          <t>Veda rosca, lona plástica para uso na construção, fitas isolantes e afins</t>
        </is>
      </c>
      <c r="J522" s="40" t="inlineStr">
        <is>
          <t>Lei nº 1.810, art. 49, § 1º, XXIX</t>
        </is>
      </c>
      <c r="L522" s="29">
        <f>IF(D522="NCM/SH","",COUNTIF($D$5:$D$1506,D522))</f>
        <v/>
      </c>
    </row>
    <row r="523" ht="15.75" customHeight="1" thickBot="1">
      <c r="A523" s="1" t="inlineStr">
        <is>
          <t>11Constr</t>
        </is>
      </c>
      <c r="B523" s="164" t="inlineStr">
        <is>
          <t>10.0</t>
        </is>
      </c>
      <c r="C523" s="35" t="inlineStr">
        <is>
          <t>10.010.00</t>
        </is>
      </c>
      <c r="D523" s="35" t="n">
        <v>3921</v>
      </c>
      <c r="E523" s="35" t="n">
        <v>38</v>
      </c>
      <c r="F523" s="35" t="n">
        <v>59.61</v>
      </c>
      <c r="G523" s="35" t="n">
        <v>54.63</v>
      </c>
      <c r="H523" s="35" t="n">
        <v>46.31</v>
      </c>
      <c r="I523" s="35" t="inlineStr">
        <is>
          <t>Telha de plástico, mesmo reforçada com fibra de vidro</t>
        </is>
      </c>
      <c r="J523" s="40" t="inlineStr">
        <is>
          <t>Lei nº 1.810, art. 49, § 1º, XXIX</t>
        </is>
      </c>
      <c r="L523" s="29">
        <f>IF(D523="NCM/SH","",COUNTIF($D$5:$D$1506,D523))</f>
        <v/>
      </c>
    </row>
    <row r="524" ht="15.75" customHeight="1" thickBot="1">
      <c r="A524" s="1" t="inlineStr">
        <is>
          <t>11Constr</t>
        </is>
      </c>
      <c r="B524" s="164" t="inlineStr">
        <is>
          <t>11.0</t>
        </is>
      </c>
      <c r="C524" s="35" t="inlineStr">
        <is>
          <t>10.011.00</t>
        </is>
      </c>
      <c r="D524" s="35" t="n">
        <v>3921</v>
      </c>
      <c r="E524" s="35" t="n">
        <v>38</v>
      </c>
      <c r="F524" s="35" t="n">
        <v>59.61</v>
      </c>
      <c r="G524" s="35" t="n">
        <v>54.63</v>
      </c>
      <c r="H524" s="35" t="n">
        <v>46.31</v>
      </c>
      <c r="I524" s="35" t="inlineStr">
        <is>
          <t>Cumeeira de plástico, mesmo reforçada com fibra de vidro</t>
        </is>
      </c>
      <c r="J524" s="40" t="inlineStr">
        <is>
          <t>Lei nº 1.810, art. 49, § 1º, XXIX</t>
        </is>
      </c>
      <c r="L524" s="29">
        <f>IF(D524="NCM/SH","",COUNTIF($D$5:$D$1506,D524))</f>
        <v/>
      </c>
    </row>
    <row r="525" ht="15.75" customHeight="1" thickBot="1">
      <c r="A525" s="1" t="inlineStr">
        <is>
          <t>11Constr</t>
        </is>
      </c>
      <c r="B525" s="164" t="inlineStr">
        <is>
          <t>12.0</t>
        </is>
      </c>
      <c r="C525" s="35" t="inlineStr">
        <is>
          <t>10.012.00</t>
        </is>
      </c>
      <c r="D525" s="35" t="n">
        <v>3921</v>
      </c>
      <c r="E525" s="35" t="n">
        <v>38</v>
      </c>
      <c r="F525" s="35" t="n">
        <v>59.61</v>
      </c>
      <c r="G525" s="35" t="n">
        <v>54.63</v>
      </c>
      <c r="H525" s="35" t="n">
        <v>46.31</v>
      </c>
      <c r="I525" s="48" t="inlineStr">
        <is>
          <t>Chapas, laminados plásticos em bobina, para uso na construção, exceto os descritos nos CEST 10.010.00 e 10.011.00</t>
        </is>
      </c>
      <c r="J525" s="40" t="inlineStr">
        <is>
          <t>Lei nº 1.810, art. 49, § 1º, XXIX</t>
        </is>
      </c>
      <c r="K525" s="43" t="inlineStr">
        <is>
          <t>(Item 12.0: nova redação dada pelo Decreto nº 14.645/2016. Efeitos a partir de 1º.01.2017.)</t>
        </is>
      </c>
      <c r="L525" s="29">
        <f>IF(D525="NCM/SH","",COUNTIF($D$5:$D$1506,D525))</f>
        <v/>
      </c>
    </row>
    <row r="526" ht="15.75" customHeight="1" thickBot="1">
      <c r="A526" s="1" t="inlineStr">
        <is>
          <t>11Constr</t>
        </is>
      </c>
      <c r="B526" s="164" t="inlineStr">
        <is>
          <t>13.0</t>
        </is>
      </c>
      <c r="C526" s="35" t="inlineStr">
        <is>
          <t>10.013.00</t>
        </is>
      </c>
      <c r="D526" s="35" t="n">
        <v>3922</v>
      </c>
      <c r="E526" s="35" t="n">
        <v>38</v>
      </c>
      <c r="F526" s="35" t="n">
        <v>59.61</v>
      </c>
      <c r="G526" s="35" t="n">
        <v>54.63</v>
      </c>
      <c r="H526" s="35" t="n">
        <v>46.31</v>
      </c>
      <c r="I526" s="35" t="inlineStr">
        <is>
          <t xml:space="preserve">Banheiras, boxes para chuveiros, pias, lavatórios, bidês, sanitários e seus assentos e tampas, caixas de descarga e artigos semelhantes para usos sanitários ou higiênicos, de plásticos </t>
        </is>
      </c>
      <c r="J526" s="40" t="inlineStr">
        <is>
          <t>Lei nº 1.810, art. 49, § 1º, XXIX</t>
        </is>
      </c>
      <c r="L526" s="29">
        <f>IF(D526="NCM/SH","",COUNTIF($D$5:$D$1506,D526))</f>
        <v/>
      </c>
    </row>
    <row r="527" ht="15.75" customHeight="1" thickBot="1">
      <c r="A527" s="1" t="inlineStr">
        <is>
          <t>11Constr</t>
        </is>
      </c>
      <c r="B527" s="164" t="inlineStr">
        <is>
          <t>14.0</t>
        </is>
      </c>
      <c r="C527" s="35" t="inlineStr">
        <is>
          <t>10.014.00</t>
        </is>
      </c>
      <c r="D527" s="35" t="n">
        <v>3924</v>
      </c>
      <c r="E527" s="35" t="n">
        <v>38</v>
      </c>
      <c r="F527" s="35" t="n">
        <v>59.61</v>
      </c>
      <c r="G527" s="35" t="n">
        <v>54.63</v>
      </c>
      <c r="H527" s="35" t="n">
        <v>46.31</v>
      </c>
      <c r="I527" s="35" t="inlineStr">
        <is>
          <t xml:space="preserve">Artefatos de higiene/toucador de plástico, para uso na construção </t>
        </is>
      </c>
      <c r="J527" s="40" t="inlineStr">
        <is>
          <t>Lei nº 1.810, art. 49, § 1º, XXIX</t>
        </is>
      </c>
      <c r="L527" s="29">
        <f>IF(D527="NCM/SH","",COUNTIF($D$5:$D$1506,D527))</f>
        <v/>
      </c>
    </row>
    <row r="528" ht="15.75" customHeight="1" thickBot="1">
      <c r="A528" s="1" t="inlineStr">
        <is>
          <t>11Constr</t>
        </is>
      </c>
      <c r="B528" s="164" t="inlineStr">
        <is>
          <t>15.0</t>
        </is>
      </c>
      <c r="C528" s="35" t="inlineStr">
        <is>
          <t>10.015.00</t>
        </is>
      </c>
      <c r="D528" s="35" t="inlineStr">
        <is>
          <t>3925.10.00</t>
        </is>
      </c>
      <c r="E528" s="35" t="n">
        <v>38</v>
      </c>
      <c r="F528" s="35" t="n">
        <v>59.61</v>
      </c>
      <c r="G528" s="35" t="n">
        <v>54.63</v>
      </c>
      <c r="H528" s="35" t="n">
        <v>46.31</v>
      </c>
      <c r="I528" s="35" t="inlineStr">
        <is>
          <t>Caixa d’água, inclusive sua tampa, de plástico, mesmo reforçadas com fibra de vidro</t>
        </is>
      </c>
      <c r="J528" s="40" t="inlineStr">
        <is>
          <t>Lei nº 1.810, art. 49, § 1º, XXIX</t>
        </is>
      </c>
      <c r="L528" s="29">
        <f>IF(D528="NCM/SH","",COUNTIF($D$5:$D$1506,D528))</f>
        <v/>
      </c>
    </row>
    <row r="529" ht="15.75" customHeight="1" thickBot="1">
      <c r="A529" s="1" t="inlineStr">
        <is>
          <t>11Constr</t>
        </is>
      </c>
      <c r="B529" s="164" t="inlineStr">
        <is>
          <t>16.0</t>
        </is>
      </c>
      <c r="C529" s="35" t="inlineStr">
        <is>
          <t>10.016.00</t>
        </is>
      </c>
      <c r="D529" s="35" t="inlineStr">
        <is>
          <t>3925.90</t>
        </is>
      </c>
      <c r="E529" s="35" t="n">
        <v>38</v>
      </c>
      <c r="F529" s="35" t="n">
        <v>59.61</v>
      </c>
      <c r="G529" s="35" t="n">
        <v>54.63</v>
      </c>
      <c r="H529" s="35" t="n">
        <v>46.31</v>
      </c>
      <c r="I529" s="35" t="inlineStr">
        <is>
          <t>Outras telhas, cumeeira e caixa d’água, inclusive sua tampa, de plástico, mesmo reforçadas com fibra de vidro</t>
        </is>
      </c>
      <c r="J529" s="40" t="inlineStr">
        <is>
          <t>Lei nº 1.810, art. 49, § 1º, XXIX</t>
        </is>
      </c>
      <c r="L529" s="29">
        <f>IF(D529="NCM/SH","",COUNTIF($D$5:$D$1506,D529))</f>
        <v/>
      </c>
    </row>
    <row r="530" ht="14.45" customHeight="1" thickBot="1">
      <c r="A530" s="1" t="inlineStr">
        <is>
          <t>11Constr</t>
        </is>
      </c>
      <c r="B530" s="42" t="inlineStr">
        <is>
          <t>17.0</t>
        </is>
      </c>
      <c r="C530" s="42" t="inlineStr">
        <is>
          <t>10.017.00</t>
        </is>
      </c>
      <c r="D530" s="38" t="inlineStr">
        <is>
          <t>3925.10.00</t>
        </is>
      </c>
      <c r="E530" s="42" t="n">
        <v>38</v>
      </c>
      <c r="F530" s="42" t="n">
        <v>59.61</v>
      </c>
      <c r="G530" s="42" t="n">
        <v>54.63</v>
      </c>
      <c r="H530" s="42" t="n">
        <v>46.31</v>
      </c>
      <c r="I530" s="42" t="inlineStr">
        <is>
          <t>Artefatos para apetrechamento de construções, de plásticos, não especificados nem compreendidos em outras posições, incluindo persianas, sancas, molduras, apliques e rosetas, caixilhos de polietileno e outros plásticos, exceto os descritos nos CEST 10.015.00 e 10.016.00</t>
        </is>
      </c>
      <c r="J530" s="40" t="inlineStr">
        <is>
          <t>Lei nº 1.810, art. 49, § 1º, XXIX</t>
        </is>
      </c>
      <c r="K530" s="43" t="inlineStr">
        <is>
          <t>(Item 17.0: nova redação dada pelo Decreto nº 14.645/2016. Efeitos a partir de 1º.01.2017.)</t>
        </is>
      </c>
      <c r="L530" s="29">
        <f>IF(D530="NCM/SH","",COUNTIF($D$5:$D$1506,D530))</f>
        <v/>
      </c>
    </row>
    <row r="531" ht="15.75" customHeight="1" thickBot="1">
      <c r="A531" s="1" t="inlineStr">
        <is>
          <t>11Constr</t>
        </is>
      </c>
      <c r="B531" s="46" t="n">
        <v>17</v>
      </c>
      <c r="C531" s="46" t="inlineStr">
        <is>
          <t>10.017.00</t>
        </is>
      </c>
      <c r="D531" s="48" t="inlineStr">
        <is>
          <t>3925.90</t>
        </is>
      </c>
      <c r="E531" s="46" t="n">
        <v>38</v>
      </c>
      <c r="F531" s="46" t="n">
        <v>59.61</v>
      </c>
      <c r="G531" s="46" t="n">
        <v>54.63</v>
      </c>
      <c r="H531" s="46" t="n">
        <v>46.31</v>
      </c>
      <c r="I531" s="46" t="inlineStr">
        <is>
          <t>Artefatos para apetrechamento de construções, de plásticos, não especificados nem compreendidos em outras posições, incluindo persianas, sancas, molduras, apliques e rosetas, caixilhos de polietileno e outros plásticos, exceto os descritos nos CEST 10.015.00 e 10.016.00</t>
        </is>
      </c>
      <c r="J531" s="40" t="inlineStr">
        <is>
          <t>Lei nº 1.810, art. 49, § 1º, XXIX</t>
        </is>
      </c>
      <c r="K531" s="43" t="inlineStr">
        <is>
          <t>(Item 17.0: nova redação dada pelo Decreto nº 14.645/2016. Efeitos a partir de 1º.01.2017.)</t>
        </is>
      </c>
      <c r="L531" s="29">
        <f>IF(D531="NCM/SH","",COUNTIF($D$5:$D$1506,D531))</f>
        <v/>
      </c>
    </row>
    <row r="532" ht="15.75" customHeight="1" thickBot="1">
      <c r="A532" s="1" t="inlineStr">
        <is>
          <t>11Constr</t>
        </is>
      </c>
      <c r="B532" s="164" t="inlineStr">
        <is>
          <t>18.0</t>
        </is>
      </c>
      <c r="C532" s="35" t="inlineStr">
        <is>
          <t>10.018.00</t>
        </is>
      </c>
      <c r="D532" s="35" t="inlineStr">
        <is>
          <t>3925.20.00</t>
        </is>
      </c>
      <c r="E532" s="35" t="n">
        <v>38</v>
      </c>
      <c r="F532" s="35" t="n">
        <v>59.61</v>
      </c>
      <c r="G532" s="35" t="n">
        <v>54.63</v>
      </c>
      <c r="H532" s="35" t="n">
        <v>46.31</v>
      </c>
      <c r="I532" s="35" t="inlineStr">
        <is>
          <t>Portas, janelas e seus caixilhos, alizares e soleiras</t>
        </is>
      </c>
      <c r="J532" s="40" t="inlineStr">
        <is>
          <t>Lei nº 1.810, art. 49, § 1º, XXIX</t>
        </is>
      </c>
      <c r="L532" s="29">
        <f>IF(D532="NCM/SH","",COUNTIF($D$5:$D$1506,D532))</f>
        <v/>
      </c>
    </row>
    <row r="533" ht="15.75" customHeight="1" thickBot="1">
      <c r="A533" s="1" t="inlineStr">
        <is>
          <t>11Constr</t>
        </is>
      </c>
      <c r="B533" s="164" t="inlineStr">
        <is>
          <t>19.0</t>
        </is>
      </c>
      <c r="C533" s="35" t="inlineStr">
        <is>
          <t>10.019.00</t>
        </is>
      </c>
      <c r="D533" s="35" t="inlineStr">
        <is>
          <t>3925.30.00</t>
        </is>
      </c>
      <c r="E533" s="35" t="n">
        <v>38</v>
      </c>
      <c r="F533" s="35" t="n">
        <v>59.61</v>
      </c>
      <c r="G533" s="35" t="n">
        <v>54.63</v>
      </c>
      <c r="H533" s="35" t="n">
        <v>46.31</v>
      </c>
      <c r="I533" s="35" t="inlineStr">
        <is>
          <t xml:space="preserve">Postigos, estores (incluídas as venezianas) e artefatos semelhantes e suas partes </t>
        </is>
      </c>
      <c r="J533" s="40" t="inlineStr">
        <is>
          <t>Lei nº 1.810, art. 49, § 1º, XXIX</t>
        </is>
      </c>
      <c r="L533" s="29">
        <f>IF(D533="NCM/SH","",COUNTIF($D$5:$D$1506,D533))</f>
        <v/>
      </c>
    </row>
    <row r="534" ht="15.75" customHeight="1" thickBot="1">
      <c r="A534" s="1" t="inlineStr">
        <is>
          <t>11Constr</t>
        </is>
      </c>
      <c r="B534" s="164" t="inlineStr">
        <is>
          <t>20.0</t>
        </is>
      </c>
      <c r="C534" s="35" t="inlineStr">
        <is>
          <t>10.020.00</t>
        </is>
      </c>
      <c r="D534" s="35" t="inlineStr">
        <is>
          <t>3926.90</t>
        </is>
      </c>
      <c r="E534" s="35" t="n">
        <v>38</v>
      </c>
      <c r="F534" s="35" t="n">
        <v>59.61</v>
      </c>
      <c r="G534" s="35" t="n">
        <v>54.63</v>
      </c>
      <c r="H534" s="35" t="n">
        <v>46.31</v>
      </c>
      <c r="I534" s="35" t="inlineStr">
        <is>
          <t xml:space="preserve">Outras obras de plástico, para uso na construção </t>
        </is>
      </c>
      <c r="J534" s="40" t="inlineStr">
        <is>
          <t>Lei nº 1.810, art. 49, § 1º, XXIX</t>
        </is>
      </c>
      <c r="L534" s="29">
        <f>IF(D534="NCM/SH","",COUNTIF($D$5:$D$1506,D534))</f>
        <v/>
      </c>
    </row>
    <row r="535" ht="15.75" customHeight="1" thickBot="1">
      <c r="A535" s="1" t="inlineStr">
        <is>
          <t>11Constr</t>
        </is>
      </c>
      <c r="B535" s="164" t="inlineStr">
        <is>
          <t>21.0</t>
        </is>
      </c>
      <c r="C535" s="35" t="inlineStr">
        <is>
          <t>10.021.00</t>
        </is>
      </c>
      <c r="D535" s="35" t="n">
        <v>4814</v>
      </c>
      <c r="E535" s="35" t="n">
        <v>38</v>
      </c>
      <c r="F535" s="35" t="n">
        <v>59.61</v>
      </c>
      <c r="G535" s="35" t="n">
        <v>54.63</v>
      </c>
      <c r="H535" s="35" t="n">
        <v>46.31</v>
      </c>
      <c r="I535" s="35" t="inlineStr">
        <is>
          <t xml:space="preserve">Papel de parede e revestimentos de parede semelhantes; papel para vitrais </t>
        </is>
      </c>
      <c r="J535" s="40" t="inlineStr">
        <is>
          <t>Lei nº 1.810, art. 49, § 1º, XXIX</t>
        </is>
      </c>
      <c r="L535" s="29">
        <f>IF(D535="NCM/SH","",COUNTIF($D$5:$D$1506,D535))</f>
        <v/>
      </c>
    </row>
    <row r="536" ht="15.75" customHeight="1" thickBot="1">
      <c r="A536" s="1" t="inlineStr">
        <is>
          <t>11Constr</t>
        </is>
      </c>
      <c r="B536" s="164" t="inlineStr">
        <is>
          <t>22.0</t>
        </is>
      </c>
      <c r="C536" s="35" t="inlineStr">
        <is>
          <t>10.022.00</t>
        </is>
      </c>
      <c r="D536" s="35" t="inlineStr">
        <is>
          <t>6810.19.00</t>
        </is>
      </c>
      <c r="E536" s="35" t="n">
        <v>38</v>
      </c>
      <c r="F536" s="35" t="n">
        <v>59.61</v>
      </c>
      <c r="G536" s="35" t="n">
        <v>54.63</v>
      </c>
      <c r="H536" s="35" t="n">
        <v>46.31</v>
      </c>
      <c r="I536" s="35" t="inlineStr">
        <is>
          <t xml:space="preserve">Telhas de concreto </t>
        </is>
      </c>
      <c r="J536" s="40" t="inlineStr">
        <is>
          <t>Lei nº 1.810, art. 49, § 1º, XXIX</t>
        </is>
      </c>
      <c r="L536" s="29">
        <f>IF(D536="NCM/SH","",COUNTIF($D$5:$D$1506,D536))</f>
        <v/>
      </c>
    </row>
    <row r="537" ht="14.45" customHeight="1" thickBot="1">
      <c r="A537" s="1" t="inlineStr">
        <is>
          <t>11Constr</t>
        </is>
      </c>
      <c r="B537" s="163" t="inlineStr">
        <is>
          <t>24.0</t>
        </is>
      </c>
      <c r="C537" s="163" t="inlineStr">
        <is>
          <t>10.024.00</t>
        </is>
      </c>
      <c r="D537" s="163" t="n">
        <v>6811</v>
      </c>
      <c r="E537" s="163" t="n">
        <v>38</v>
      </c>
      <c r="F537" s="163" t="n">
        <v>59.61</v>
      </c>
      <c r="G537" s="163" t="n">
        <v>54.63</v>
      </c>
      <c r="H537" s="163" t="n">
        <v>46.31</v>
      </c>
      <c r="I537" s="163" t="inlineStr">
        <is>
          <t>Caixas d’água, tanques e reservatórios e suas tampas, telhas, calhas, cumeeiras e afins, de fibrocimento, cimento-celulose ou semelhantes, contendo ou não amianto.</t>
        </is>
      </c>
      <c r="J537" s="97" t="inlineStr">
        <is>
          <t>Lei nº 1.810, art. 49, § 1º, XXIX Protocolo ICMS 32/92</t>
        </is>
      </c>
      <c r="K537" s="52" t="inlineStr">
        <is>
          <t>*(Redação dada pelo Decreto nº 16.458/2024. Efeitos a partir de 20.06.2024)</t>
        </is>
      </c>
      <c r="L537" s="29">
        <f>IF(D537="NCM/SH","",COUNTIF($D$5:$D$1506,D537))</f>
        <v/>
      </c>
    </row>
    <row r="538" ht="15.75" customHeight="1" thickBot="1">
      <c r="A538" s="1" t="inlineStr">
        <is>
          <t>11Constr</t>
        </is>
      </c>
      <c r="B538" s="164" t="inlineStr">
        <is>
          <t>25.0</t>
        </is>
      </c>
      <c r="C538" s="35" t="inlineStr">
        <is>
          <t>10.025.00</t>
        </is>
      </c>
      <c r="D538" s="35" t="inlineStr">
        <is>
          <t>6901.00.00</t>
        </is>
      </c>
      <c r="E538" s="35" t="n">
        <v>38</v>
      </c>
      <c r="F538" s="35" t="n">
        <v>59.61</v>
      </c>
      <c r="G538" s="35" t="n">
        <v>54.63</v>
      </c>
      <c r="H538" s="35" t="n">
        <v>46.31</v>
      </c>
      <c r="I538" s="35" t="inlineStr">
        <is>
          <t xml:space="preserve">Tijolos, placas (lajes), ladrilhos e outras peças cerâmicas de farinhas siliciosas fósseis ("kieselghur", tripolita, diatomita, por exemplo) ou de terras siliciosas semelhantes </t>
        </is>
      </c>
      <c r="J538" s="38" t="inlineStr">
        <is>
          <t>Lei nº 1.810, art. 49, § 1º, XXIX</t>
        </is>
      </c>
      <c r="L538" s="29">
        <f>IF(D538="NCM/SH","",COUNTIF($D$5:$D$1506,D538))</f>
        <v/>
      </c>
    </row>
    <row r="539" ht="15.75" customHeight="1" thickBot="1">
      <c r="A539" s="1" t="inlineStr">
        <is>
          <t>11Constr</t>
        </is>
      </c>
      <c r="B539" s="164" t="inlineStr">
        <is>
          <t>26.0</t>
        </is>
      </c>
      <c r="C539" s="35" t="inlineStr">
        <is>
          <t>10.026.00</t>
        </is>
      </c>
      <c r="D539" s="35" t="n">
        <v>6902</v>
      </c>
      <c r="E539" s="35" t="n">
        <v>38</v>
      </c>
      <c r="F539" s="35" t="n">
        <v>59.61</v>
      </c>
      <c r="G539" s="35" t="n">
        <v>54.63</v>
      </c>
      <c r="H539" s="35" t="n">
        <v>46.31</v>
      </c>
      <c r="I539" s="35" t="inlineStr">
        <is>
          <t xml:space="preserve">Tijolos, placas (lajes), ladrilhos e peças cerâmicas semelhantes, para uso na construção, refratários, que não sejam de farinhas siliciosas fósseis nem de terras siliciosas semelhantes </t>
        </is>
      </c>
      <c r="J539" s="38" t="inlineStr">
        <is>
          <t>Lei nº 1.810, art. 49, § 1º, XXIX</t>
        </is>
      </c>
      <c r="L539" s="29">
        <f>IF(D539="NCM/SH","",COUNTIF($D$5:$D$1506,D539))</f>
        <v/>
      </c>
    </row>
    <row r="540" ht="21" customHeight="1" thickBot="1">
      <c r="A540" s="1" t="inlineStr">
        <is>
          <t>11Constr</t>
        </is>
      </c>
      <c r="B540" s="164" t="inlineStr">
        <is>
          <t>27.0</t>
        </is>
      </c>
      <c r="C540" s="35" t="inlineStr">
        <is>
          <t>10.027.00</t>
        </is>
      </c>
      <c r="D540" s="35" t="n">
        <v>6904</v>
      </c>
      <c r="E540" s="35" t="n">
        <v>38</v>
      </c>
      <c r="F540" s="35" t="n">
        <v>59.61</v>
      </c>
      <c r="G540" s="35" t="n">
        <v>54.63</v>
      </c>
      <c r="H540" s="35" t="n">
        <v>46.31</v>
      </c>
      <c r="I540" s="35" t="inlineStr">
        <is>
          <t xml:space="preserve">Tijolos para construção, tijoleiras, tapa-vigas e produtos semelhantes, de cerâmica </t>
        </is>
      </c>
      <c r="J540" s="40" t="inlineStr">
        <is>
          <t>Lei nº 1.810, art. 49, § 1º, XXIX</t>
        </is>
      </c>
      <c r="L540" s="29">
        <f>IF(D540="NCM/SH","",COUNTIF($D$5:$D$1506,D540))</f>
        <v/>
      </c>
    </row>
    <row r="541" ht="15.75" customHeight="1" thickBot="1">
      <c r="A541" s="1" t="inlineStr">
        <is>
          <t>11Constr</t>
        </is>
      </c>
      <c r="B541" s="164" t="inlineStr">
        <is>
          <t>28.0</t>
        </is>
      </c>
      <c r="C541" s="35" t="inlineStr">
        <is>
          <t>10.028.00</t>
        </is>
      </c>
      <c r="D541" s="35" t="n">
        <v>6905</v>
      </c>
      <c r="E541" s="35" t="n">
        <v>38</v>
      </c>
      <c r="F541" s="35" t="n">
        <v>59.61</v>
      </c>
      <c r="G541" s="35" t="n">
        <v>54.63</v>
      </c>
      <c r="H541" s="35" t="n">
        <v>46.31</v>
      </c>
      <c r="I541" s="35" t="inlineStr">
        <is>
          <t>Telhas, elementos de chaminés, condutores de fumaça, ornamentos arquitetônicos, de cerâmica, e outros produtos cerâmicos para uso na construção</t>
        </is>
      </c>
      <c r="J541" s="40" t="inlineStr">
        <is>
          <t>Lei nº 1.810, art. 49, § 1º, XXIX</t>
        </is>
      </c>
      <c r="L541" s="29">
        <f>IF(D541="NCM/SH","",COUNTIF($D$5:$D$1506,D541))</f>
        <v/>
      </c>
    </row>
    <row r="542" ht="15.75" customHeight="1" thickBot="1">
      <c r="A542" s="1" t="inlineStr">
        <is>
          <t>11Constr</t>
        </is>
      </c>
      <c r="B542" s="164" t="inlineStr">
        <is>
          <t>29.0</t>
        </is>
      </c>
      <c r="C542" s="35" t="inlineStr">
        <is>
          <t>10.029.00</t>
        </is>
      </c>
      <c r="D542" s="35" t="inlineStr">
        <is>
          <t>6906.00.00</t>
        </is>
      </c>
      <c r="E542" s="35" t="n">
        <v>38</v>
      </c>
      <c r="F542" s="35" t="n">
        <v>59.61</v>
      </c>
      <c r="G542" s="35" t="n">
        <v>54.63</v>
      </c>
      <c r="H542" s="35" t="n">
        <v>46.31</v>
      </c>
      <c r="I542" s="35" t="inlineStr">
        <is>
          <t xml:space="preserve">Tubos, calhas ou algerozes e acessórios para canalizações, de cerâmica </t>
        </is>
      </c>
      <c r="J542" s="40" t="inlineStr">
        <is>
          <t>Lei nº 1.810, art. 49, § 1º, XXIX</t>
        </is>
      </c>
      <c r="L542" s="29">
        <f>IF(D542="NCM/SH","",COUNTIF($D$5:$D$1506,D542))</f>
        <v/>
      </c>
    </row>
    <row r="543" ht="15.75" customHeight="1" thickBot="1">
      <c r="A543" s="1" t="inlineStr">
        <is>
          <t>11Constr</t>
        </is>
      </c>
      <c r="B543" s="164" t="inlineStr">
        <is>
          <t>30.0</t>
        </is>
      </c>
      <c r="C543" s="35" t="inlineStr">
        <is>
          <t>10.030.00</t>
        </is>
      </c>
      <c r="D543" s="35" t="n">
        <v>6907</v>
      </c>
      <c r="E543" s="35" t="n">
        <v>38</v>
      </c>
      <c r="F543" s="35" t="n">
        <v>59.61</v>
      </c>
      <c r="G543" s="35" t="n">
        <v>54.63</v>
      </c>
      <c r="H543" s="35" t="n">
        <v>46.31</v>
      </c>
      <c r="I543" s="35" t="inlineStr">
        <is>
          <t xml:space="preserve">Ladrilhos e placas de cerâmica, exclusivamente para pavimentação ou revestimento </t>
        </is>
      </c>
      <c r="J543" s="40" t="inlineStr">
        <is>
          <t>Lei nº 1.810, art. 49, § 1º, XXIX</t>
        </is>
      </c>
      <c r="K543" s="43" t="inlineStr">
        <is>
          <t>(Item 30.0: nova redação dada pelo Decreto nº 14.774/2017. Efeitos a partir de 1º.07.2017.)</t>
        </is>
      </c>
      <c r="L543" s="29">
        <f>IF(D543="NCM/SH","",COUNTIF($D$5:$D$1506,D543))</f>
        <v/>
      </c>
    </row>
    <row r="544" ht="15.75" customHeight="1" thickBot="1">
      <c r="A544" s="1" t="inlineStr">
        <is>
          <t>11Constr</t>
        </is>
      </c>
      <c r="B544" s="76" t="inlineStr">
        <is>
          <t>30.1</t>
        </is>
      </c>
      <c r="C544" s="73" t="inlineStr">
        <is>
          <t>10.030.01</t>
        </is>
      </c>
      <c r="D544" s="73" t="n">
        <v>6907</v>
      </c>
      <c r="E544" s="73" t="n">
        <v>38</v>
      </c>
      <c r="F544" s="73" t="n">
        <v>59.61</v>
      </c>
      <c r="G544" s="73" t="n">
        <v>54.63</v>
      </c>
      <c r="H544" s="73" t="n">
        <v>46.31</v>
      </c>
      <c r="I544" s="73" t="inlineStr">
        <is>
          <t>Cubos, pastilhas e artigos semelhantes de cerâmica, mesmo com suporte, exceto os descritos CEST 10.030.00</t>
        </is>
      </c>
      <c r="J544" s="40" t="inlineStr">
        <is>
          <t>Lei nº 1.810, art. 49, § 1º, XXIX</t>
        </is>
      </c>
      <c r="K544" s="43" t="inlineStr">
        <is>
          <t>(Item 30.1: nova redação dada pelo Decreto nº 14.916/2017. Efeitos a partir de 1º.12.2017.)</t>
        </is>
      </c>
      <c r="L544" s="29">
        <f>IF(D544="NCM/SH","",COUNTIF($D$5:$D$1506,D544))</f>
        <v/>
      </c>
    </row>
    <row r="545" ht="15.75" customHeight="1" thickBot="1">
      <c r="A545" s="1" t="inlineStr">
        <is>
          <t>11Constr</t>
        </is>
      </c>
      <c r="B545" s="164" t="inlineStr">
        <is>
          <t>31.0</t>
        </is>
      </c>
      <c r="C545" s="35" t="inlineStr">
        <is>
          <t>10.031.00</t>
        </is>
      </c>
      <c r="D545" s="35" t="n">
        <v>6910</v>
      </c>
      <c r="E545" s="35" t="n">
        <v>38</v>
      </c>
      <c r="F545" s="35" t="n">
        <v>59.61</v>
      </c>
      <c r="G545" s="35" t="n">
        <v>54.63</v>
      </c>
      <c r="H545" s="35" t="n">
        <v>46.31</v>
      </c>
      <c r="I545" s="35" t="inlineStr">
        <is>
          <t xml:space="preserve">Pias, lavatórios, colunas para lavatórios, banheiras, bidês, sanitários, caixas de descarga, mictórios e aparelhos fixos semelhantes para usos sanitários, de cerâmica </t>
        </is>
      </c>
      <c r="J545" s="40" t="inlineStr">
        <is>
          <t>Lei nº 1.810, art. 49, § 1º, XXIX</t>
        </is>
      </c>
      <c r="L545" s="29">
        <f>IF(D545="NCM/SH","",COUNTIF($D$5:$D$1506,D545))</f>
        <v/>
      </c>
    </row>
    <row r="546" ht="15.75" customHeight="1" thickBot="1">
      <c r="A546" s="1" t="inlineStr">
        <is>
          <t>11Constr</t>
        </is>
      </c>
      <c r="B546" s="164" t="inlineStr">
        <is>
          <t>32.0</t>
        </is>
      </c>
      <c r="C546" s="35" t="inlineStr">
        <is>
          <t>10.032.00</t>
        </is>
      </c>
      <c r="D546" s="35" t="inlineStr">
        <is>
          <t>6912.00.00</t>
        </is>
      </c>
      <c r="E546" s="35" t="n">
        <v>38</v>
      </c>
      <c r="F546" s="35" t="n">
        <v>59.61</v>
      </c>
      <c r="G546" s="35" t="n">
        <v>54.63</v>
      </c>
      <c r="H546" s="35" t="n">
        <v>46.31</v>
      </c>
      <c r="I546" s="35" t="inlineStr">
        <is>
          <t xml:space="preserve">Artefatos de higiene/toucador de cerâmica </t>
        </is>
      </c>
      <c r="J546" s="40" t="inlineStr">
        <is>
          <t>Lei nº 1.810, art. 49, § 1º, XXIX</t>
        </is>
      </c>
      <c r="L546" s="29">
        <f>IF(D546="NCM/SH","",COUNTIF($D$5:$D$1506,D546))</f>
        <v/>
      </c>
    </row>
    <row r="547" ht="15.75" customHeight="1" thickBot="1">
      <c r="A547" s="1" t="inlineStr">
        <is>
          <t>11Constr</t>
        </is>
      </c>
      <c r="B547" s="164" t="inlineStr">
        <is>
          <t>33.0</t>
        </is>
      </c>
      <c r="C547" s="35" t="inlineStr">
        <is>
          <t>10.033.00</t>
        </is>
      </c>
      <c r="D547" s="35" t="n">
        <v>7003</v>
      </c>
      <c r="E547" s="35" t="n">
        <v>50</v>
      </c>
      <c r="F547" s="35" t="n">
        <v>73.48999999999999</v>
      </c>
      <c r="G547" s="35" t="n">
        <v>68.06999999999999</v>
      </c>
      <c r="H547" s="35" t="n">
        <v>59.04</v>
      </c>
      <c r="I547" s="35" t="inlineStr">
        <is>
          <t xml:space="preserve">Vidro vazado ou laminado, em chapas, folhas ou perfis, mesmo com camada absorvente, refletora ou não, mas sem qualquer outro trabalho </t>
        </is>
      </c>
      <c r="J547" s="40" t="inlineStr">
        <is>
          <t>Lei nº 1.810, art. 49, § 1º, XXIX</t>
        </is>
      </c>
      <c r="L547" s="29">
        <f>IF(D547="NCM/SH","",COUNTIF($D$5:$D$1506,D547))</f>
        <v/>
      </c>
    </row>
    <row r="548" ht="15.75" customHeight="1" thickBot="1">
      <c r="A548" s="1" t="inlineStr">
        <is>
          <t>11Constr</t>
        </is>
      </c>
      <c r="B548" s="164" t="inlineStr">
        <is>
          <t>34.0</t>
        </is>
      </c>
      <c r="C548" s="35" t="inlineStr">
        <is>
          <t>10.034.00</t>
        </is>
      </c>
      <c r="D548" s="35" t="n">
        <v>7004</v>
      </c>
      <c r="E548" s="35" t="n">
        <v>50</v>
      </c>
      <c r="F548" s="35" t="n">
        <v>73.48999999999999</v>
      </c>
      <c r="G548" s="35" t="n">
        <v>68.06999999999999</v>
      </c>
      <c r="H548" s="35" t="n">
        <v>59.04</v>
      </c>
      <c r="I548" s="35" t="inlineStr">
        <is>
          <t xml:space="preserve">Vidro estirado ou soprado, em folhas, mesmo com camada absorvente, refletora ou não, mas sem qualquer outro trabalho </t>
        </is>
      </c>
      <c r="J548" s="40" t="inlineStr">
        <is>
          <t>Lei nº 1.810, art. 49, § 1º, XXIX</t>
        </is>
      </c>
      <c r="L548" s="29">
        <f>IF(D548="NCM/SH","",COUNTIF($D$5:$D$1506,D548))</f>
        <v/>
      </c>
    </row>
    <row r="549" ht="15.75" customHeight="1" thickBot="1">
      <c r="A549" s="1" t="inlineStr">
        <is>
          <t>11Constr</t>
        </is>
      </c>
      <c r="B549" s="164" t="inlineStr">
        <is>
          <t>35.0</t>
        </is>
      </c>
      <c r="C549" s="35" t="inlineStr">
        <is>
          <t>10.035.00</t>
        </is>
      </c>
      <c r="D549" s="35" t="n">
        <v>7005</v>
      </c>
      <c r="E549" s="35" t="n">
        <v>50</v>
      </c>
      <c r="F549" s="35" t="n">
        <v>73.48999999999999</v>
      </c>
      <c r="G549" s="35" t="n">
        <v>68.06999999999999</v>
      </c>
      <c r="H549" s="35" t="n">
        <v>59.04</v>
      </c>
      <c r="I549" s="35" t="inlineStr">
        <is>
          <t xml:space="preserve">Vidro flotado e vidro desbastado ou polido em uma ou em ambas as faces, em chapas ou em folhas, mesmo com camada absorvente, refletora ou não, mas sem qualquer outro trabalho </t>
        </is>
      </c>
      <c r="J549" s="40" t="inlineStr">
        <is>
          <t>Lei nº 1.810, art. 49, § 1º, XXIX</t>
        </is>
      </c>
      <c r="L549" s="29">
        <f>IF(D549="NCM/SH","",COUNTIF($D$5:$D$1506,D549))</f>
        <v/>
      </c>
    </row>
    <row r="550" ht="15.75" customHeight="1" thickBot="1">
      <c r="A550" s="1" t="inlineStr">
        <is>
          <t>11Constr</t>
        </is>
      </c>
      <c r="B550" s="164" t="inlineStr">
        <is>
          <t>36.0</t>
        </is>
      </c>
      <c r="C550" s="35" t="inlineStr">
        <is>
          <t>10.036.00</t>
        </is>
      </c>
      <c r="D550" s="35" t="inlineStr">
        <is>
          <t>7007.19.00</t>
        </is>
      </c>
      <c r="E550" s="35" t="n">
        <v>50</v>
      </c>
      <c r="F550" s="35" t="n">
        <v>73.48999999999999</v>
      </c>
      <c r="G550" s="35" t="n">
        <v>68.06999999999999</v>
      </c>
      <c r="H550" s="35" t="n">
        <v>59.04</v>
      </c>
      <c r="I550" s="35" t="inlineStr">
        <is>
          <t xml:space="preserve">Vidros temperados </t>
        </is>
      </c>
      <c r="J550" s="40" t="inlineStr">
        <is>
          <t>Lei nº 1.810, art. 49, § 1º, XXIX</t>
        </is>
      </c>
      <c r="L550" s="29">
        <f>IF(D550="NCM/SH","",COUNTIF($D$5:$D$1506,D550))</f>
        <v/>
      </c>
    </row>
    <row r="551" ht="15.75" customHeight="1" thickBot="1">
      <c r="A551" s="1" t="inlineStr">
        <is>
          <t>11Constr</t>
        </is>
      </c>
      <c r="B551" s="164" t="inlineStr">
        <is>
          <t>37.0</t>
        </is>
      </c>
      <c r="C551" s="35" t="inlineStr">
        <is>
          <t>10.037.00</t>
        </is>
      </c>
      <c r="D551" s="35" t="inlineStr">
        <is>
          <t>7007.29.00</t>
        </is>
      </c>
      <c r="E551" s="35" t="n">
        <v>50</v>
      </c>
      <c r="F551" s="35" t="n">
        <v>73.48999999999999</v>
      </c>
      <c r="G551" s="35" t="n">
        <v>68.06999999999999</v>
      </c>
      <c r="H551" s="35" t="n">
        <v>59.04</v>
      </c>
      <c r="I551" s="35" t="inlineStr">
        <is>
          <t xml:space="preserve">Vidros laminados </t>
        </is>
      </c>
      <c r="J551" s="40" t="inlineStr">
        <is>
          <t>Lei nº 1.810, art. 49, § 1º, XXIX</t>
        </is>
      </c>
      <c r="L551" s="29">
        <f>IF(D551="NCM/SH","",COUNTIF($D$5:$D$1506,D551))</f>
        <v/>
      </c>
    </row>
    <row r="552" ht="15.75" customHeight="1" thickBot="1">
      <c r="A552" s="1" t="inlineStr">
        <is>
          <t>11Constr</t>
        </is>
      </c>
      <c r="B552" s="164" t="inlineStr">
        <is>
          <t>38.0</t>
        </is>
      </c>
      <c r="C552" s="35" t="inlineStr">
        <is>
          <t>10.038.00</t>
        </is>
      </c>
      <c r="D552" s="35" t="n">
        <v>7008</v>
      </c>
      <c r="E552" s="35" t="n">
        <v>50</v>
      </c>
      <c r="F552" s="35" t="n">
        <v>73.48999999999999</v>
      </c>
      <c r="G552" s="35" t="n">
        <v>68.06999999999999</v>
      </c>
      <c r="H552" s="35" t="n">
        <v>59.04</v>
      </c>
      <c r="I552" s="35" t="inlineStr">
        <is>
          <t xml:space="preserve">Vidros isolantes de paredes múltiplas </t>
        </is>
      </c>
      <c r="J552" s="40" t="inlineStr">
        <is>
          <t>Lei nº 1.810, art. 49, § 1º, XXIX</t>
        </is>
      </c>
      <c r="L552" s="29">
        <f>IF(D552="NCM/SH","",COUNTIF($D$5:$D$1506,D552))</f>
        <v/>
      </c>
    </row>
    <row r="553" ht="15.75" customHeight="1" thickBot="1">
      <c r="A553" s="1" t="inlineStr">
        <is>
          <t>11Constr</t>
        </is>
      </c>
      <c r="B553" s="164" t="inlineStr">
        <is>
          <t>39.0</t>
        </is>
      </c>
      <c r="C553" s="35" t="inlineStr">
        <is>
          <t>10.039.00</t>
        </is>
      </c>
      <c r="D553" s="35" t="n">
        <v>7016</v>
      </c>
      <c r="E553" s="35" t="n">
        <v>38</v>
      </c>
      <c r="F553" s="35" t="n">
        <v>59.61</v>
      </c>
      <c r="G553" s="35" t="n">
        <v>54.63</v>
      </c>
      <c r="H553" s="35" t="n">
        <v>46.31</v>
      </c>
      <c r="I553" s="35" t="inlineStr">
        <is>
          <t>Blocos, placas, tijolos, ladrilhos, telhas e outros artefatos, de vidro prensado ou moldado, mesmo armado, para uso na construção; cubos, pastilhas e outros artigos semelhantes</t>
        </is>
      </c>
      <c r="J553" s="40" t="inlineStr">
        <is>
          <t>Lei nº 1.810, art. 49, § 1º, XXIX</t>
        </is>
      </c>
      <c r="L553" s="29">
        <f>IF(D553="NCM/SH","",COUNTIF($D$5:$D$1506,D553))</f>
        <v/>
      </c>
    </row>
    <row r="554" ht="15.75" customHeight="1" thickBot="1">
      <c r="A554" s="1" t="inlineStr">
        <is>
          <t>11Constr</t>
        </is>
      </c>
      <c r="B554" s="164" t="inlineStr">
        <is>
          <t>40.0</t>
        </is>
      </c>
      <c r="C554" s="35" t="inlineStr">
        <is>
          <t>10.040.00</t>
        </is>
      </c>
      <c r="D554" s="35" t="inlineStr">
        <is>
          <t>7214.20.00</t>
        </is>
      </c>
      <c r="E554" s="35" t="n">
        <v>38</v>
      </c>
      <c r="F554" s="35" t="n">
        <v>59.61</v>
      </c>
      <c r="G554" s="35" t="n">
        <v>54.63</v>
      </c>
      <c r="H554" s="35" t="n">
        <v>46.31</v>
      </c>
      <c r="I554" s="35" t="inlineStr">
        <is>
          <t xml:space="preserve">Barras próprias para construções, exceto vergalhões </t>
        </is>
      </c>
      <c r="J554" s="40" t="inlineStr">
        <is>
          <t>Lei nº 1.810, art. 49, § 1º, XXIX</t>
        </is>
      </c>
      <c r="L554" s="29">
        <f>IF(D554="NCM/SH","",COUNTIF($D$5:$D$1506,D554))</f>
        <v/>
      </c>
    </row>
    <row r="555" ht="15.75" customHeight="1" thickBot="1">
      <c r="A555" s="1" t="inlineStr">
        <is>
          <t>11Constr</t>
        </is>
      </c>
      <c r="B555" s="164" t="inlineStr">
        <is>
          <t>41.0</t>
        </is>
      </c>
      <c r="C555" s="35" t="inlineStr">
        <is>
          <t>10.041.00</t>
        </is>
      </c>
      <c r="D555" s="35" t="inlineStr">
        <is>
          <t>7308.90.10</t>
        </is>
      </c>
      <c r="E555" s="35" t="n">
        <v>38</v>
      </c>
      <c r="F555" s="35" t="n">
        <v>59.61</v>
      </c>
      <c r="G555" s="35" t="n">
        <v>54.63</v>
      </c>
      <c r="H555" s="35" t="n">
        <v>46.31</v>
      </c>
      <c r="I555" s="35" t="inlineStr">
        <is>
          <t xml:space="preserve">Outras barras próprias para construções, exceto vergalhões </t>
        </is>
      </c>
      <c r="J555" s="41" t="inlineStr">
        <is>
          <t>Lei nº 1.810, art. 49, § 1º, XXIX</t>
        </is>
      </c>
      <c r="L555" s="29">
        <f>IF(D555="NCM/SH","",COUNTIF($D$5:$D$1506,D555))</f>
        <v/>
      </c>
    </row>
    <row r="556" ht="15.75" customHeight="1" thickBot="1">
      <c r="A556" s="1" t="inlineStr">
        <is>
          <t>11Constr</t>
        </is>
      </c>
      <c r="B556" s="164" t="inlineStr">
        <is>
          <t>41.1</t>
        </is>
      </c>
      <c r="C556" s="35" t="inlineStr">
        <is>
          <t>10.041.01</t>
        </is>
      </c>
      <c r="D556" s="35" t="inlineStr">
        <is>
          <t>7308.90.10</t>
        </is>
      </c>
      <c r="E556" s="35" t="n">
        <v>38</v>
      </c>
      <c r="F556" s="35" t="n">
        <v>59.61</v>
      </c>
      <c r="G556" s="35" t="n">
        <v>54.63</v>
      </c>
      <c r="H556" s="35" t="n">
        <v>46.31</v>
      </c>
      <c r="I556" s="35" t="inlineStr">
        <is>
          <t>Outros vergalhões</t>
        </is>
      </c>
      <c r="J556" s="42" t="inlineStr">
        <is>
          <t>Lei nº 1.810, art. 49, § 1º, XII;</t>
        </is>
      </c>
      <c r="K556" s="43" t="inlineStr">
        <is>
          <t>(Item 41.1: acrescentado pelo Decreto nº 15.520/2020. Efeitos a contar de 1º.09.2020.)</t>
        </is>
      </c>
      <c r="L556" s="29">
        <f>IF(D556="NCM/SH","",COUNTIF($D$5:$D$1506,D556))</f>
        <v/>
      </c>
    </row>
    <row r="557" ht="15.75" customHeight="1" thickBot="1">
      <c r="A557" s="1" t="inlineStr">
        <is>
          <t>11Constr</t>
        </is>
      </c>
      <c r="B557" s="163" t="inlineStr">
        <is>
          <t>42.0</t>
        </is>
      </c>
      <c r="C557" s="163" t="inlineStr">
        <is>
          <t>10.042.00</t>
        </is>
      </c>
      <c r="D557" s="163" t="inlineStr">
        <is>
          <t>7214.20.00</t>
        </is>
      </c>
      <c r="E557" s="163" t="n">
        <v>38</v>
      </c>
      <c r="F557" s="163" t="n">
        <v>59.61</v>
      </c>
      <c r="G557" s="163" t="n">
        <v>54.63</v>
      </c>
      <c r="H557" s="163" t="n">
        <v>46.31</v>
      </c>
      <c r="I557" s="163" t="inlineStr">
        <is>
          <t xml:space="preserve">Vergalhões </t>
        </is>
      </c>
      <c r="J557" s="38" t="inlineStr">
        <is>
          <t>Lei nº 1.810, art. 49, § 1º, XXIX</t>
        </is>
      </c>
      <c r="L557" s="29">
        <f>IF(D557="NCM/SH","",COUNTIF($D$5:$D$1506,D557))</f>
        <v/>
      </c>
    </row>
    <row r="558" ht="15.75" customHeight="1" thickBot="1">
      <c r="A558" s="1" t="inlineStr">
        <is>
          <t>11Constr</t>
        </is>
      </c>
      <c r="B558" s="164" t="inlineStr">
        <is>
          <t>43.0</t>
        </is>
      </c>
      <c r="C558" s="35" t="inlineStr">
        <is>
          <t>10.043.00</t>
        </is>
      </c>
      <c r="D558" s="35" t="n">
        <v>7213</v>
      </c>
      <c r="E558" s="35" t="n">
        <v>38</v>
      </c>
      <c r="F558" s="35" t="n">
        <v>59.61</v>
      </c>
      <c r="G558" s="35" t="n">
        <v>54.63</v>
      </c>
      <c r="H558" s="35" t="n">
        <v>46.31</v>
      </c>
      <c r="I558" s="35" t="inlineStr">
        <is>
          <t>Outros vergalhões</t>
        </is>
      </c>
      <c r="J558" s="42" t="inlineStr">
        <is>
          <t>Lei nº 1.810, art. 49, § 1º, XII;</t>
        </is>
      </c>
      <c r="K558" s="43" t="inlineStr">
        <is>
          <t>(Item 43.0: nova redação dada pelo Decreto nº 15.520/2020. Efeitos a contar de 1º.03.2020.)</t>
        </is>
      </c>
      <c r="L558" s="29">
        <f>IF(D558="NCM/SH","",COUNTIF($D$5:$D$1506,D558))</f>
        <v/>
      </c>
    </row>
    <row r="559" ht="14.45" customHeight="1">
      <c r="A559" s="1" t="inlineStr">
        <is>
          <t>11Constr</t>
        </is>
      </c>
      <c r="B559" s="163" t="inlineStr">
        <is>
          <t>44.0</t>
        </is>
      </c>
      <c r="C559" s="163" t="inlineStr">
        <is>
          <t>10.044.00</t>
        </is>
      </c>
      <c r="D559" s="37" t="inlineStr">
        <is>
          <t>7217.10.90</t>
        </is>
      </c>
      <c r="E559" s="163" t="n">
        <v>38</v>
      </c>
      <c r="F559" s="163" t="n">
        <v>59.61</v>
      </c>
      <c r="G559" s="163" t="n">
        <v>54.63</v>
      </c>
      <c r="H559" s="163" t="n">
        <v>46.31</v>
      </c>
      <c r="I559" s="163" t="inlineStr">
        <is>
          <t xml:space="preserve">Fios de ferro ou aço não ligados, não revestidos, mesmo polidos; cordas, cabos, tranças (entrançados), lingas e artefatos semelhantes, de ferro ou aço, não isolados para usos elétricos </t>
        </is>
      </c>
      <c r="J559" s="38" t="inlineStr">
        <is>
          <t>Lei nº 1.810, art. 49, § 1º, XXIX</t>
        </is>
      </c>
      <c r="L559" s="29">
        <f>IF(D559="NCM/SH","",COUNTIF($D$5:$D$1506,D559))</f>
        <v/>
      </c>
    </row>
    <row r="560" ht="15.75" customHeight="1" thickBot="1">
      <c r="A560" s="1" t="inlineStr">
        <is>
          <t>11Constr</t>
        </is>
      </c>
      <c r="B560" s="164" t="n">
        <v>44</v>
      </c>
      <c r="C560" s="164" t="inlineStr">
        <is>
          <t>10.044.00</t>
        </is>
      </c>
      <c r="D560" s="35" t="n">
        <v>7312</v>
      </c>
      <c r="E560" s="164" t="n">
        <v>38</v>
      </c>
      <c r="F560" s="164" t="n">
        <v>59.61</v>
      </c>
      <c r="G560" s="164" t="n">
        <v>54.63</v>
      </c>
      <c r="H560" s="164" t="n">
        <v>46.31</v>
      </c>
      <c r="I560" s="164" t="inlineStr">
        <is>
          <t xml:space="preserve">Fios de ferro ou aço não ligados, não revestidos, mesmo polidos; cordas, cabos, tranças (entrançados), lingas e artefatos semelhantes, de ferro ou aço, não isolados para usos elétricos </t>
        </is>
      </c>
      <c r="J560" s="38" t="inlineStr">
        <is>
          <t>Lei nº 1.810, art. 49, § 1º, XXIX</t>
        </is>
      </c>
      <c r="L560" s="29">
        <f>IF(D560="NCM/SH","",COUNTIF($D$5:$D$1506,D560))</f>
        <v/>
      </c>
    </row>
    <row r="561" ht="15.75" customHeight="1" thickBot="1">
      <c r="A561" s="1" t="inlineStr">
        <is>
          <t>11Constr</t>
        </is>
      </c>
      <c r="B561" s="46" t="inlineStr">
        <is>
          <t>45.0</t>
        </is>
      </c>
      <c r="C561" s="48" t="inlineStr">
        <is>
          <t>10.045.00</t>
        </is>
      </c>
      <c r="D561" s="48" t="inlineStr">
        <is>
          <t>7217.20.10</t>
        </is>
      </c>
      <c r="E561" s="48" t="n">
        <v>38</v>
      </c>
      <c r="F561" s="48" t="n">
        <v>59.61</v>
      </c>
      <c r="G561" s="48" t="n">
        <v>54.63</v>
      </c>
      <c r="H561" s="48" t="n">
        <v>46.31</v>
      </c>
      <c r="I561" s="48" t="inlineStr">
        <is>
          <t>Outros fios de ferro ou aço, não ligados, galvanizados com um teor de carbono superior ou igual a 0,6%, em peso</t>
        </is>
      </c>
      <c r="J561" s="40" t="inlineStr">
        <is>
          <t>Lei nº 1.810, art. 49, § 1º, XXIX</t>
        </is>
      </c>
      <c r="K561" s="43" t="inlineStr">
        <is>
          <t>(Item 45.0: nova redação dada pelo Decreto nº 14.645/2016. Efeitos a partir de 1º.01.2017.)</t>
        </is>
      </c>
      <c r="L561" s="29">
        <f>IF(D561="NCM/SH","",COUNTIF($D$5:$D$1506,D561))</f>
        <v/>
      </c>
    </row>
    <row r="562" ht="15.75" customHeight="1" thickBot="1">
      <c r="A562" s="1" t="inlineStr">
        <is>
          <t>11Constr</t>
        </is>
      </c>
      <c r="B562" s="46" t="inlineStr">
        <is>
          <t>45.1</t>
        </is>
      </c>
      <c r="C562" s="48" t="inlineStr">
        <is>
          <t>10.045.01</t>
        </is>
      </c>
      <c r="D562" s="48" t="inlineStr">
        <is>
          <t>7217.20.90</t>
        </is>
      </c>
      <c r="E562" s="48" t="n">
        <v>38</v>
      </c>
      <c r="F562" s="48" t="n">
        <v>59.61</v>
      </c>
      <c r="G562" s="48" t="n">
        <v>54.63</v>
      </c>
      <c r="H562" s="48" t="n">
        <v>46.31</v>
      </c>
      <c r="I562" s="48" t="inlineStr">
        <is>
          <t>Outros fios de ferro ou aço, não ligados, galvanizados</t>
        </is>
      </c>
      <c r="J562" s="37" t="inlineStr">
        <is>
          <t>Lei nº 1.810, art. 49, § 1º, XXIX</t>
        </is>
      </c>
      <c r="K562" s="43" t="inlineStr">
        <is>
          <t>(Item 45.1: acrescentado pelo Decreto nº 14.645/2016. Efeitos a partir de 1º.01.2017.)</t>
        </is>
      </c>
      <c r="L562" s="29">
        <f>IF(D562="NCM/SH","",COUNTIF($D$5:$D$1506,D562))</f>
        <v/>
      </c>
    </row>
    <row r="563" ht="15.75" customHeight="1" thickBot="1">
      <c r="A563" s="1" t="inlineStr">
        <is>
          <t>11Constr</t>
        </is>
      </c>
      <c r="B563" s="164" t="inlineStr">
        <is>
          <t>46.0</t>
        </is>
      </c>
      <c r="C563" s="35" t="inlineStr">
        <is>
          <t>10.046.00</t>
        </is>
      </c>
      <c r="D563" s="35" t="n">
        <v>7307</v>
      </c>
      <c r="E563" s="35" t="n">
        <v>38</v>
      </c>
      <c r="F563" s="35" t="n">
        <v>59.61</v>
      </c>
      <c r="G563" s="35" t="n">
        <v>54.63</v>
      </c>
      <c r="H563" s="35" t="n">
        <v>46.31</v>
      </c>
      <c r="I563" s="35" t="inlineStr">
        <is>
          <t xml:space="preserve">Acessórios para tubos (inclusive uniões, cotovelos, luvas ou mangas), de ferro fundido, ferro ou aço </t>
        </is>
      </c>
      <c r="J563" s="163" t="inlineStr">
        <is>
          <t>Lei nº 1.810, art. 49, § 1º, XXIX</t>
        </is>
      </c>
      <c r="L563" s="29">
        <f>IF(D563="NCM/SH","",COUNTIF($D$5:$D$1506,D563))</f>
        <v/>
      </c>
    </row>
    <row r="564" ht="15.75" customHeight="1" thickBot="1">
      <c r="A564" s="1" t="inlineStr">
        <is>
          <t>11Constr</t>
        </is>
      </c>
      <c r="B564" s="164" t="inlineStr">
        <is>
          <t>47.0</t>
        </is>
      </c>
      <c r="C564" s="35" t="inlineStr">
        <is>
          <t>10.047.00</t>
        </is>
      </c>
      <c r="D564" s="35" t="inlineStr">
        <is>
          <t>7308.30.00</t>
        </is>
      </c>
      <c r="E564" s="35" t="n">
        <v>38</v>
      </c>
      <c r="F564" s="35" t="n">
        <v>59.61</v>
      </c>
      <c r="G564" s="35" t="n">
        <v>54.63</v>
      </c>
      <c r="H564" s="35" t="n">
        <v>46.31</v>
      </c>
      <c r="I564" s="35" t="inlineStr">
        <is>
          <t xml:space="preserve">Portas e janelas, e seus caixilhos, alizares e soleiras de ferro fundido, ferro ou aço </t>
        </is>
      </c>
      <c r="J564" s="44" t="inlineStr">
        <is>
          <t>Lei nº 1.810, art. 49, § 1º, XXIX</t>
        </is>
      </c>
      <c r="L564" s="29">
        <f>IF(D564="NCM/SH","",COUNTIF($D$5:$D$1506,D564))</f>
        <v/>
      </c>
    </row>
    <row r="565" ht="14.45" customHeight="1">
      <c r="A565" s="1" t="inlineStr">
        <is>
          <t>11Constr</t>
        </is>
      </c>
      <c r="B565" s="163" t="inlineStr">
        <is>
          <t>48.0</t>
        </is>
      </c>
      <c r="C565" s="163" t="inlineStr">
        <is>
          <t>10.048.00</t>
        </is>
      </c>
      <c r="D565" s="37" t="inlineStr">
        <is>
          <t>7308.40.00</t>
        </is>
      </c>
      <c r="E565" s="163" t="n">
        <v>38</v>
      </c>
      <c r="F565" s="163" t="n">
        <v>59.61</v>
      </c>
      <c r="G565" s="163" t="n">
        <v>54.63</v>
      </c>
      <c r="H565" s="163" t="n">
        <v>46.31</v>
      </c>
      <c r="I565" s="163" t="inlineStr">
        <is>
          <t xml:space="preserve">Material para andaimes, para armações (cofragens) e para escoramentos, (inclusive armações prontas, para estruturas de concreto armado ou argamassa armada), eletrocalhas e perfilados de ferro fundido, ferro ou aço, próprios para construção, exceto treliças de aço </t>
        </is>
      </c>
      <c r="J565" s="44" t="inlineStr">
        <is>
          <t>Lei nº 1.810, art. 49, § 1º, XXIX</t>
        </is>
      </c>
      <c r="L565" s="29">
        <f>IF(D565="NCM/SH","",COUNTIF($D$5:$D$1506,D565))</f>
        <v/>
      </c>
    </row>
    <row r="566" ht="15.75" customHeight="1" thickBot="1">
      <c r="A566" s="1" t="inlineStr">
        <is>
          <t>11Constr</t>
        </is>
      </c>
      <c r="B566" s="164" t="n">
        <v>48</v>
      </c>
      <c r="C566" s="164" t="inlineStr">
        <is>
          <t>10.048.00</t>
        </is>
      </c>
      <c r="D566" s="35" t="inlineStr">
        <is>
          <t>7308.90</t>
        </is>
      </c>
      <c r="E566" s="164" t="n">
        <v>38</v>
      </c>
      <c r="F566" s="164" t="n">
        <v>59.61</v>
      </c>
      <c r="G566" s="164" t="n">
        <v>54.63</v>
      </c>
      <c r="H566" s="164" t="n">
        <v>46.31</v>
      </c>
      <c r="I566" s="164" t="inlineStr">
        <is>
          <t xml:space="preserve">Material para andaimes, para armações (cofragens) e para escoramentos, (inclusive armações prontas, para estruturas de concreto armado ou argamassa armada), eletrocalhas e perfilados de ferro fundido, ferro ou aço, próprios para construção, exceto treliças de aço </t>
        </is>
      </c>
      <c r="J566" s="44" t="inlineStr">
        <is>
          <t>Lei nº 1.810, art. 49, § 1º, XXIX</t>
        </is>
      </c>
      <c r="L566" s="29">
        <f>IF(D566="NCM/SH","",COUNTIF($D$5:$D$1506,D566))</f>
        <v/>
      </c>
    </row>
    <row r="567" ht="15.75" customHeight="1" thickBot="1">
      <c r="A567" s="1" t="inlineStr">
        <is>
          <t>11Constr</t>
        </is>
      </c>
      <c r="B567" s="164" t="inlineStr">
        <is>
          <t>49.0</t>
        </is>
      </c>
      <c r="C567" s="35" t="inlineStr">
        <is>
          <t>10.049.00</t>
        </is>
      </c>
      <c r="D567" s="35" t="inlineStr">
        <is>
          <t>7308.40.00</t>
        </is>
      </c>
      <c r="E567" s="35" t="n">
        <v>38</v>
      </c>
      <c r="F567" s="35" t="n">
        <v>59.61</v>
      </c>
      <c r="G567" s="35" t="n">
        <v>54.63</v>
      </c>
      <c r="H567" s="35" t="n">
        <v>46.31</v>
      </c>
      <c r="I567" s="35" t="inlineStr">
        <is>
          <t xml:space="preserve">Treliças de aço </t>
        </is>
      </c>
      <c r="J567" s="44" t="inlineStr">
        <is>
          <t>Lei nº 1.810, art. 49, § 1º, XXIX</t>
        </is>
      </c>
      <c r="L567" s="29">
        <f>IF(D567="NCM/SH","",COUNTIF($D$5:$D$1506,D567))</f>
        <v/>
      </c>
    </row>
    <row r="568" ht="15.75" customHeight="1" thickBot="1">
      <c r="A568" s="1" t="inlineStr">
        <is>
          <t>11Constr</t>
        </is>
      </c>
      <c r="B568" s="164" t="inlineStr">
        <is>
          <t>50.0</t>
        </is>
      </c>
      <c r="C568" s="35" t="inlineStr">
        <is>
          <t>10.050.00</t>
        </is>
      </c>
      <c r="D568" s="35" t="inlineStr">
        <is>
          <t>7308.90.90</t>
        </is>
      </c>
      <c r="E568" s="35" t="n">
        <v>38</v>
      </c>
      <c r="F568" s="35" t="n">
        <v>59.61</v>
      </c>
      <c r="G568" s="35" t="n">
        <v>54.63</v>
      </c>
      <c r="H568" s="35" t="n">
        <v>46.31</v>
      </c>
      <c r="I568" s="35" t="inlineStr">
        <is>
          <t xml:space="preserve">Telhas metálicas </t>
        </is>
      </c>
      <c r="J568" s="44" t="inlineStr">
        <is>
          <t>Lei nº 1.810, art. 49, § 1º, XXIX</t>
        </is>
      </c>
      <c r="L568" s="29">
        <f>IF(D568="NCM/SH","",COUNTIF($D$5:$D$1506,D568))</f>
        <v/>
      </c>
    </row>
    <row r="569" ht="15.75" customHeight="1" thickBot="1">
      <c r="A569" s="1" t="inlineStr">
        <is>
          <t>11Constr</t>
        </is>
      </c>
      <c r="B569" s="46" t="inlineStr">
        <is>
          <t>51.0</t>
        </is>
      </c>
      <c r="C569" s="48" t="inlineStr">
        <is>
          <t>10.051.00</t>
        </is>
      </c>
      <c r="D569" s="48" t="n">
        <v>7310</v>
      </c>
      <c r="E569" s="48" t="n">
        <v>38</v>
      </c>
      <c r="F569" s="48" t="n">
        <v>59.61</v>
      </c>
      <c r="G569" s="48" t="n">
        <v>54.63</v>
      </c>
      <c r="H569" s="48" t="n">
        <v>46.31</v>
      </c>
      <c r="I569" s="48" t="inlineStr">
        <is>
          <t>Caixas diversas (tais como caixa de correio, de entrada de água, de energia, de instalação) de ferro fundido, ferro ou aço; próprias para a construção</t>
        </is>
      </c>
      <c r="J569" s="44" t="inlineStr">
        <is>
          <t>Lei nº 1.810, art. 49, § 1º, XXIX</t>
        </is>
      </c>
      <c r="K569" s="43" t="inlineStr">
        <is>
          <t>(Item 51.0: nova redação dada pelo Decreto nº 14.645/2016. Efeitos a partir de 1º.01.2017.)</t>
        </is>
      </c>
      <c r="L569" s="29">
        <f>IF(D569="NCM/SH","",COUNTIF($D$5:$D$1506,D569))</f>
        <v/>
      </c>
    </row>
    <row r="570" ht="15.75" customHeight="1" thickBot="1">
      <c r="A570" s="1" t="inlineStr">
        <is>
          <t>11Constr</t>
        </is>
      </c>
      <c r="B570" s="164" t="inlineStr">
        <is>
          <t>52.0</t>
        </is>
      </c>
      <c r="C570" s="35" t="inlineStr">
        <is>
          <t>10.052.00</t>
        </is>
      </c>
      <c r="D570" s="35" t="inlineStr">
        <is>
          <t>7313.00.00</t>
        </is>
      </c>
      <c r="E570" s="35" t="n">
        <v>38</v>
      </c>
      <c r="F570" s="35" t="n">
        <v>59.61</v>
      </c>
      <c r="G570" s="35" t="n">
        <v>54.63</v>
      </c>
      <c r="H570" s="35" t="n">
        <v>46.31</v>
      </c>
      <c r="I570" s="35" t="inlineStr">
        <is>
          <t xml:space="preserve">Arame farpado, de ferro ou aço, arames ou tiras, retorcidos, mesmo farpados, de ferro ou aço, dos tipos utilizados em cercas </t>
        </is>
      </c>
      <c r="J570" s="163" t="inlineStr">
        <is>
          <t>Lei nº 1.810, art. 49, § 1º, XXIX</t>
        </is>
      </c>
      <c r="L570" s="29">
        <f>IF(D570="NCM/SH","",COUNTIF($D$5:$D$1506,D570))</f>
        <v/>
      </c>
    </row>
    <row r="571" ht="15.75" customHeight="1" thickBot="1">
      <c r="A571" s="1" t="inlineStr">
        <is>
          <t>11Constr</t>
        </is>
      </c>
      <c r="B571" s="164" t="inlineStr">
        <is>
          <t>53.0</t>
        </is>
      </c>
      <c r="C571" s="35" t="inlineStr">
        <is>
          <t>10.053.00</t>
        </is>
      </c>
      <c r="D571" s="35" t="n">
        <v>7314</v>
      </c>
      <c r="E571" s="35" t="n">
        <v>38</v>
      </c>
      <c r="F571" s="35" t="n">
        <v>59.61</v>
      </c>
      <c r="G571" s="35" t="n">
        <v>54.63</v>
      </c>
      <c r="H571" s="35" t="n">
        <v>46.31</v>
      </c>
      <c r="I571" s="35" t="inlineStr">
        <is>
          <t>Telas metálicas, grades e redes, de fios de ferro ou aço</t>
        </is>
      </c>
      <c r="J571" s="44" t="inlineStr">
        <is>
          <t>Lei nº 1.810, art. 49, § 1º, XXIX</t>
        </is>
      </c>
      <c r="L571" s="29">
        <f>IF(D571="NCM/SH","",COUNTIF($D$5:$D$1506,D571))</f>
        <v/>
      </c>
    </row>
    <row r="572" ht="15.75" customHeight="1" thickBot="1">
      <c r="A572" s="1" t="inlineStr">
        <is>
          <t>11Constr</t>
        </is>
      </c>
      <c r="B572" s="164" t="inlineStr">
        <is>
          <t>54.0</t>
        </is>
      </c>
      <c r="C572" s="35" t="inlineStr">
        <is>
          <t>10.054.00</t>
        </is>
      </c>
      <c r="D572" s="35" t="inlineStr">
        <is>
          <t>7315.11.00</t>
        </is>
      </c>
      <c r="E572" s="35" t="n">
        <v>38</v>
      </c>
      <c r="F572" s="35" t="n">
        <v>59.61</v>
      </c>
      <c r="G572" s="35" t="n">
        <v>54.63</v>
      </c>
      <c r="H572" s="35" t="n">
        <v>46.31</v>
      </c>
      <c r="I572" s="35" t="inlineStr">
        <is>
          <t xml:space="preserve">Correntes de rolos, de ferro fundido, ferro ou aço </t>
        </is>
      </c>
      <c r="J572" s="44" t="inlineStr">
        <is>
          <t>Lei nº 1.810, art. 49, § 1º, XXIX</t>
        </is>
      </c>
      <c r="L572" s="29">
        <f>IF(D572="NCM/SH","",COUNTIF($D$5:$D$1506,D572))</f>
        <v/>
      </c>
    </row>
    <row r="573" ht="15.75" customHeight="1" thickBot="1">
      <c r="A573" s="1" t="inlineStr">
        <is>
          <t>11Constr</t>
        </is>
      </c>
      <c r="B573" s="164" t="inlineStr">
        <is>
          <t>55.0</t>
        </is>
      </c>
      <c r="C573" s="35" t="inlineStr">
        <is>
          <t>10.055.00</t>
        </is>
      </c>
      <c r="D573" s="35" t="inlineStr">
        <is>
          <t>7315.12.90</t>
        </is>
      </c>
      <c r="E573" s="35" t="n">
        <v>38</v>
      </c>
      <c r="F573" s="35" t="n">
        <v>59.61</v>
      </c>
      <c r="G573" s="35" t="n">
        <v>54.63</v>
      </c>
      <c r="H573" s="35" t="n">
        <v>46.31</v>
      </c>
      <c r="I573" s="35" t="inlineStr">
        <is>
          <t xml:space="preserve">Outras correntes de elos articulados, de ferro fundido, ferro ou aço </t>
        </is>
      </c>
      <c r="J573" s="44" t="inlineStr">
        <is>
          <t>Lei nº 1.810, art. 49, § 1º, XXIX</t>
        </is>
      </c>
      <c r="L573" s="29">
        <f>IF(D573="NCM/SH","",COUNTIF($D$5:$D$1506,D573))</f>
        <v/>
      </c>
    </row>
    <row r="574" ht="15.75" customHeight="1" thickBot="1">
      <c r="A574" s="1" t="inlineStr">
        <is>
          <t>11Constr</t>
        </is>
      </c>
      <c r="B574" s="164" t="inlineStr">
        <is>
          <t>56.0</t>
        </is>
      </c>
      <c r="C574" s="35" t="inlineStr">
        <is>
          <t>10.056.00</t>
        </is>
      </c>
      <c r="D574" s="35" t="inlineStr">
        <is>
          <t>7315.82.00</t>
        </is>
      </c>
      <c r="E574" s="35" t="n">
        <v>38</v>
      </c>
      <c r="F574" s="35" t="n">
        <v>59.61</v>
      </c>
      <c r="G574" s="35" t="n">
        <v>54.63</v>
      </c>
      <c r="H574" s="35" t="n">
        <v>46.31</v>
      </c>
      <c r="I574" s="35" t="inlineStr">
        <is>
          <t xml:space="preserve">Correntes de elos soldados, de ferro fundido, de ferro ou aço </t>
        </is>
      </c>
      <c r="J574" s="44" t="inlineStr">
        <is>
          <t>Lei nº 1.810, art. 49, § 1º, XXIX</t>
        </is>
      </c>
      <c r="L574" s="29">
        <f>IF(D574="NCM/SH","",COUNTIF($D$5:$D$1506,D574))</f>
        <v/>
      </c>
    </row>
    <row r="575" ht="15.75" customHeight="1" thickBot="1">
      <c r="A575" s="1" t="inlineStr">
        <is>
          <t>11Constr</t>
        </is>
      </c>
      <c r="B575" s="164" t="inlineStr">
        <is>
          <t>57.0</t>
        </is>
      </c>
      <c r="C575" s="35" t="inlineStr">
        <is>
          <t>10.057.00</t>
        </is>
      </c>
      <c r="D575" s="35" t="inlineStr">
        <is>
          <t>7317.00</t>
        </is>
      </c>
      <c r="E575" s="35" t="n">
        <v>38</v>
      </c>
      <c r="F575" s="35" t="n">
        <v>59.61</v>
      </c>
      <c r="G575" s="35" t="n">
        <v>54.63</v>
      </c>
      <c r="H575" s="35" t="n">
        <v>46.31</v>
      </c>
      <c r="I575" s="35" t="inlineStr">
        <is>
          <t xml:space="preserve">Tachas, pregos, percevejos, escápulas, grampos ondulados ou biselados e artefatos semelhantes, de ferro fundido, ferro ou aço, mesmo com a cabeça de outra matéria, exceto cobre </t>
        </is>
      </c>
      <c r="J575" s="164" t="inlineStr">
        <is>
          <t>Lei nº 1.810, art. 49, § 1º, XXIX</t>
        </is>
      </c>
      <c r="L575" s="29">
        <f>IF(D575="NCM/SH","",COUNTIF($D$5:$D$1506,D575))</f>
        <v/>
      </c>
    </row>
    <row r="576" ht="14.45" customHeight="1" thickBot="1">
      <c r="A576" s="1" t="inlineStr">
        <is>
          <t>11Constr</t>
        </is>
      </c>
      <c r="B576" s="163" t="inlineStr">
        <is>
          <t>58.0</t>
        </is>
      </c>
      <c r="C576" s="163" t="inlineStr">
        <is>
          <t>10.058.00</t>
        </is>
      </c>
      <c r="D576" s="163" t="n">
        <v>7318</v>
      </c>
      <c r="E576" s="163" t="n">
        <v>38</v>
      </c>
      <c r="F576" s="163" t="n">
        <v>59.61</v>
      </c>
      <c r="G576" s="163" t="n">
        <v>54.63</v>
      </c>
      <c r="H576" s="163" t="n">
        <v>46.31</v>
      </c>
      <c r="I576" s="163" t="inlineStr">
        <is>
          <t>Parafusos, pinos ou pernos, roscados, porcas, tira-fundos, ganchos roscados, rebites, chavetas, contrapinos ou troços, arruelas (anilhas) (incluindo as de pressão) e artigos semelhantes, de ferro fundido, ferro ou aço</t>
        </is>
      </c>
      <c r="J576" s="38" t="inlineStr">
        <is>
          <t>Lei nº 1.810, art. 49, § 1º, XXIX</t>
        </is>
      </c>
      <c r="K576" s="47" t="inlineStr">
        <is>
          <t>(Item 58.0: nova redação dada pelo Decreto nº 16.011/2022. Efeitos a partir de 16.08.2022)</t>
        </is>
      </c>
      <c r="L576" s="29">
        <f>IF(D576="NCM/SH","",COUNTIF($D$5:$D$1506,D576))</f>
        <v/>
      </c>
    </row>
    <row r="577" ht="15.75" customHeight="1" thickBot="1">
      <c r="A577" s="1" t="inlineStr">
        <is>
          <t>11Constr</t>
        </is>
      </c>
      <c r="B577" s="46" t="inlineStr">
        <is>
          <t>59.0</t>
        </is>
      </c>
      <c r="C577" s="48" t="inlineStr">
        <is>
          <t>10.059.00</t>
        </is>
      </c>
      <c r="D577" s="48" t="n">
        <v>7323</v>
      </c>
      <c r="E577" s="48" t="n">
        <v>38</v>
      </c>
      <c r="F577" s="48" t="n">
        <v>59.61</v>
      </c>
      <c r="G577" s="48" t="n">
        <v>54.63</v>
      </c>
      <c r="H577" s="48" t="n">
        <v>46.31</v>
      </c>
      <c r="I577" s="48" t="inlineStr">
        <is>
          <t>Palha de ferro ou aço, exceto os de uso doméstico classificados na posição NCM 7323.10.00</t>
        </is>
      </c>
      <c r="J577" s="37" t="inlineStr">
        <is>
          <t>Lei nº 1.810, art. 49, § 1º, XXIX</t>
        </is>
      </c>
      <c r="K577" s="43" t="inlineStr">
        <is>
          <t>(Item 59.0: nova redação dada pelo Decreto nº 14.645/2016. Efeitos a partir de 1º.01.2017.)</t>
        </is>
      </c>
      <c r="L577" s="29">
        <f>IF(D577="NCM/SH","",COUNTIF($D$5:$D$1506,D577))</f>
        <v/>
      </c>
    </row>
    <row r="578" ht="15.75" customHeight="1" thickBot="1">
      <c r="A578" s="1" t="inlineStr">
        <is>
          <t>11Constr</t>
        </is>
      </c>
      <c r="B578" s="46" t="inlineStr">
        <is>
          <t>59.1</t>
        </is>
      </c>
      <c r="C578" s="48" t="inlineStr">
        <is>
          <t>10.059.01</t>
        </is>
      </c>
      <c r="D578" s="48" t="n">
        <v>7323</v>
      </c>
      <c r="E578" s="48" t="n">
        <v>38</v>
      </c>
      <c r="F578" s="48" t="n">
        <v>59.61</v>
      </c>
      <c r="G578" s="48" t="n">
        <v>54.63</v>
      </c>
      <c r="H578" s="48" t="n">
        <v>46.31</v>
      </c>
      <c r="I578" s="48" t="inlineStr">
        <is>
          <t>Esponjas, esfregões, luvas e artefatos semelhantes para limpeza, polimento e usos semelhantes, de ferro ou aço, exceto os de uso doméstico classificados na posição NCM 7323.10.00</t>
        </is>
      </c>
      <c r="J578" s="37" t="inlineStr">
        <is>
          <t>Lei nº 1.810, art. 49, § 1º, XXIX</t>
        </is>
      </c>
      <c r="K578" s="43" t="inlineStr">
        <is>
          <t>(Item 59.1: acrescentado pelo Decreto nº 14.645/2016. Efeitos a partir de 1º.01.2017.)</t>
        </is>
      </c>
      <c r="L578" s="29">
        <f>IF(D578="NCM/SH","",COUNTIF($D$5:$D$1506,D578))</f>
        <v/>
      </c>
    </row>
    <row r="579" ht="15.75" customHeight="1" thickBot="1">
      <c r="A579" s="1" t="inlineStr">
        <is>
          <t>11Constr</t>
        </is>
      </c>
      <c r="B579" s="164" t="inlineStr">
        <is>
          <t>60.0</t>
        </is>
      </c>
      <c r="C579" s="35" t="inlineStr">
        <is>
          <t>10.060.00</t>
        </is>
      </c>
      <c r="D579" s="35" t="n">
        <v>7324</v>
      </c>
      <c r="E579" s="35" t="n">
        <v>38</v>
      </c>
      <c r="F579" s="35" t="n">
        <v>59.61</v>
      </c>
      <c r="G579" s="35" t="n">
        <v>54.63</v>
      </c>
      <c r="H579" s="35" t="n">
        <v>46.31</v>
      </c>
      <c r="I579" s="35" t="inlineStr">
        <is>
          <t>Artefatos de higiene ou de toucador, e suas partes, de ferro fundido, ferro ou aço, incluídas as pias, banheiras, lavatórios, cubas, mictórios, tanques e afins de ferro fundido, ferro ou aço, para uso na construção</t>
        </is>
      </c>
      <c r="J579" s="163" t="inlineStr">
        <is>
          <t>Lei nº 1.810, art. 49, § 1º, XXIX</t>
        </is>
      </c>
      <c r="L579" s="29">
        <f>IF(D579="NCM/SH","",COUNTIF($D$5:$D$1506,D579))</f>
        <v/>
      </c>
    </row>
    <row r="580" ht="15.75" customHeight="1" thickBot="1">
      <c r="A580" s="1" t="inlineStr">
        <is>
          <t>11Constr</t>
        </is>
      </c>
      <c r="B580" s="164" t="inlineStr">
        <is>
          <t>61.0</t>
        </is>
      </c>
      <c r="C580" s="35" t="inlineStr">
        <is>
          <t>10.061.00</t>
        </is>
      </c>
      <c r="D580" s="35" t="n">
        <v>7325</v>
      </c>
      <c r="E580" s="35" t="n">
        <v>38</v>
      </c>
      <c r="F580" s="35" t="n">
        <v>59.61</v>
      </c>
      <c r="G580" s="35" t="n">
        <v>54.63</v>
      </c>
      <c r="H580" s="35" t="n">
        <v>46.31</v>
      </c>
      <c r="I580" s="35" t="inlineStr">
        <is>
          <t xml:space="preserve">Outras obras moldadas, de ferro fundido, ferro ou aço, para uso na construção </t>
        </is>
      </c>
      <c r="J580" s="44" t="inlineStr">
        <is>
          <t>Lei nº 1.810, art. 49, § 1º, XXIX</t>
        </is>
      </c>
      <c r="L580" s="29">
        <f>IF(D580="NCM/SH","",COUNTIF($D$5:$D$1506,D580))</f>
        <v/>
      </c>
    </row>
    <row r="581" ht="15.75" customHeight="1" thickBot="1">
      <c r="A581" s="1" t="inlineStr">
        <is>
          <t>11Constr</t>
        </is>
      </c>
      <c r="B581" s="164" t="inlineStr">
        <is>
          <t>62.0</t>
        </is>
      </c>
      <c r="C581" s="35" t="inlineStr">
        <is>
          <t>10.062.00</t>
        </is>
      </c>
      <c r="D581" s="35" t="n">
        <v>7326</v>
      </c>
      <c r="E581" s="35" t="n">
        <v>38</v>
      </c>
      <c r="F581" s="35" t="n">
        <v>59.61</v>
      </c>
      <c r="G581" s="35" t="n">
        <v>54.63</v>
      </c>
      <c r="H581" s="35" t="n">
        <v>46.31</v>
      </c>
      <c r="I581" s="35" t="inlineStr">
        <is>
          <t xml:space="preserve">Abraçadeiras </t>
        </is>
      </c>
      <c r="J581" s="44" t="inlineStr">
        <is>
          <t>Lei nº 1.810, art. 49, § 1º, XXIX</t>
        </is>
      </c>
      <c r="L581" s="29">
        <f>IF(D581="NCM/SH","",COUNTIF($D$5:$D$1506,D581))</f>
        <v/>
      </c>
    </row>
    <row r="582" ht="15.75" customHeight="1" thickBot="1">
      <c r="A582" s="1" t="inlineStr">
        <is>
          <t>11Constr</t>
        </is>
      </c>
      <c r="B582" s="164" t="inlineStr">
        <is>
          <t>63.0</t>
        </is>
      </c>
      <c r="C582" s="35" t="inlineStr">
        <is>
          <t>10.063.00</t>
        </is>
      </c>
      <c r="D582" s="35" t="n">
        <v>7407</v>
      </c>
      <c r="E582" s="35" t="n">
        <v>38</v>
      </c>
      <c r="F582" s="35" t="n">
        <v>59.61</v>
      </c>
      <c r="G582" s="35" t="n">
        <v>54.63</v>
      </c>
      <c r="H582" s="35" t="n">
        <v>46.31</v>
      </c>
      <c r="I582" s="35" t="inlineStr">
        <is>
          <t>Barras de cobre</t>
        </is>
      </c>
      <c r="J582" s="44" t="inlineStr">
        <is>
          <t>Lei nº 1.810, art. 49, § 1º, XXIX</t>
        </is>
      </c>
      <c r="L582" s="29">
        <f>IF(D582="NCM/SH","",COUNTIF($D$5:$D$1506,D582))</f>
        <v/>
      </c>
    </row>
    <row r="583" ht="15.75" customHeight="1" thickBot="1">
      <c r="A583" s="1" t="inlineStr">
        <is>
          <t>11Constr</t>
        </is>
      </c>
      <c r="B583" s="164" t="inlineStr">
        <is>
          <t>64.0</t>
        </is>
      </c>
      <c r="C583" s="35" t="inlineStr">
        <is>
          <t>10.064.00</t>
        </is>
      </c>
      <c r="D583" s="35" t="inlineStr">
        <is>
          <t>7411.10.10</t>
        </is>
      </c>
      <c r="E583" s="35" t="n">
        <v>38</v>
      </c>
      <c r="F583" s="35" t="n">
        <v>59.61</v>
      </c>
      <c r="G583" s="35" t="n">
        <v>54.63</v>
      </c>
      <c r="H583" s="35" t="n">
        <v>46.31</v>
      </c>
      <c r="I583" s="35" t="inlineStr">
        <is>
          <t xml:space="preserve">Tubos de cobre e suas ligas, para instalações de água quente e gás, para uso na construção </t>
        </is>
      </c>
      <c r="J583" s="44" t="inlineStr">
        <is>
          <t>Lei nº 1.810, art. 49, § 1º, XXIX</t>
        </is>
      </c>
      <c r="L583" s="29">
        <f>IF(D583="NCM/SH","",COUNTIF($D$5:$D$1506,D583))</f>
        <v/>
      </c>
    </row>
    <row r="584" ht="15.75" customHeight="1" thickBot="1">
      <c r="A584" s="1" t="inlineStr">
        <is>
          <t>11Constr</t>
        </is>
      </c>
      <c r="B584" s="164" t="inlineStr">
        <is>
          <t>65.0</t>
        </is>
      </c>
      <c r="C584" s="35" t="inlineStr">
        <is>
          <t>10.065.00</t>
        </is>
      </c>
      <c r="D584" s="35" t="n">
        <v>7412</v>
      </c>
      <c r="E584" s="35" t="n">
        <v>38</v>
      </c>
      <c r="F584" s="35" t="n">
        <v>59.61</v>
      </c>
      <c r="G584" s="35" t="n">
        <v>54.63</v>
      </c>
      <c r="H584" s="35" t="n">
        <v>46.31</v>
      </c>
      <c r="I584" s="35" t="inlineStr">
        <is>
          <t xml:space="preserve">Acessórios para tubos (por exemplo, uniões, cotovelos, luvas ou mangas) de cobre e suas ligas, para uso na construção </t>
        </is>
      </c>
      <c r="J584" s="44" t="inlineStr">
        <is>
          <t>Lei nº 1.810, art. 49, § 1º, XXIX</t>
        </is>
      </c>
      <c r="L584" s="29">
        <f>IF(D584="NCM/SH","",COUNTIF($D$5:$D$1506,D584))</f>
        <v/>
      </c>
    </row>
    <row r="585" ht="15.75" customHeight="1" thickBot="1">
      <c r="A585" s="1" t="inlineStr">
        <is>
          <t>11Constr</t>
        </is>
      </c>
      <c r="B585" s="164" t="inlineStr">
        <is>
          <t>66.0</t>
        </is>
      </c>
      <c r="C585" s="35" t="inlineStr">
        <is>
          <t>10.066.00</t>
        </is>
      </c>
      <c r="D585" s="35" t="n">
        <v>7415</v>
      </c>
      <c r="E585" s="35" t="n">
        <v>38</v>
      </c>
      <c r="F585" s="35" t="n">
        <v>59.61</v>
      </c>
      <c r="G585" s="35" t="n">
        <v>54.63</v>
      </c>
      <c r="H585" s="35" t="n">
        <v>46.31</v>
      </c>
      <c r="I585" s="35" t="inlineStr">
        <is>
          <t xml:space="preserve">Tachas, pregos, percevejos, escápulas e artefatos semelhantes, de cobre, ou de ferro ou aço com cabeça de cobre, parafusos, pinos ou pernos, roscados, porcas, ganchos roscados, rebites, chavetas, cavilhas, contrapinos, arruelas (incluídas as de pressão), e artefatos semelhantes, de cobre </t>
        </is>
      </c>
      <c r="J585" s="44" t="inlineStr">
        <is>
          <t>Lei nº 1.810, art. 49, § 1º, XXIX</t>
        </is>
      </c>
      <c r="L585" s="29">
        <f>IF(D585="NCM/SH","",COUNTIF($D$5:$D$1506,D585))</f>
        <v/>
      </c>
    </row>
    <row r="586" ht="15.75" customHeight="1" thickBot="1">
      <c r="A586" s="1" t="inlineStr">
        <is>
          <t>11Constr</t>
        </is>
      </c>
      <c r="B586" s="164" t="inlineStr">
        <is>
          <t>67.0</t>
        </is>
      </c>
      <c r="C586" s="35" t="inlineStr">
        <is>
          <t>10.067.00</t>
        </is>
      </c>
      <c r="D586" s="35" t="inlineStr">
        <is>
          <t>7418.20.00</t>
        </is>
      </c>
      <c r="E586" s="35" t="n">
        <v>38</v>
      </c>
      <c r="F586" s="35" t="n">
        <v>59.61</v>
      </c>
      <c r="G586" s="35" t="n">
        <v>54.63</v>
      </c>
      <c r="H586" s="35" t="n">
        <v>46.31</v>
      </c>
      <c r="I586" s="35" t="inlineStr">
        <is>
          <t xml:space="preserve">Artefatos de higiene/toucador de cobre, para uso na construção </t>
        </is>
      </c>
      <c r="J586" s="44" t="inlineStr">
        <is>
          <t>Lei nº 1.810, art. 49, § 1º, XXIX</t>
        </is>
      </c>
      <c r="L586" s="29">
        <f>IF(D586="NCM/SH","",COUNTIF($D$5:$D$1506,D586))</f>
        <v/>
      </c>
    </row>
    <row r="587" ht="15.75" customHeight="1" thickBot="1">
      <c r="A587" s="1" t="inlineStr">
        <is>
          <t>11Constr</t>
        </is>
      </c>
      <c r="B587" s="164" t="inlineStr">
        <is>
          <t>68.0</t>
        </is>
      </c>
      <c r="C587" s="35" t="inlineStr">
        <is>
          <t>10.068.00</t>
        </is>
      </c>
      <c r="D587" s="35" t="inlineStr">
        <is>
          <t>7607.19.90</t>
        </is>
      </c>
      <c r="E587" s="35" t="n">
        <v>38</v>
      </c>
      <c r="F587" s="35" t="n">
        <v>59.61</v>
      </c>
      <c r="G587" s="35" t="n">
        <v>54.63</v>
      </c>
      <c r="H587" s="35" t="n">
        <v>46.31</v>
      </c>
      <c r="I587" s="35" t="inlineStr">
        <is>
          <t xml:space="preserve">Manta de subcobertura aluminizada </t>
        </is>
      </c>
      <c r="J587" s="44" t="inlineStr">
        <is>
          <t>Lei nº 1.810, art. 49, § 1º, XXIX</t>
        </is>
      </c>
      <c r="L587" s="29">
        <f>IF(D587="NCM/SH","",COUNTIF($D$5:$D$1506,D587))</f>
        <v/>
      </c>
    </row>
    <row r="588" ht="15.75" customHeight="1" thickBot="1">
      <c r="A588" s="1" t="inlineStr">
        <is>
          <t>11Constr</t>
        </is>
      </c>
      <c r="B588" s="164" t="inlineStr">
        <is>
          <t>69.0</t>
        </is>
      </c>
      <c r="C588" s="35" t="inlineStr">
        <is>
          <t>10.069.00</t>
        </is>
      </c>
      <c r="D588" s="35" t="n">
        <v>7608</v>
      </c>
      <c r="E588" s="35" t="n">
        <v>38</v>
      </c>
      <c r="F588" s="35" t="n">
        <v>59.61</v>
      </c>
      <c r="G588" s="35" t="n">
        <v>54.63</v>
      </c>
      <c r="H588" s="35" t="n">
        <v>46.31</v>
      </c>
      <c r="I588" s="35" t="inlineStr">
        <is>
          <t xml:space="preserve">Tubos de alumínio e suas ligas, para refrigeração e ar condicionado, para uso na construção </t>
        </is>
      </c>
      <c r="J588" s="44" t="inlineStr">
        <is>
          <t>Lei nº 1.810, art. 49, § 1º, XXIX</t>
        </is>
      </c>
      <c r="L588" s="29">
        <f>IF(D588="NCM/SH","",COUNTIF($D$5:$D$1506,D588))</f>
        <v/>
      </c>
    </row>
    <row r="589" ht="15.75" customHeight="1" thickBot="1">
      <c r="A589" s="1" t="inlineStr">
        <is>
          <t>11Constr</t>
        </is>
      </c>
      <c r="B589" s="164" t="inlineStr">
        <is>
          <t>70.0</t>
        </is>
      </c>
      <c r="C589" s="35" t="inlineStr">
        <is>
          <t>10.070.00</t>
        </is>
      </c>
      <c r="D589" s="35" t="inlineStr">
        <is>
          <t>7609.00.00</t>
        </is>
      </c>
      <c r="E589" s="35" t="n">
        <v>38</v>
      </c>
      <c r="F589" s="35" t="n">
        <v>59.61</v>
      </c>
      <c r="G589" s="35" t="n">
        <v>54.63</v>
      </c>
      <c r="H589" s="35" t="n">
        <v>46.31</v>
      </c>
      <c r="I589" s="35" t="inlineStr">
        <is>
          <t xml:space="preserve">Acessórios para tubos (por exemplo, uniões, cotovelos, luvas ou mangas), de alumínio, para uso na construção </t>
        </is>
      </c>
      <c r="J589" s="164" t="inlineStr">
        <is>
          <t>Lei nº 1.810, art. 49, § 1º, XXIX</t>
        </is>
      </c>
      <c r="L589" s="29">
        <f>IF(D589="NCM/SH","",COUNTIF($D$5:$D$1506,D589))</f>
        <v/>
      </c>
    </row>
    <row r="590" ht="15.75" customHeight="1" thickBot="1">
      <c r="A590" s="1" t="inlineStr">
        <is>
          <t>11Constr</t>
        </is>
      </c>
      <c r="B590" s="164" t="inlineStr">
        <is>
          <t>71.0</t>
        </is>
      </c>
      <c r="C590" s="35" t="inlineStr">
        <is>
          <t>10.071.00</t>
        </is>
      </c>
      <c r="D590" s="35" t="n">
        <v>7610</v>
      </c>
      <c r="E590" s="35" t="n">
        <v>38</v>
      </c>
      <c r="F590" s="35" t="n">
        <v>59.61</v>
      </c>
      <c r="G590" s="35" t="n">
        <v>54.63</v>
      </c>
      <c r="H590" s="35" t="n">
        <v>46.31</v>
      </c>
      <c r="I590" s="35" t="inlineStr">
        <is>
          <t xml:space="preserve">Construções e suas partes (por exemplo, pontes e elementos de pontes, torres, pórticos ou pilones, pilares, colunas, armações, estruturas para telhados, portas e janelas, e seus caixilhos, alizares e soleiras, balaustradas), de alumínio, exceto as construções pré-fabricadas da posição 9406; chapas, barras, perfis, tubos e semelhantes, de alumínio, próprios para construções </t>
        </is>
      </c>
      <c r="J590" s="38" t="inlineStr">
        <is>
          <t>Lei nº 1.810, art. 49, § 1º, XXIX</t>
        </is>
      </c>
      <c r="L590" s="29">
        <f>IF(D590="NCM/SH","",COUNTIF($D$5:$D$1506,D590))</f>
        <v/>
      </c>
    </row>
    <row r="591" ht="15.75" customHeight="1" thickBot="1">
      <c r="A591" s="1" t="inlineStr">
        <is>
          <t>11Constr</t>
        </is>
      </c>
      <c r="B591" s="164" t="inlineStr">
        <is>
          <t>72.0</t>
        </is>
      </c>
      <c r="C591" s="35" t="inlineStr">
        <is>
          <t>10.072.00</t>
        </is>
      </c>
      <c r="D591" s="35" t="inlineStr">
        <is>
          <t>7615.20.00</t>
        </is>
      </c>
      <c r="E591" s="35" t="n">
        <v>38</v>
      </c>
      <c r="F591" s="35" t="n">
        <v>59.61</v>
      </c>
      <c r="G591" s="35" t="n">
        <v>54.63</v>
      </c>
      <c r="H591" s="35" t="n">
        <v>46.31</v>
      </c>
      <c r="I591" s="35" t="inlineStr">
        <is>
          <t xml:space="preserve">Artefatos de higiene/toucador de alumínio, para uso na construção </t>
        </is>
      </c>
      <c r="J591" s="38" t="inlineStr">
        <is>
          <t>Lei nº 1.810, art. 49, § 1º, XXIX</t>
        </is>
      </c>
      <c r="L591" s="29">
        <f>IF(D591="NCM/SH","",COUNTIF($D$5:$D$1506,D591))</f>
        <v/>
      </c>
    </row>
    <row r="592" ht="15.75" customHeight="1" thickBot="1">
      <c r="A592" s="1" t="inlineStr">
        <is>
          <t>11Constr</t>
        </is>
      </c>
      <c r="B592" s="164" t="inlineStr">
        <is>
          <t>73.0</t>
        </is>
      </c>
      <c r="C592" s="35" t="inlineStr">
        <is>
          <t>10.073.00</t>
        </is>
      </c>
      <c r="D592" s="35" t="n">
        <v>7616</v>
      </c>
      <c r="E592" s="35" t="n">
        <v>38</v>
      </c>
      <c r="F592" s="35" t="n">
        <v>59.61</v>
      </c>
      <c r="G592" s="35" t="n">
        <v>54.63</v>
      </c>
      <c r="H592" s="35" t="n">
        <v>46.31</v>
      </c>
      <c r="I592" s="35" t="inlineStr">
        <is>
          <t xml:space="preserve">Outras obras de alumínio, próprias para construções, incluídas as persianas </t>
        </is>
      </c>
      <c r="J592" s="40" t="inlineStr">
        <is>
          <t>Lei nº 1.810, art. 49, § 1º, XXIX</t>
        </is>
      </c>
      <c r="L592" s="29">
        <f>IF(D592="NCM/SH","",COUNTIF($D$5:$D$1506,D592))</f>
        <v/>
      </c>
    </row>
    <row r="593" ht="15.75" customHeight="1" thickBot="1">
      <c r="A593" s="1" t="inlineStr">
        <is>
          <t>11Constr</t>
        </is>
      </c>
      <c r="B593" s="164" t="inlineStr">
        <is>
          <t>74.0</t>
        </is>
      </c>
      <c r="C593" s="35" t="inlineStr">
        <is>
          <t>10.074.00</t>
        </is>
      </c>
      <c r="D593" s="35" t="inlineStr">
        <is>
          <t>8302.41.00</t>
        </is>
      </c>
      <c r="E593" s="35" t="n">
        <v>38</v>
      </c>
      <c r="F593" s="35" t="n">
        <v>59.61</v>
      </c>
      <c r="G593" s="35" t="n">
        <v>54.63</v>
      </c>
      <c r="H593" s="35" t="n">
        <v>46.31</v>
      </c>
      <c r="I593" s="35" t="inlineStr">
        <is>
          <t>Outras guarnições, ferragens e artigos semelhantes de metais comuns, para construções, inclusive puxadores.</t>
        </is>
      </c>
      <c r="J593" s="40" t="inlineStr">
        <is>
          <t>Lei nº 1.810, art. 49, § 1º, XXIX</t>
        </is>
      </c>
      <c r="L593" s="29">
        <f>IF(D593="NCM/SH","",COUNTIF($D$5:$D$1506,D593))</f>
        <v/>
      </c>
    </row>
    <row r="594" ht="15.75" customHeight="1" thickBot="1">
      <c r="A594" s="1" t="inlineStr">
        <is>
          <t>11Constr</t>
        </is>
      </c>
      <c r="B594" s="164" t="inlineStr">
        <is>
          <t>75.0</t>
        </is>
      </c>
      <c r="C594" s="35" t="inlineStr">
        <is>
          <t>10.075.00</t>
        </is>
      </c>
      <c r="D594" s="35" t="n">
        <v>8301</v>
      </c>
      <c r="E594" s="35" t="n">
        <v>38</v>
      </c>
      <c r="F594" s="35" t="n">
        <v>59.61</v>
      </c>
      <c r="G594" s="35" t="n">
        <v>54.63</v>
      </c>
      <c r="H594" s="35" t="n">
        <v>46.31</v>
      </c>
      <c r="I594" s="35" t="inlineStr">
        <is>
          <t xml:space="preserve">Fechaduras e ferrolhos (de chave, de segredo ou elétricos), de metais comuns, incluídas as suas partes fechos e armações com fecho, com fechadura, de metais comuns chaves para estes artigos, de metais comuns; exceto os de uso automotivo </t>
        </is>
      </c>
      <c r="J594" s="40" t="inlineStr">
        <is>
          <t>Lei nº 1.810, art. 49, § 1º, XXIX</t>
        </is>
      </c>
      <c r="L594" s="29">
        <f>IF(D594="NCM/SH","",COUNTIF($D$5:$D$1506,D594))</f>
        <v/>
      </c>
    </row>
    <row r="595" ht="15.75" customHeight="1" thickBot="1">
      <c r="A595" s="1" t="inlineStr">
        <is>
          <t>11Constr</t>
        </is>
      </c>
      <c r="B595" s="164" t="inlineStr">
        <is>
          <t>76.0</t>
        </is>
      </c>
      <c r="C595" s="35" t="inlineStr">
        <is>
          <t>10.076.00</t>
        </is>
      </c>
      <c r="D595" s="35" t="inlineStr">
        <is>
          <t>8302.10.00</t>
        </is>
      </c>
      <c r="E595" s="35" t="n">
        <v>38</v>
      </c>
      <c r="F595" s="35" t="n">
        <v>59.61</v>
      </c>
      <c r="G595" s="35" t="n">
        <v>54.63</v>
      </c>
      <c r="H595" s="35" t="n">
        <v>46.31</v>
      </c>
      <c r="I595" s="35" t="inlineStr">
        <is>
          <t xml:space="preserve">Dobradiças de metais comuns, de qualquer tipo </t>
        </is>
      </c>
      <c r="J595" s="40" t="inlineStr">
        <is>
          <t>Lei nº 1.810, art. 49, § 1º, XXIX</t>
        </is>
      </c>
      <c r="L595" s="29">
        <f>IF(D595="NCM/SH","",COUNTIF($D$5:$D$1506,D595))</f>
        <v/>
      </c>
    </row>
    <row r="596" ht="15.75" customHeight="1" thickBot="1">
      <c r="A596" s="1" t="inlineStr">
        <is>
          <t>11Constr</t>
        </is>
      </c>
      <c r="B596" s="164" t="inlineStr">
        <is>
          <t>77.0</t>
        </is>
      </c>
      <c r="C596" s="35" t="inlineStr">
        <is>
          <t>10.077.00</t>
        </is>
      </c>
      <c r="D596" s="35" t="n">
        <v>8307</v>
      </c>
      <c r="E596" s="35" t="n">
        <v>38</v>
      </c>
      <c r="F596" s="35" t="n">
        <v>59.61</v>
      </c>
      <c r="G596" s="35" t="n">
        <v>54.63</v>
      </c>
      <c r="H596" s="35" t="n">
        <v>46.31</v>
      </c>
      <c r="I596" s="35" t="inlineStr">
        <is>
          <t xml:space="preserve">Tubos flexíveis de metais comuns, mesmo com acessórios, para uso na construção </t>
        </is>
      </c>
      <c r="J596" s="40" t="inlineStr">
        <is>
          <t>Lei nº 1.810, art. 49, § 1º, XXIX</t>
        </is>
      </c>
      <c r="L596" s="29">
        <f>IF(D596="NCM/SH","",COUNTIF($D$5:$D$1506,D596))</f>
        <v/>
      </c>
    </row>
    <row r="597" ht="15.75" customHeight="1" thickBot="1">
      <c r="A597" s="1" t="inlineStr">
        <is>
          <t>11Constr</t>
        </is>
      </c>
      <c r="B597" s="164" t="inlineStr">
        <is>
          <t>78.0</t>
        </is>
      </c>
      <c r="C597" s="35" t="inlineStr">
        <is>
          <t>10.078.00</t>
        </is>
      </c>
      <c r="D597" s="35" t="n">
        <v>8311</v>
      </c>
      <c r="E597" s="35" t="n">
        <v>38</v>
      </c>
      <c r="F597" s="35" t="n">
        <v>59.61</v>
      </c>
      <c r="G597" s="35" t="n">
        <v>54.63</v>
      </c>
      <c r="H597" s="35" t="n">
        <v>46.31</v>
      </c>
      <c r="I597" s="35" t="inlineStr">
        <is>
          <t>Fios, varetas, tubos, chapas, eletrodos e artefatos semelhantes, de metais comuns ou de carbonetos metálicos, revestidos exterior ou interiormente de decapantes ou de fundentes, para soldagem (soldadura) ou depósito de metal ou de carbonetos metálicos fios e varetas de pós de metais comuns aglomerados, para metalização por projeção</t>
        </is>
      </c>
      <c r="J597" s="40" t="inlineStr">
        <is>
          <t>Lei nº 1.810, art. 49, § 1º, XXIX</t>
        </is>
      </c>
      <c r="L597" s="29">
        <f>IF(D597="NCM/SH","",COUNTIF($D$5:$D$1506,D597))</f>
        <v/>
      </c>
    </row>
    <row r="598" ht="15.75" customHeight="1" thickBot="1">
      <c r="A598" s="1" t="inlineStr">
        <is>
          <t>11Constr</t>
        </is>
      </c>
      <c r="B598" s="164" t="inlineStr">
        <is>
          <t>79.0</t>
        </is>
      </c>
      <c r="C598" s="35" t="inlineStr">
        <is>
          <t>10.079.00</t>
        </is>
      </c>
      <c r="D598" s="35" t="n">
        <v>8481</v>
      </c>
      <c r="E598" s="35" t="n">
        <v>38</v>
      </c>
      <c r="F598" s="35" t="n">
        <v>59.61</v>
      </c>
      <c r="G598" s="35" t="n">
        <v>54.63</v>
      </c>
      <c r="H598" s="35" t="n">
        <v>46.31</v>
      </c>
      <c r="I598" s="35" t="inlineStr">
        <is>
          <t xml:space="preserve">Torneiras, válvulas (incluídas as redutoras de pressão e as termostáticas) e dispositivos semelhantes, para canalizações, caldeiras, reservatórios, cubas e outros recipientes </t>
        </is>
      </c>
      <c r="J598" s="41" t="inlineStr">
        <is>
          <t>Lei nº 1.810, art. 49, § 1º, XXIX</t>
        </is>
      </c>
      <c r="L598" s="29">
        <f>IF(D598="NCM/SH","",COUNTIF($D$5:$D$1506,D598))</f>
        <v/>
      </c>
    </row>
    <row r="599" ht="15.75" customHeight="1" thickBot="1">
      <c r="A599" s="1" t="inlineStr">
        <is>
          <t>11Constr</t>
        </is>
      </c>
      <c r="B599" s="46" t="inlineStr">
        <is>
          <t>80.0</t>
        </is>
      </c>
      <c r="C599" s="48" t="inlineStr">
        <is>
          <t>10.080.00</t>
        </is>
      </c>
      <c r="D599" s="48" t="n">
        <v>7009</v>
      </c>
      <c r="E599" s="48" t="n">
        <v>38</v>
      </c>
      <c r="F599" s="48" t="n">
        <v>59.61</v>
      </c>
      <c r="G599" s="48" t="n">
        <v>54.63</v>
      </c>
      <c r="H599" s="48" t="n">
        <v>46.31</v>
      </c>
      <c r="I599" s="48" t="inlineStr">
        <is>
          <t xml:space="preserve">Espelhos de vidro, mesmo emoldurados, exceto os de uso automotivo </t>
        </is>
      </c>
      <c r="J599" s="37" t="inlineStr">
        <is>
          <t>Lei nº 1.810, art. 49, § 1º, XXIX</t>
        </is>
      </c>
      <c r="K599" s="43" t="inlineStr">
        <is>
          <t>(Item 80.0: acrescentado pelo Decreto nº 14.645/2016. Efeitos a partir de 1º.01.2017.)</t>
        </is>
      </c>
      <c r="L599" s="29">
        <f>IF(D599="NCM/SH","",COUNTIF($D$5:$D$1506,D599))</f>
        <v/>
      </c>
    </row>
    <row r="600">
      <c r="B600" s="28" t="n"/>
      <c r="L600" s="29">
        <f>IF(D600="NCM/SH","",COUNTIF($D$5:$D$1506,D600))</f>
        <v/>
      </c>
    </row>
    <row r="601">
      <c r="B601" s="28" t="n"/>
      <c r="L601" s="29">
        <f>IF(D601="NCM/SH","",COUNTIF($D$5:$D$1506,D601))</f>
        <v/>
      </c>
    </row>
    <row r="602">
      <c r="B602" s="28" t="n"/>
      <c r="L602" s="29">
        <f>IF(D602="NCM/SH","",COUNTIF($D$5:$D$1506,D602))</f>
        <v/>
      </c>
    </row>
    <row r="603" ht="15.75" customHeight="1" thickBot="1">
      <c r="A603" s="1" t="inlineStr">
        <is>
          <t>12Limpeza</t>
        </is>
      </c>
      <c r="B603" s="28" t="inlineStr">
        <is>
          <t>Tabela XII</t>
        </is>
      </c>
      <c r="C603" s="28" t="inlineStr">
        <is>
          <t>MATERIAIS DE LIMPEZA</t>
        </is>
      </c>
      <c r="D603" s="62" t="n"/>
      <c r="E603" s="62" t="n"/>
      <c r="F603" s="62" t="n"/>
      <c r="G603" s="62" t="n"/>
      <c r="H603" s="62" t="n"/>
      <c r="L603" s="29">
        <f>IF(D603="NCM/SH","",COUNTIF($D$5:$D$1506,D603))</f>
        <v/>
      </c>
    </row>
    <row r="604" ht="15" customHeight="1" thickBot="1">
      <c r="A604" s="1" t="inlineStr">
        <is>
          <t>12Limpeza</t>
        </is>
      </c>
      <c r="B604" s="98" t="inlineStr">
        <is>
          <t>ITEM</t>
        </is>
      </c>
      <c r="C604" s="163" t="inlineStr">
        <is>
          <t>CEST</t>
        </is>
      </c>
      <c r="D604" s="163" t="inlineStr">
        <is>
          <t>NCM/SH</t>
        </is>
      </c>
      <c r="E604" s="165" t="inlineStr">
        <is>
          <t>MARGEM DE VALOR AGREGADO</t>
        </is>
      </c>
      <c r="F604" s="166" t="n"/>
      <c r="G604" s="166" t="n"/>
      <c r="H604" s="167" t="n"/>
      <c r="I604" s="163" t="inlineStr">
        <is>
          <t xml:space="preserve">DESCRIÇÃO </t>
        </is>
      </c>
      <c r="J604" s="106" t="inlineStr">
        <is>
          <t>DISPOSITIVO LEGAL</t>
        </is>
      </c>
      <c r="L604" s="29">
        <f>IF(D604="NCM/SH","",COUNTIF($D$5:$D$1506,D604))</f>
        <v/>
      </c>
    </row>
    <row r="605" ht="15.75" customHeight="1" thickBot="1">
      <c r="A605" s="1" t="inlineStr">
        <is>
          <t>12Limpeza</t>
        </is>
      </c>
      <c r="B605" s="99" t="inlineStr">
        <is>
          <t>ITEM</t>
        </is>
      </c>
      <c r="C605" s="164" t="inlineStr">
        <is>
          <t>CEST</t>
        </is>
      </c>
      <c r="D605" s="164" t="inlineStr">
        <is>
          <t>NCM/SH</t>
        </is>
      </c>
      <c r="E605" s="35" t="inlineStr">
        <is>
          <t>Oper. interna</t>
        </is>
      </c>
      <c r="F605" s="167" t="inlineStr">
        <is>
          <t>Alíq. 4%</t>
        </is>
      </c>
      <c r="G605" s="167" t="inlineStr">
        <is>
          <t>Alíq. 7%</t>
        </is>
      </c>
      <c r="H605" s="167" t="inlineStr">
        <is>
          <t>Alíq. 12%</t>
        </is>
      </c>
      <c r="I605" s="164" t="inlineStr">
        <is>
          <t xml:space="preserve">DESCRIÇÃO </t>
        </is>
      </c>
      <c r="J605" s="194" t="n"/>
      <c r="L605" s="29">
        <f>IF(D605="NCM/SH","",COUNTIF($D$5:$D$1506,D605))</f>
        <v/>
      </c>
    </row>
    <row r="606" ht="14.45" customHeight="1" thickBot="1">
      <c r="A606" s="1" t="inlineStr">
        <is>
          <t>12Limpeza</t>
        </is>
      </c>
      <c r="B606" s="81" t="inlineStr">
        <is>
          <t>1.0</t>
        </is>
      </c>
      <c r="C606" s="42" t="inlineStr">
        <is>
          <t>11.001.00</t>
        </is>
      </c>
      <c r="D606" s="38" t="inlineStr">
        <is>
          <t>2828.90.11</t>
        </is>
      </c>
      <c r="E606" s="42" t="n">
        <v>53.45</v>
      </c>
      <c r="F606" s="42" t="n">
        <v>77.48999999999999</v>
      </c>
      <c r="G606" s="42" t="n">
        <v>71.94</v>
      </c>
      <c r="H606" s="42" t="n">
        <v>62.7</v>
      </c>
      <c r="I606" s="42" t="inlineStr">
        <is>
          <t>Água sanitária, branqueador e outros alvejantes</t>
        </is>
      </c>
      <c r="J606" s="38" t="inlineStr">
        <is>
          <t>Lei nº 1.810, art. 49, § 1º, XXIX</t>
        </is>
      </c>
      <c r="K606" s="47" t="inlineStr">
        <is>
          <t>(Item 1.0: nova redação dada pelo Decreto nº 16.211/2023. Efeitos a partir de 14.6.2023.)</t>
        </is>
      </c>
      <c r="L606" s="29">
        <f>IF(D606="NCM/SH","",COUNTIF($D$5:$D$1506,D606))</f>
        <v/>
      </c>
    </row>
    <row r="607" ht="15.75" customHeight="1" thickBot="1">
      <c r="A607" s="1" t="inlineStr">
        <is>
          <t>12Limpeza</t>
        </is>
      </c>
      <c r="B607" s="100" t="n">
        <v>1</v>
      </c>
      <c r="C607" s="45" t="inlineStr">
        <is>
          <t>11.001.00</t>
        </is>
      </c>
      <c r="D607" s="38" t="inlineStr">
        <is>
          <t>2828.90.19</t>
        </is>
      </c>
      <c r="E607" s="45" t="n">
        <v>53.45</v>
      </c>
      <c r="F607" s="45" t="n">
        <v>77.48999999999999</v>
      </c>
      <c r="G607" s="45" t="n">
        <v>71.94</v>
      </c>
      <c r="H607" s="45" t="n">
        <v>62.7</v>
      </c>
      <c r="I607" s="45" t="inlineStr">
        <is>
          <t>Água sanitária, branqueador e outros alvejantes</t>
        </is>
      </c>
      <c r="J607" s="38" t="inlineStr">
        <is>
          <t>Lei nº 1.810, art. 49, § 1º, XXIX</t>
        </is>
      </c>
      <c r="K607" s="47" t="inlineStr">
        <is>
          <t>(Item 1.0: nova redação dada pelo Decreto nº 16.211/2023. Efeitos a partir de 14.6.2023.)</t>
        </is>
      </c>
      <c r="L607" s="29">
        <f>IF(D607="NCM/SH","",COUNTIF($D$5:$D$1506,D607))</f>
        <v/>
      </c>
    </row>
    <row r="608" ht="15.75" customHeight="1" thickBot="1">
      <c r="A608" s="1" t="inlineStr">
        <is>
          <t>12Limpeza</t>
        </is>
      </c>
      <c r="B608" s="100" t="n">
        <v>1</v>
      </c>
      <c r="C608" s="45" t="inlineStr">
        <is>
          <t>11.001.00</t>
        </is>
      </c>
      <c r="D608" s="38" t="inlineStr">
        <is>
          <t>3206.41.00</t>
        </is>
      </c>
      <c r="E608" s="45" t="n">
        <v>53.45</v>
      </c>
      <c r="F608" s="45" t="n">
        <v>77.48999999999999</v>
      </c>
      <c r="G608" s="45" t="n">
        <v>71.94</v>
      </c>
      <c r="H608" s="45" t="n">
        <v>62.7</v>
      </c>
      <c r="I608" s="45" t="inlineStr">
        <is>
          <t>Água sanitária, branqueador e outros alvejantes</t>
        </is>
      </c>
      <c r="J608" s="40" t="inlineStr">
        <is>
          <t>Lei nº 1.810, art. 49, § 1º, XXIX</t>
        </is>
      </c>
      <c r="K608" s="47" t="inlineStr">
        <is>
          <t>(Item 1.0: nova redação dada pelo Decreto nº 16.211/2023. Efeitos a partir de 14.6.2023.)</t>
        </is>
      </c>
      <c r="L608" s="29">
        <f>IF(D608="NCM/SH","",COUNTIF($D$5:$D$1506,D608))</f>
        <v/>
      </c>
    </row>
    <row r="609" ht="15.75" customHeight="1" thickBot="1">
      <c r="A609" s="1" t="inlineStr">
        <is>
          <t>12Limpeza</t>
        </is>
      </c>
      <c r="B609" s="100" t="n">
        <v>1</v>
      </c>
      <c r="C609" s="45" t="inlineStr">
        <is>
          <t>11.001.00</t>
        </is>
      </c>
      <c r="D609" s="38" t="inlineStr">
        <is>
          <t>3402.50.00</t>
        </is>
      </c>
      <c r="E609" s="45" t="n">
        <v>53.45</v>
      </c>
      <c r="F609" s="45" t="n">
        <v>77.48999999999999</v>
      </c>
      <c r="G609" s="45" t="n">
        <v>71.94</v>
      </c>
      <c r="H609" s="45" t="n">
        <v>62.7</v>
      </c>
      <c r="I609" s="45" t="inlineStr">
        <is>
          <t>Água sanitária, branqueador e outros alvejantes</t>
        </is>
      </c>
      <c r="J609" s="40" t="inlineStr">
        <is>
          <t>Lei nº 1.810, art. 49, § 1º, XXIX</t>
        </is>
      </c>
      <c r="K609" s="47" t="inlineStr">
        <is>
          <t>(Item 1.0: nova redação dada pelo Decreto nº 16.211/2023. Efeitos a partir de 14.6.2023.)</t>
        </is>
      </c>
      <c r="L609" s="29">
        <f>IF(D609="NCM/SH","",COUNTIF($D$5:$D$1506,D609))</f>
        <v/>
      </c>
    </row>
    <row r="610" ht="15.75" customHeight="1" thickBot="1">
      <c r="A610" s="1" t="inlineStr">
        <is>
          <t>12Limpeza</t>
        </is>
      </c>
      <c r="B610" s="82" t="n">
        <v>1</v>
      </c>
      <c r="C610" s="46" t="inlineStr">
        <is>
          <t>11.001.00</t>
        </is>
      </c>
      <c r="D610" s="48" t="inlineStr">
        <is>
          <t>3808.94.19</t>
        </is>
      </c>
      <c r="E610" s="46" t="n">
        <v>53.45</v>
      </c>
      <c r="F610" s="46" t="n">
        <v>77.48999999999999</v>
      </c>
      <c r="G610" s="46" t="n">
        <v>71.94</v>
      </c>
      <c r="H610" s="46" t="n">
        <v>62.7</v>
      </c>
      <c r="I610" s="46" t="inlineStr">
        <is>
          <t>Água sanitária, branqueador e outros alvejantes</t>
        </is>
      </c>
      <c r="J610" s="40" t="inlineStr">
        <is>
          <t>Lei nº 1.810, art. 49, § 1º, XXIX</t>
        </is>
      </c>
      <c r="K610" s="47" t="inlineStr">
        <is>
          <t>(Item 1.0: nova redação dada pelo Decreto nº 16.211/2023. Efeitos a partir de 14.6.2023.)</t>
        </is>
      </c>
      <c r="L610" s="29">
        <f>IF(D610="NCM/SH","",COUNTIF($D$5:$D$1506,D610))</f>
        <v/>
      </c>
    </row>
    <row r="611" ht="14.45" customHeight="1" thickBot="1">
      <c r="A611" s="1" t="inlineStr">
        <is>
          <t>12Limpeza</t>
        </is>
      </c>
      <c r="B611" s="101" t="inlineStr">
        <is>
          <t>2.0</t>
        </is>
      </c>
      <c r="C611" s="163" t="inlineStr">
        <is>
          <t>11.002.00</t>
        </is>
      </c>
      <c r="D611" s="37" t="inlineStr">
        <is>
          <t>3401.20.90</t>
        </is>
      </c>
      <c r="E611" s="163" t="n">
        <v>53.45</v>
      </c>
      <c r="F611" s="163" t="n">
        <v>77.48999999999999</v>
      </c>
      <c r="G611" s="163" t="n">
        <v>71.94</v>
      </c>
      <c r="H611" s="163" t="n">
        <v>62.7</v>
      </c>
      <c r="I611" s="163" t="inlineStr">
        <is>
          <t>Sabões, desinfetantes e sanitizantes, todos em pó, flocos, palhetas, grânulos ou outras formas semelhantes, para lavar roupas</t>
        </is>
      </c>
      <c r="J611" s="163" t="inlineStr">
        <is>
          <t>Lei nº 1.810, de 1997, art. 49, § 1º, XX</t>
        </is>
      </c>
      <c r="K611" s="43" t="inlineStr">
        <is>
          <t>(Item 2.0: nova redação dada pelo Decreto n° 15.912/2022. Efeitos a partir de 1°.04.2022.)</t>
        </is>
      </c>
      <c r="L611" s="29">
        <f>IF(D611="NCM/SH","",COUNTIF($D$5:$D$1506,D611))</f>
        <v/>
      </c>
    </row>
    <row r="612" ht="15.75" customHeight="1" thickBot="1">
      <c r="A612" s="1" t="inlineStr">
        <is>
          <t>12Limpeza</t>
        </is>
      </c>
      <c r="B612" s="99" t="n">
        <v>2</v>
      </c>
      <c r="C612" s="164" t="inlineStr">
        <is>
          <t>11.002.00</t>
        </is>
      </c>
      <c r="D612" s="35" t="inlineStr">
        <is>
          <t>3808.94.19</t>
        </is>
      </c>
      <c r="E612" s="164" t="n">
        <v>53.45</v>
      </c>
      <c r="F612" s="164" t="n">
        <v>77.48999999999999</v>
      </c>
      <c r="G612" s="164" t="n">
        <v>71.94</v>
      </c>
      <c r="H612" s="164" t="n">
        <v>62.7</v>
      </c>
      <c r="I612" s="164" t="inlineStr">
        <is>
          <t>Sabões, desinfetantes e sanitizantes, todos em pó, flocos, palhetas, grânulos ou outras formas semelhantes, para lavar roupas</t>
        </is>
      </c>
      <c r="J612" s="44" t="inlineStr">
        <is>
          <t>Lei nº 1.810, de 1997, art. 49, § 1º, XX</t>
        </is>
      </c>
      <c r="K612" s="43" t="inlineStr">
        <is>
          <t>(Item 2.0: nova redação dada pelo Decreto n° 15.912/2022. Efeitos a partir de 1°.04.2022.)</t>
        </is>
      </c>
      <c r="L612" s="29">
        <f>IF(D612="NCM/SH","",COUNTIF($D$5:$D$1506,D612))</f>
        <v/>
      </c>
    </row>
    <row r="613" ht="14.45" customHeight="1" thickBot="1">
      <c r="A613" s="1" t="inlineStr">
        <is>
          <t>12Limpeza</t>
        </is>
      </c>
      <c r="B613" s="98" t="inlineStr">
        <is>
          <t>3.0</t>
        </is>
      </c>
      <c r="C613" s="163" t="inlineStr">
        <is>
          <t>11.003.00</t>
        </is>
      </c>
      <c r="D613" s="37" t="inlineStr">
        <is>
          <t>3401.20.90</t>
        </is>
      </c>
      <c r="E613" s="163" t="n">
        <v>53.45</v>
      </c>
      <c r="F613" s="163" t="n">
        <v>77.48999999999999</v>
      </c>
      <c r="G613" s="163" t="n">
        <v>71.94</v>
      </c>
      <c r="H613" s="163" t="n">
        <v>62.7</v>
      </c>
      <c r="I613" s="163" t="inlineStr">
        <is>
          <t>Sabões, desinfetantes e sanitizantes, todos líquidos para lavar roupas</t>
        </is>
      </c>
      <c r="J613" s="44" t="inlineStr">
        <is>
          <t>Lei nº 1.810, de 1997, art. 49, § 1º, XX</t>
        </is>
      </c>
      <c r="K613" s="43" t="inlineStr">
        <is>
          <t>(Item 3.0: nova redação dada pelo Decreto n° 15.912/2022. Efeitos a partir de 1°.04.2022.)</t>
        </is>
      </c>
      <c r="L613" s="29">
        <f>IF(D613="NCM/SH","",COUNTIF($D$5:$D$1506,D613))</f>
        <v/>
      </c>
    </row>
    <row r="614" ht="15.75" customHeight="1" thickBot="1">
      <c r="A614" s="1" t="inlineStr">
        <is>
          <t>12Limpeza</t>
        </is>
      </c>
      <c r="B614" s="99" t="n">
        <v>3</v>
      </c>
      <c r="C614" s="164" t="inlineStr">
        <is>
          <t>11.003.00</t>
        </is>
      </c>
      <c r="D614" s="35" t="inlineStr">
        <is>
          <t>3808.94.19</t>
        </is>
      </c>
      <c r="E614" s="164" t="n">
        <v>53.45</v>
      </c>
      <c r="F614" s="164" t="n">
        <v>77.48999999999999</v>
      </c>
      <c r="G614" s="164" t="n">
        <v>71.94</v>
      </c>
      <c r="H614" s="164" t="n">
        <v>62.7</v>
      </c>
      <c r="I614" s="164" t="inlineStr">
        <is>
          <t>Sabões, desinfetantes e sanitizantes, todos líquidos para lavar roupas</t>
        </is>
      </c>
      <c r="J614" s="44" t="inlineStr">
        <is>
          <t>Lei nº 1.810, de 1997, art. 49, § 1º, XX</t>
        </is>
      </c>
      <c r="K614" s="43" t="inlineStr">
        <is>
          <t>(Item 3.0: nova redação dada pelo Decreto n° 15.912/2022. Efeitos a partir de 1°.04.2022.)</t>
        </is>
      </c>
      <c r="L614" s="29">
        <f>IF(D614="NCM/SH","",COUNTIF($D$5:$D$1506,D614))</f>
        <v/>
      </c>
    </row>
    <row r="615" ht="15.75" customHeight="1" thickBot="1">
      <c r="A615" s="1" t="inlineStr">
        <is>
          <t>12Limpeza</t>
        </is>
      </c>
      <c r="B615" s="165" t="inlineStr">
        <is>
          <t>4.0</t>
        </is>
      </c>
      <c r="C615" s="35" t="inlineStr">
        <is>
          <t>11.004.00</t>
        </is>
      </c>
      <c r="D615" s="35" t="inlineStr">
        <is>
          <t>3402.50.00</t>
        </is>
      </c>
      <c r="E615" s="35" t="n">
        <v>53.45</v>
      </c>
      <c r="F615" s="35" t="n">
        <v>77.48999999999999</v>
      </c>
      <c r="G615" s="35" t="n">
        <v>71.94</v>
      </c>
      <c r="H615" s="35" t="n">
        <v>62.7</v>
      </c>
      <c r="I615" s="35" t="inlineStr">
        <is>
          <t>Detergentes em pó, flocos, palhetas, grânulos ou outras formas semelhantes, inclusive adicionados de propriedades desinfetantes ou sanitizantes.</t>
        </is>
      </c>
      <c r="J615" s="44" t="inlineStr">
        <is>
          <t>Lei nº 1.810, de 1997, art. 49, § 1º, XX</t>
        </is>
      </c>
      <c r="K615" s="47" t="inlineStr">
        <is>
          <t>(Item 4.0: nova redação dada pelo Decreto nº 16.211/2023. Efeitos a partir de 14.6.2023.)</t>
        </is>
      </c>
      <c r="L615" s="29">
        <f>IF(D615="NCM/SH","",COUNTIF($D$5:$D$1506,D615))</f>
        <v/>
      </c>
    </row>
    <row r="616" ht="15.75" customHeight="1" thickBot="1">
      <c r="A616" s="1" t="inlineStr">
        <is>
          <t>12Limpeza</t>
        </is>
      </c>
      <c r="B616" s="165" t="inlineStr">
        <is>
          <t>5.0</t>
        </is>
      </c>
      <c r="C616" s="35" t="inlineStr">
        <is>
          <t>11.005.00</t>
        </is>
      </c>
      <c r="D616" s="73" t="inlineStr">
        <is>
          <t>3402.50.00</t>
        </is>
      </c>
      <c r="E616" s="35" t="n">
        <v>53.45</v>
      </c>
      <c r="F616" s="35" t="n">
        <v>77.48999999999999</v>
      </c>
      <c r="G616" s="35" t="n">
        <v>71.94</v>
      </c>
      <c r="H616" s="35" t="n">
        <v>62.7</v>
      </c>
      <c r="I616" s="35" t="inlineStr">
        <is>
          <t xml:space="preserve">Detergentes líquidos, exceto para lavar roupa </t>
        </is>
      </c>
      <c r="J616" s="38" t="inlineStr">
        <is>
          <t>Lei nº 1.810, art. 49, § 1º, XXIX</t>
        </is>
      </c>
      <c r="K616" s="47" t="inlineStr">
        <is>
          <t>(Item 5.0: nova redação dada pelo Decreto nº 16.211/2023. Efeitos a partir de 14.6.2023.)</t>
        </is>
      </c>
      <c r="L616" s="29">
        <f>IF(D616="NCM/SH","",COUNTIF($D$5:$D$1506,D616))</f>
        <v/>
      </c>
    </row>
    <row r="617" ht="15.75" customHeight="1" thickBot="1">
      <c r="A617" s="1" t="inlineStr">
        <is>
          <t>12Limpeza</t>
        </is>
      </c>
      <c r="B617" s="165" t="inlineStr">
        <is>
          <t>6.0</t>
        </is>
      </c>
      <c r="C617" s="35" t="inlineStr">
        <is>
          <t>11.006.00</t>
        </is>
      </c>
      <c r="D617" s="35" t="inlineStr">
        <is>
          <t>3402.50.00</t>
        </is>
      </c>
      <c r="E617" s="35" t="n">
        <v>53.45</v>
      </c>
      <c r="F617" s="35" t="n">
        <v>77.48999999999999</v>
      </c>
      <c r="G617" s="35" t="n">
        <v>71.94</v>
      </c>
      <c r="H617" s="35" t="n">
        <v>62.7</v>
      </c>
      <c r="I617" s="35" t="inlineStr">
        <is>
          <t>Detergente líquido para lavar roupa, inclusive adicionados de propriedades desinfetantes ou sanitizantes.</t>
        </is>
      </c>
      <c r="J617" s="163" t="inlineStr">
        <is>
          <t>Lei nº 1.810, de 1997, art. 49, § 1º, XX</t>
        </is>
      </c>
      <c r="L617" s="29">
        <f>IF(D617="NCM/SH","",COUNTIF($D$5:$D$1506,D617))</f>
        <v/>
      </c>
    </row>
    <row r="618" ht="14.45" customHeight="1" thickBot="1">
      <c r="A618" s="1" t="inlineStr">
        <is>
          <t>12Limpeza</t>
        </is>
      </c>
      <c r="B618" s="81" t="inlineStr">
        <is>
          <t>7.0</t>
        </is>
      </c>
      <c r="C618" s="42" t="inlineStr">
        <is>
          <t>11.007.00</t>
        </is>
      </c>
      <c r="D618" s="42" t="n">
        <v>3402</v>
      </c>
      <c r="E618" s="42" t="n">
        <v>53.45</v>
      </c>
      <c r="F618" s="42" t="n">
        <v>77.48999999999999</v>
      </c>
      <c r="G618" s="42" t="n">
        <v>71.94</v>
      </c>
      <c r="H618" s="42" t="n">
        <v>62.7</v>
      </c>
      <c r="I618" s="42" t="inlineStr">
        <is>
          <t>Outros agentes orgânicos de superfície (exceto sabões); preparações tensoativas, preparações para lavagem (incluídas as preparações auxiliares para lavagem) e preparações para limpeza (inclusive multiuso e limpadores), mesmo contendo sabão, exceto os produtos descritos nos CEST 11.001.00, 11.004.00, 11.005.00 e 11.006.00; em embalagem de conteúdo inferior ou igual a 50 litros ou 50 kg</t>
        </is>
      </c>
      <c r="J618" s="38" t="inlineStr">
        <is>
          <t>Lei nº 1.810, art. 49, § 1º, XXIX</t>
        </is>
      </c>
      <c r="K618" s="43" t="inlineStr">
        <is>
          <t>(Item 7.0: nova redação dada pelo Decreto nº 14.748/2017. Efeitos a partir de 1º.06.2017.)</t>
        </is>
      </c>
      <c r="L618" s="29">
        <f>IF(D618="NCM/SH","",COUNTIF($D$5:$D$1506,D618))</f>
        <v/>
      </c>
    </row>
    <row r="619" ht="15.75" customHeight="1" thickBot="1">
      <c r="A619" s="1" t="inlineStr">
        <is>
          <t>12Limpeza</t>
        </is>
      </c>
      <c r="B619" s="99" t="inlineStr">
        <is>
          <t>8.0</t>
        </is>
      </c>
      <c r="C619" s="35" t="inlineStr">
        <is>
          <t>11.008.00</t>
        </is>
      </c>
      <c r="D619" s="35" t="inlineStr">
        <is>
          <t>3809.91.90</t>
        </is>
      </c>
      <c r="E619" s="35" t="n">
        <v>53.45</v>
      </c>
      <c r="F619" s="35" t="n">
        <v>77.48999999999999</v>
      </c>
      <c r="G619" s="35" t="n">
        <v>71.94</v>
      </c>
      <c r="H619" s="35" t="n">
        <v>62.7</v>
      </c>
      <c r="I619" s="35" t="inlineStr">
        <is>
          <t>Amaciante/suavizante</t>
        </is>
      </c>
      <c r="J619" s="163" t="inlineStr">
        <is>
          <t>Lei nº 1.810, art. 49, § 1º, XXIX</t>
        </is>
      </c>
      <c r="L619" s="29">
        <f>IF(D619="NCM/SH","",COUNTIF($D$5:$D$1506,D619))</f>
        <v/>
      </c>
    </row>
    <row r="620">
      <c r="A620" s="1" t="inlineStr">
        <is>
          <t>12Limpeza</t>
        </is>
      </c>
      <c r="B620" s="98" t="inlineStr">
        <is>
          <t>9.0</t>
        </is>
      </c>
      <c r="C620" s="163" t="inlineStr">
        <is>
          <t>11.009.00</t>
        </is>
      </c>
      <c r="D620" s="37" t="inlineStr">
        <is>
          <t>3924.10.00</t>
        </is>
      </c>
      <c r="E620" s="163" t="n">
        <v>53.45</v>
      </c>
      <c r="F620" s="163" t="n">
        <v>77.48999999999999</v>
      </c>
      <c r="G620" s="163" t="n">
        <v>71.94</v>
      </c>
      <c r="H620" s="163" t="n">
        <v>62.7</v>
      </c>
      <c r="I620" s="163" t="inlineStr">
        <is>
          <t>Esponjas para limpeza</t>
        </is>
      </c>
      <c r="J620" s="44" t="inlineStr">
        <is>
          <t>Lei nº 1.810, art. 49, § 1º, XXIX</t>
        </is>
      </c>
      <c r="L620" s="29">
        <f>IF(D620="NCM/SH","",COUNTIF($D$5:$D$1506,D620))</f>
        <v/>
      </c>
    </row>
    <row r="621">
      <c r="A621" s="1" t="inlineStr">
        <is>
          <t>12Limpeza</t>
        </is>
      </c>
      <c r="B621" s="101" t="n">
        <v>9</v>
      </c>
      <c r="C621" s="44" t="inlineStr">
        <is>
          <t>11.009.00</t>
        </is>
      </c>
      <c r="D621" s="37" t="inlineStr">
        <is>
          <t>3924.90.00</t>
        </is>
      </c>
      <c r="E621" s="44" t="n">
        <v>53.45</v>
      </c>
      <c r="F621" s="44" t="n">
        <v>77.48999999999999</v>
      </c>
      <c r="G621" s="44" t="n">
        <v>71.94</v>
      </c>
      <c r="H621" s="44" t="n">
        <v>62.7</v>
      </c>
      <c r="I621" s="44" t="inlineStr">
        <is>
          <t>Esponjas para limpeza</t>
        </is>
      </c>
      <c r="J621" s="44" t="inlineStr">
        <is>
          <t>Lei nº 1.810, art. 49, § 1º, XXIX</t>
        </is>
      </c>
      <c r="L621" s="29">
        <f>IF(D621="NCM/SH","",COUNTIF($D$5:$D$1506,D621))</f>
        <v/>
      </c>
    </row>
    <row r="622">
      <c r="A622" s="1" t="inlineStr">
        <is>
          <t>12Limpeza</t>
        </is>
      </c>
      <c r="B622" s="101" t="n">
        <v>9</v>
      </c>
      <c r="C622" s="44" t="inlineStr">
        <is>
          <t>11.009.00</t>
        </is>
      </c>
      <c r="D622" s="37" t="inlineStr">
        <is>
          <t>6805.30.10</t>
        </is>
      </c>
      <c r="E622" s="44" t="n">
        <v>53.45</v>
      </c>
      <c r="F622" s="44" t="n">
        <v>77.48999999999999</v>
      </c>
      <c r="G622" s="44" t="n">
        <v>71.94</v>
      </c>
      <c r="H622" s="44" t="n">
        <v>62.7</v>
      </c>
      <c r="I622" s="44" t="inlineStr">
        <is>
          <t>Esponjas para limpeza</t>
        </is>
      </c>
      <c r="J622" s="44" t="inlineStr">
        <is>
          <t>Lei nº 1.810, art. 49, § 1º, XXIX</t>
        </is>
      </c>
      <c r="L622" s="29">
        <f>IF(D622="NCM/SH","",COUNTIF($D$5:$D$1506,D622))</f>
        <v/>
      </c>
    </row>
    <row r="623" ht="15.75" customHeight="1" thickBot="1">
      <c r="A623" s="1" t="inlineStr">
        <is>
          <t>12Limpeza</t>
        </is>
      </c>
      <c r="B623" s="99" t="n">
        <v>9</v>
      </c>
      <c r="C623" s="164" t="inlineStr">
        <is>
          <t>11.009.00</t>
        </is>
      </c>
      <c r="D623" s="35" t="inlineStr">
        <is>
          <t>6805.30.90</t>
        </is>
      </c>
      <c r="E623" s="164" t="n">
        <v>53.45</v>
      </c>
      <c r="F623" s="164" t="n">
        <v>77.48999999999999</v>
      </c>
      <c r="G623" s="164" t="n">
        <v>71.94</v>
      </c>
      <c r="H623" s="164" t="n">
        <v>62.7</v>
      </c>
      <c r="I623" s="164" t="inlineStr">
        <is>
          <t>Esponjas para limpeza</t>
        </is>
      </c>
      <c r="J623" s="44" t="inlineStr">
        <is>
          <t>Lei nº 1.810, art. 49, § 1º, XXIX</t>
        </is>
      </c>
      <c r="L623" s="29">
        <f>IF(D623="NCM/SH","",COUNTIF($D$5:$D$1506,D623))</f>
        <v/>
      </c>
    </row>
    <row r="624">
      <c r="A624" s="1" t="inlineStr">
        <is>
          <t>12Limpeza</t>
        </is>
      </c>
      <c r="B624" s="98" t="inlineStr">
        <is>
          <t>10.0</t>
        </is>
      </c>
      <c r="C624" s="42" t="inlineStr">
        <is>
          <t>11.010.00</t>
        </is>
      </c>
      <c r="D624" s="38" t="n">
        <v>2207</v>
      </c>
      <c r="E624" s="163" t="n">
        <v>53.45</v>
      </c>
      <c r="F624" s="163" t="n">
        <v>77.48999999999999</v>
      </c>
      <c r="G624" s="163" t="n">
        <v>71.94</v>
      </c>
      <c r="H624" s="163" t="n">
        <v>62.7</v>
      </c>
      <c r="I624" s="42" t="inlineStr">
        <is>
          <t xml:space="preserve">Álcool etílico para limpeza </t>
        </is>
      </c>
      <c r="J624" s="44" t="inlineStr">
        <is>
          <t>Lei nº 1.810, art. 49, § 1º, XXIX</t>
        </is>
      </c>
      <c r="L624" s="29">
        <f>IF(D624="NCM/SH","",COUNTIF($D$5:$D$1506,D624))</f>
        <v/>
      </c>
    </row>
    <row r="625" ht="15.75" customHeight="1" thickBot="1">
      <c r="A625" s="1" t="inlineStr">
        <is>
          <t>12Limpeza</t>
        </is>
      </c>
      <c r="B625" s="99" t="n">
        <v>10</v>
      </c>
      <c r="C625" s="46" t="inlineStr">
        <is>
          <t>11.010.00</t>
        </is>
      </c>
      <c r="D625" s="48" t="inlineStr">
        <is>
          <t>2208.90.00</t>
        </is>
      </c>
      <c r="E625" s="164" t="n">
        <v>53.45</v>
      </c>
      <c r="F625" s="164" t="n">
        <v>77.48999999999999</v>
      </c>
      <c r="G625" s="164" t="n">
        <v>71.94</v>
      </c>
      <c r="H625" s="164" t="n">
        <v>62.7</v>
      </c>
      <c r="I625" s="46" t="inlineStr">
        <is>
          <t xml:space="preserve">Álcool etílico para limpeza </t>
        </is>
      </c>
      <c r="J625" s="44" t="inlineStr">
        <is>
          <t>Lei nº 1.810, art. 49, § 1º, XXIX</t>
        </is>
      </c>
      <c r="L625" s="29">
        <f>IF(D625="NCM/SH","",COUNTIF($D$5:$D$1506,D625))</f>
        <v/>
      </c>
    </row>
    <row r="626" ht="15.75" customHeight="1" thickBot="1">
      <c r="A626" s="1" t="inlineStr">
        <is>
          <t>12Limpeza</t>
        </is>
      </c>
      <c r="B626" s="165" t="inlineStr">
        <is>
          <t>11.0</t>
        </is>
      </c>
      <c r="C626" s="35" t="inlineStr">
        <is>
          <t>11.011.00</t>
        </is>
      </c>
      <c r="D626" s="35" t="inlineStr">
        <is>
          <t>7323.10.00</t>
        </is>
      </c>
      <c r="E626" s="35" t="n">
        <v>53.45</v>
      </c>
      <c r="F626" s="35" t="n">
        <v>77.48999999999999</v>
      </c>
      <c r="G626" s="35" t="n">
        <v>71.94</v>
      </c>
      <c r="H626" s="35" t="n">
        <v>62.7</v>
      </c>
      <c r="I626" s="48" t="inlineStr">
        <is>
          <t>Esponjas e palhas de aço; esponjas para limpeza, polimento ou uso semelhantes; todas de uso doméstico</t>
        </is>
      </c>
      <c r="J626" s="164" t="inlineStr">
        <is>
          <t>Lei nº 1.810, art. 49, § 1º, XXIX</t>
        </is>
      </c>
      <c r="L626" s="29">
        <f>IF(D626="NCM/SH","",COUNTIF($D$5:$D$1506,D626))</f>
        <v/>
      </c>
    </row>
    <row r="627" ht="15.75" customHeight="1" thickBot="1">
      <c r="A627" s="1" t="inlineStr">
        <is>
          <t>12Limpeza</t>
        </is>
      </c>
      <c r="B627" s="78" t="inlineStr">
        <is>
          <t>12.0</t>
        </is>
      </c>
      <c r="C627" s="48" t="inlineStr">
        <is>
          <t>11.012.00</t>
        </is>
      </c>
      <c r="D627" s="48" t="inlineStr">
        <is>
          <t>3923.2</t>
        </is>
      </c>
      <c r="E627" s="48" t="n">
        <v>53.45</v>
      </c>
      <c r="F627" s="48" t="n">
        <v>77.48999999999999</v>
      </c>
      <c r="G627" s="48" t="n">
        <v>71.94</v>
      </c>
      <c r="H627" s="48" t="n">
        <v>62.7</v>
      </c>
      <c r="I627" s="48" t="inlineStr">
        <is>
          <t>Sacos de lixo de conteúdo igual ou inferior a 100 litros</t>
        </is>
      </c>
      <c r="J627" s="37" t="inlineStr">
        <is>
          <t>Lei nº 1.810, art. 49, § 1º, XXIX</t>
        </is>
      </c>
      <c r="K627" s="43" t="inlineStr">
        <is>
          <t>(Item 12.0: acrescentado pelo Decreto nº 14.645/2016. Efeitos a partir de 1º.01.2017.)</t>
        </is>
      </c>
      <c r="L627" s="29">
        <f>IF(D627="NCM/SH","",COUNTIF($D$5:$D$1506,D627))</f>
        <v/>
      </c>
    </row>
    <row r="628">
      <c r="B628" s="65" t="n"/>
      <c r="C628" s="65" t="n"/>
      <c r="D628" s="65" t="n"/>
      <c r="E628" s="65" t="n"/>
      <c r="F628" s="65" t="n"/>
      <c r="G628" s="65" t="n"/>
      <c r="H628" s="65" t="n"/>
      <c r="I628" s="65" t="n"/>
      <c r="J628" s="65" t="n"/>
      <c r="K628" s="65" t="n"/>
      <c r="L628" s="29">
        <f>IF(D628="NCM/SH","",COUNTIF($D$5:$D$1506,D628))</f>
        <v/>
      </c>
    </row>
    <row r="629">
      <c r="B629" s="31" t="n"/>
      <c r="L629" s="29">
        <f>IF(D629="NCM/SH","",COUNTIF($D$5:$D$1506,D629))</f>
        <v/>
      </c>
    </row>
    <row r="630">
      <c r="B630" s="28" t="n"/>
      <c r="L630" s="29">
        <f>IF(D630="NCM/SH","",COUNTIF($D$5:$D$1506,D630))</f>
        <v/>
      </c>
    </row>
    <row r="631" ht="15.75" customHeight="1" thickBot="1">
      <c r="A631" s="1" t="inlineStr">
        <is>
          <t>13Eletrico</t>
        </is>
      </c>
      <c r="B631" s="28" t="inlineStr">
        <is>
          <t>Tabela XIII</t>
        </is>
      </c>
      <c r="C631" s="28" t="inlineStr">
        <is>
          <t>MATERIAIS ELÉTRICOS</t>
        </is>
      </c>
      <c r="D631" s="62" t="n"/>
      <c r="E631" s="62" t="n"/>
      <c r="F631" s="62" t="n"/>
      <c r="G631" s="62" t="n"/>
      <c r="H631" s="62" t="n"/>
      <c r="L631" s="29">
        <f>IF(D631="NCM/SH","",COUNTIF($D$5:$D$1506,D631))</f>
        <v/>
      </c>
    </row>
    <row r="632" ht="15" customHeight="1" thickBot="1">
      <c r="A632" s="1" t="inlineStr">
        <is>
          <t>13Eletrico</t>
        </is>
      </c>
      <c r="B632" s="163" t="inlineStr">
        <is>
          <t>ITEM</t>
        </is>
      </c>
      <c r="C632" s="163" t="inlineStr">
        <is>
          <t>CEST</t>
        </is>
      </c>
      <c r="D632" s="163" t="inlineStr">
        <is>
          <t>NCM/SH</t>
        </is>
      </c>
      <c r="E632" s="165" t="inlineStr">
        <is>
          <t>MARGEM DE VALOR AGREGADO</t>
        </is>
      </c>
      <c r="F632" s="166" t="n"/>
      <c r="G632" s="166" t="n"/>
      <c r="H632" s="167" t="n"/>
      <c r="I632" s="163" t="inlineStr">
        <is>
          <t xml:space="preserve">DESCRIÇÃO </t>
        </is>
      </c>
      <c r="J632" s="163" t="inlineStr">
        <is>
          <t>DISPOSITIVO LEGAL</t>
        </is>
      </c>
      <c r="L632" s="29">
        <f>IF(D632="NCM/SH","",COUNTIF($D$5:$D$1506,D632))</f>
        <v/>
      </c>
    </row>
    <row r="633" ht="15.75" customHeight="1" thickBot="1">
      <c r="A633" s="1" t="inlineStr">
        <is>
          <t>13Eletrico</t>
        </is>
      </c>
      <c r="B633" s="164" t="inlineStr">
        <is>
          <t>ITEM</t>
        </is>
      </c>
      <c r="C633" s="164" t="inlineStr">
        <is>
          <t>CEST</t>
        </is>
      </c>
      <c r="D633" s="164" t="inlineStr">
        <is>
          <t>NCM/SH</t>
        </is>
      </c>
      <c r="E633" s="35" t="inlineStr">
        <is>
          <t>Oper. interna</t>
        </is>
      </c>
      <c r="F633" s="167" t="inlineStr">
        <is>
          <t>Alíq. 4%</t>
        </is>
      </c>
      <c r="G633" s="167" t="inlineStr">
        <is>
          <t>Alíq. 7%</t>
        </is>
      </c>
      <c r="H633" s="167" t="inlineStr">
        <is>
          <t>Alíq. 12%</t>
        </is>
      </c>
      <c r="I633" s="164" t="inlineStr">
        <is>
          <t xml:space="preserve">DESCRIÇÃO </t>
        </is>
      </c>
      <c r="J633" s="164" t="inlineStr">
        <is>
          <t>DISPOSITIVO LEGAL</t>
        </is>
      </c>
      <c r="L633" s="29">
        <f>IF(D633="NCM/SH","",COUNTIF($D$5:$D$1506,D633))</f>
        <v/>
      </c>
    </row>
    <row r="634" ht="15.75" customHeight="1" thickBot="1">
      <c r="A634" s="1" t="inlineStr">
        <is>
          <t>13Eletrico</t>
        </is>
      </c>
      <c r="B634" s="164" t="inlineStr">
        <is>
          <t>1.0</t>
        </is>
      </c>
      <c r="C634" s="35" t="inlineStr">
        <is>
          <t>12.001.00</t>
        </is>
      </c>
      <c r="D634" s="35" t="n">
        <v>8504</v>
      </c>
      <c r="E634" s="35" t="n">
        <v>38</v>
      </c>
      <c r="F634" s="35" t="n">
        <v>59.61</v>
      </c>
      <c r="G634" s="35" t="n">
        <v>54.63</v>
      </c>
      <c r="H634" s="35" t="n">
        <v>46.31</v>
      </c>
      <c r="I634" s="35" t="inlineStr">
        <is>
          <t>Transformadores, bobinas de reatância e de auto indução, inclusive os transformadores de potência superior a 16 KVA, classificados nas posições 8504.33.00 e 8504.34.00; exceto os demais transformadores da subposição 8504.3, os reatores para lâmpadas elétricas de descarga classificados no código 8504.10.00, os carregadores de acumuladores do código 8504.40.10, os equipamentos de alimentação ininterrupta de energia (UPS ou “no break”), no código 8504.40.40 e os de uso automotivo</t>
        </is>
      </c>
      <c r="J634" s="38" t="inlineStr">
        <is>
          <t>Lei nº 1.810, art. 49,§ 1º, XXIX</t>
        </is>
      </c>
      <c r="L634" s="29">
        <f>IF(D634="NCM/SH","",COUNTIF($D$5:$D$1506,D634))</f>
        <v/>
      </c>
    </row>
    <row r="635" ht="15.75" customHeight="1" thickBot="1">
      <c r="A635" s="1" t="inlineStr">
        <is>
          <t>13Eletrico</t>
        </is>
      </c>
      <c r="B635" s="164" t="inlineStr">
        <is>
          <t>2.0</t>
        </is>
      </c>
      <c r="C635" s="35" t="inlineStr">
        <is>
          <t>12.002.00</t>
        </is>
      </c>
      <c r="D635" s="35" t="n">
        <v>8516</v>
      </c>
      <c r="E635" s="35" t="n">
        <v>38</v>
      </c>
      <c r="F635" s="35" t="n">
        <v>59.61</v>
      </c>
      <c r="G635" s="35" t="n">
        <v>54.63</v>
      </c>
      <c r="H635" s="35" t="n">
        <v>46.31</v>
      </c>
      <c r="I635" s="35" t="inlineStr">
        <is>
          <t>Aquecedores elétricos de água, incluídos os de imersão, chuveiros ou duchas elétricos, torneiras elétricas, resistências de aquecimento, inclusive as de duchas e chuveiros elétricos e suas partes; exceto outros fornos, fogareiros (incluídas as chapas de cocção), grelhas e assadeiras, classificados na posição 8516.60.00</t>
        </is>
      </c>
      <c r="J635" s="38" t="inlineStr">
        <is>
          <t>Lei nº 1.810, art. 49,§ 1º, XXIX</t>
        </is>
      </c>
      <c r="L635" s="29">
        <f>IF(D635="NCM/SH","",COUNTIF($D$5:$D$1506,D635))</f>
        <v/>
      </c>
    </row>
    <row r="636" ht="15.75" customHeight="1" thickBot="1">
      <c r="A636" s="1" t="inlineStr">
        <is>
          <t>13Eletrico</t>
        </is>
      </c>
      <c r="B636" s="164" t="inlineStr">
        <is>
          <t>3.0</t>
        </is>
      </c>
      <c r="C636" s="35" t="inlineStr">
        <is>
          <t>12.003.00</t>
        </is>
      </c>
      <c r="D636" s="35" t="n">
        <v>8535</v>
      </c>
      <c r="E636" s="35" t="n">
        <v>38</v>
      </c>
      <c r="F636" s="35" t="n">
        <v>59.61</v>
      </c>
      <c r="G636" s="35" t="n">
        <v>54.63</v>
      </c>
      <c r="H636" s="35" t="n">
        <v>46.31</v>
      </c>
      <c r="I636" s="35" t="inlineStr">
        <is>
          <t xml:space="preserve">Aparelhos para interrupção, seccionamento, proteção, derivação, ligação ou conexão de circuitos elétricos (por exemplo, interruptores, comutadores, corta-circuitos, para-raios, limitadores de tensão, eliminadores de onda, tomadas de corrente e outros conectores, caixas de junção), para tensão superior a 1.000V, exceto os de uso automotivo </t>
        </is>
      </c>
      <c r="J636" s="41" t="inlineStr">
        <is>
          <t>Lei nº 1.810, art. 49,§ 1º, XXIX</t>
        </is>
      </c>
      <c r="L636" s="29">
        <f>IF(D636="NCM/SH","",COUNTIF($D$5:$D$1506,D636))</f>
        <v/>
      </c>
    </row>
    <row r="637" ht="15.75" customHeight="1" thickBot="1">
      <c r="A637" s="1" t="inlineStr">
        <is>
          <t>13Eletrico</t>
        </is>
      </c>
      <c r="B637" s="164" t="inlineStr">
        <is>
          <t>4.0</t>
        </is>
      </c>
      <c r="C637" s="35" t="inlineStr">
        <is>
          <t>12.004.00</t>
        </is>
      </c>
      <c r="D637" s="35" t="n">
        <v>8536</v>
      </c>
      <c r="E637" s="35" t="n">
        <v>38</v>
      </c>
      <c r="F637" s="35" t="n">
        <v>59.61</v>
      </c>
      <c r="G637" s="35" t="n">
        <v>54.63</v>
      </c>
      <c r="H637" s="35" t="n">
        <v>46.31</v>
      </c>
      <c r="I637" s="35" t="inlineStr">
        <is>
          <t xml:space="preserve">Aparelhos para interrupção, seccionamento, proteção, derivação, ligação ou conexão de circuitos elétricos (por exemplo, interruptores, comutadores, relés, corta-circuitos, eliminadores de onda, plugues e tomadas de corrente, suportes para lâmpadas e outros conectores, caixas de junção), para uma tensão não superior a 1.000V; conectores para fibras ópticas, feixes ou cabos de fibras ópticas; exceto "starter" classificado na subposição 8536.50 e os de uso automotivo </t>
        </is>
      </c>
      <c r="J637" s="38" t="inlineStr">
        <is>
          <t>Lei nº 1.810, art. 49,§ 1º, XXIX</t>
        </is>
      </c>
      <c r="L637" s="29">
        <f>IF(D637="NCM/SH","",COUNTIF($D$5:$D$1506,D637))</f>
        <v/>
      </c>
    </row>
    <row r="638" ht="15.75" customHeight="1" thickBot="1">
      <c r="A638" s="1" t="inlineStr">
        <is>
          <t>13Eletrico</t>
        </is>
      </c>
      <c r="B638" s="164" t="inlineStr">
        <is>
          <t>5.0</t>
        </is>
      </c>
      <c r="C638" s="35" t="inlineStr">
        <is>
          <t>12.005.00</t>
        </is>
      </c>
      <c r="D638" s="35" t="n">
        <v>8538</v>
      </c>
      <c r="E638" s="35" t="n">
        <v>38</v>
      </c>
      <c r="F638" s="35" t="n">
        <v>59.61</v>
      </c>
      <c r="G638" s="35" t="n">
        <v>54.63</v>
      </c>
      <c r="H638" s="35" t="n">
        <v>46.31</v>
      </c>
      <c r="I638" s="35" t="inlineStr">
        <is>
          <t>Partes reconhecíveis como exclusiva ou principalmente destinadas aos aparelhos das posições 8535 e 8536</t>
        </is>
      </c>
      <c r="J638" s="38" t="inlineStr">
        <is>
          <t>Lei nº 1.810, art. 49,§ 1º, XXIX</t>
        </is>
      </c>
      <c r="L638" s="29">
        <f>IF(D638="NCM/SH","",COUNTIF($D$5:$D$1506,D638))</f>
        <v/>
      </c>
    </row>
    <row r="639" ht="15.75" customHeight="1" thickBot="1">
      <c r="A639" s="1" t="inlineStr">
        <is>
          <t>13Eletrico</t>
        </is>
      </c>
      <c r="B639" s="164" t="inlineStr">
        <is>
          <t>6.0</t>
        </is>
      </c>
      <c r="C639" s="35" t="inlineStr">
        <is>
          <t>12.006.00</t>
        </is>
      </c>
      <c r="D639" s="35" t="inlineStr">
        <is>
          <t>7413.00.00</t>
        </is>
      </c>
      <c r="E639" s="35" t="n">
        <v>38</v>
      </c>
      <c r="F639" s="35" t="n">
        <v>59.61</v>
      </c>
      <c r="G639" s="35" t="n">
        <v>54.63</v>
      </c>
      <c r="H639" s="35" t="n">
        <v>46.31</v>
      </c>
      <c r="I639" s="35" t="inlineStr">
        <is>
          <t xml:space="preserve">Cabos, tranças e semelhantes, de cobre, não isolados para usos elétricos, exceto os de uso automotivo </t>
        </is>
      </c>
      <c r="J639" s="40" t="inlineStr">
        <is>
          <t>Lei nº 1.810, art. 49,§ 1º, XXIX</t>
        </is>
      </c>
      <c r="L639" s="29">
        <f>IF(D639="NCM/SH","",COUNTIF($D$5:$D$1506,D639))</f>
        <v/>
      </c>
    </row>
    <row r="640" ht="14.45" customHeight="1">
      <c r="A640" s="1" t="inlineStr">
        <is>
          <t>13Eletrico</t>
        </is>
      </c>
      <c r="B640" s="163" t="inlineStr">
        <is>
          <t>7.0</t>
        </is>
      </c>
      <c r="C640" s="163" t="inlineStr">
        <is>
          <t>12.007.00</t>
        </is>
      </c>
      <c r="D640" s="37" t="n">
        <v>8544</v>
      </c>
      <c r="E640" s="163" t="n">
        <v>38</v>
      </c>
      <c r="F640" s="163" t="n">
        <v>59.61</v>
      </c>
      <c r="G640" s="163" t="n">
        <v>54.63</v>
      </c>
      <c r="H640" s="163" t="n">
        <v>46.31</v>
      </c>
      <c r="I640" s="163" t="inlineStr">
        <is>
          <t>Fios, cabos (incluídos os cabos coaxiais) e outros condutores, isolados ou não, para usos elétricos (incluídos os de cobre ou alumínio, envernizados ou oxidados anodicamente), mesmo com peças de conexão, inclusive fios e cabos elétricos, para tensão não superior a 1000V, para uso na construção; fios e cabos telefônicos e para transmissão de dados; cabos de fibras ópticas, constituídos de fibras embainhadas individualmente, mesmo com condutores elétricos ou munidos de peças de conexão; cordas, cabos, tranças e semelhantes, de alumínio, não isolados para uso elétricos; exceto os de uso automotivo</t>
        </is>
      </c>
      <c r="J640" s="40" t="inlineStr">
        <is>
          <t>Lei nº 1.810, art. 49,§ 1º, XXIX</t>
        </is>
      </c>
      <c r="L640" s="29">
        <f>IF(D640="NCM/SH","",COUNTIF($D$5:$D$1506,D640))</f>
        <v/>
      </c>
    </row>
    <row r="641">
      <c r="A641" s="1" t="inlineStr">
        <is>
          <t>13Eletrico</t>
        </is>
      </c>
      <c r="B641" s="44" t="n">
        <v>7</v>
      </c>
      <c r="C641" s="44" t="inlineStr">
        <is>
          <t>12.007.00</t>
        </is>
      </c>
      <c r="D641" s="37" t="n">
        <v>7605</v>
      </c>
      <c r="E641" s="44" t="n">
        <v>38</v>
      </c>
      <c r="F641" s="44" t="n">
        <v>59.61</v>
      </c>
      <c r="G641" s="44" t="n">
        <v>54.63</v>
      </c>
      <c r="H641" s="44" t="n">
        <v>46.31</v>
      </c>
      <c r="I641" s="44" t="inlineStr">
        <is>
          <t>Fios, cabos (incluídos os cabos coaxiais) e outros condutores, isolados ou não, para usos elétricos (incluídos os de cobre ou alumínio, envernizados ou oxidados anodicamente), mesmo com peças de conexão, inclusive fios e cabos elétricos, para tensão não superior a 1000V, para uso na construção; fios e cabos telefônicos e para transmissão de dados; cabos de fibras ópticas, constituídos de fibras embainhadas individualmente, mesmo com condutores elétricos ou munidos de peças de conexão; cordas, cabos, tranças e semelhantes, de alumínio, não isolados para uso elétricos; exceto os de uso automotivo</t>
        </is>
      </c>
      <c r="J641" s="40" t="inlineStr">
        <is>
          <t>Lei nº 1.810, art. 49,§ 1º, XXIX</t>
        </is>
      </c>
      <c r="L641" s="29">
        <f>IF(D641="NCM/SH","",COUNTIF($D$5:$D$1506,D641))</f>
        <v/>
      </c>
    </row>
    <row r="642" ht="15.75" customHeight="1" thickBot="1">
      <c r="A642" s="1" t="inlineStr">
        <is>
          <t>13Eletrico</t>
        </is>
      </c>
      <c r="B642" s="164" t="n">
        <v>7</v>
      </c>
      <c r="C642" s="164" t="inlineStr">
        <is>
          <t>12.007.00</t>
        </is>
      </c>
      <c r="D642" s="35" t="n">
        <v>7614</v>
      </c>
      <c r="E642" s="164" t="n">
        <v>38</v>
      </c>
      <c r="F642" s="164" t="n">
        <v>59.61</v>
      </c>
      <c r="G642" s="164" t="n">
        <v>54.63</v>
      </c>
      <c r="H642" s="164" t="n">
        <v>46.31</v>
      </c>
      <c r="I642" s="164" t="inlineStr">
        <is>
          <t>Fios, cabos (incluídos os cabos coaxiais) e outros condutores, isolados ou não, para usos elétricos (incluídos os de cobre ou alumínio, envernizados ou oxidados anodicamente), mesmo com peças de conexão, inclusive fios e cabos elétricos, para tensão não superior a 1000V, para uso na construção; fios e cabos telefônicos e para transmissão de dados; cabos de fibras ópticas, constituídos de fibras embainhadas individualmente, mesmo com condutores elétricos ou munidos de peças de conexão; cordas, cabos, tranças e semelhantes, de alumínio, não isolados para uso elétricos; exceto os de uso automotivo</t>
        </is>
      </c>
      <c r="J642" s="40" t="inlineStr">
        <is>
          <t>Lei nº 1.810, art. 49,§ 1º, XXIX</t>
        </is>
      </c>
      <c r="L642" s="29">
        <f>IF(D642="NCM/SH","",COUNTIF($D$5:$D$1506,D642))</f>
        <v/>
      </c>
    </row>
    <row r="643" ht="15.75" customHeight="1" thickBot="1">
      <c r="A643" s="1" t="inlineStr">
        <is>
          <t>13Eletrico</t>
        </is>
      </c>
      <c r="B643" s="164" t="inlineStr">
        <is>
          <t>8.0</t>
        </is>
      </c>
      <c r="C643" s="35" t="inlineStr">
        <is>
          <t>12.008.00</t>
        </is>
      </c>
      <c r="D643" s="35" t="n">
        <v>8546</v>
      </c>
      <c r="E643" s="35" t="n">
        <v>38</v>
      </c>
      <c r="F643" s="35" t="n">
        <v>59.61</v>
      </c>
      <c r="G643" s="35" t="n">
        <v>54.63</v>
      </c>
      <c r="H643" s="35" t="n">
        <v>46.31</v>
      </c>
      <c r="I643" s="35" t="inlineStr">
        <is>
          <t xml:space="preserve">Isoladores de qualquer matéria, para usos elétricos </t>
        </is>
      </c>
      <c r="J643" s="41" t="inlineStr">
        <is>
          <t>Lei nº 1.810, art. 49,§ 1º, XXIX</t>
        </is>
      </c>
      <c r="L643" s="29">
        <f>IF(D643="NCM/SH","",COUNTIF($D$5:$D$1506,D643))</f>
        <v/>
      </c>
    </row>
    <row r="644" ht="14.45" customHeight="1">
      <c r="A644" s="1" t="inlineStr">
        <is>
          <t>13Eletrico</t>
        </is>
      </c>
      <c r="B644" s="163" t="inlineStr">
        <is>
          <t>9.0</t>
        </is>
      </c>
      <c r="C644" s="163" t="inlineStr">
        <is>
          <t>12.009.00</t>
        </is>
      </c>
      <c r="D644" s="163" t="n">
        <v>8547</v>
      </c>
      <c r="E644" s="163" t="n">
        <v>38</v>
      </c>
      <c r="F644" s="163" t="n">
        <v>59.61</v>
      </c>
      <c r="G644" s="163" t="n">
        <v>54.63</v>
      </c>
      <c r="H644" s="163" t="n">
        <v>46.31</v>
      </c>
      <c r="I644" s="163" t="inlineStr">
        <is>
          <t xml:space="preserve">Peças isolantes inteiramente de matérias isolantes, ou com simples peças metálicas de montagem (suportes roscados, por exemplo) incorporadas na massa, para máquinas, aparelhos e instalações elétricas; tubos isoladores e suas peças de ligação, de metais comuns, isolados interiormente </t>
        </is>
      </c>
      <c r="J644" s="38" t="inlineStr">
        <is>
          <t>Lei nº 1.810, art. 49, § 1º, XXIX</t>
        </is>
      </c>
      <c r="L644" s="29">
        <f>IF(D644="NCM/SH","",COUNTIF($D$5:$D$1506,D644))</f>
        <v/>
      </c>
    </row>
    <row r="645" ht="15.75" customHeight="1" thickBot="1">
      <c r="A645" s="1" t="inlineStr">
        <is>
          <t>13Eletrico</t>
        </is>
      </c>
      <c r="B645" s="164" t="n">
        <v>9</v>
      </c>
      <c r="C645" s="164" t="inlineStr">
        <is>
          <t>12.009.00</t>
        </is>
      </c>
      <c r="D645" s="164" t="n">
        <v>8547</v>
      </c>
      <c r="E645" s="164" t="n">
        <v>38</v>
      </c>
      <c r="F645" s="164" t="n">
        <v>59.61</v>
      </c>
      <c r="G645" s="164" t="n">
        <v>54.63</v>
      </c>
      <c r="H645" s="164" t="n">
        <v>46.31</v>
      </c>
      <c r="I645" s="164" t="inlineStr">
        <is>
          <t xml:space="preserve">Peças isolantes inteiramente de matérias isolantes, ou com simples peças metálicas de montagem (suportes roscados, por exemplo) incorporadas na massa, para máquinas, aparelhos e instalações elétricas; tubos isoladores e suas peças de ligação, de metais comuns, isolados interiormente </t>
        </is>
      </c>
      <c r="J645" s="48" t="inlineStr">
        <is>
          <t>Lei nº 1.810, art. 49, § 1º, XXIX</t>
        </is>
      </c>
      <c r="L645" s="29">
        <f>IF(D645="NCM/SH","",COUNTIF($D$5:$D$1506,D645))</f>
        <v/>
      </c>
    </row>
    <row r="646">
      <c r="B646" s="28" t="n"/>
      <c r="L646" s="29">
        <f>IF(D646="NCM/SH","",COUNTIF($D$5:$D$1506,D646))</f>
        <v/>
      </c>
    </row>
    <row r="647">
      <c r="B647" s="28" t="n"/>
      <c r="L647" s="29">
        <f>IF(D647="NCM/SH","",COUNTIF($D$5:$D$1506,D647))</f>
        <v/>
      </c>
    </row>
    <row r="648" ht="15.75" customHeight="1" thickBot="1">
      <c r="A648" s="1" t="inlineStr">
        <is>
          <t>14Medic</t>
        </is>
      </c>
      <c r="B648" s="28" t="inlineStr">
        <is>
          <t>Tabela XIV</t>
        </is>
      </c>
      <c r="C648" s="55" t="inlineStr">
        <is>
          <t>MEDICAMENTOS DE USO HUMANO E OUTROS PRODUTOS FARMACÊUTICOS  PARA USO HUMANO OU VETERINÁRIO (Tabela XIV: nova redação dada pelo Decreto nº 15.021/2018. Efeitos a partir de 1º.04.2018.)</t>
        </is>
      </c>
      <c r="D648" s="62" t="n"/>
      <c r="E648" s="62" t="n"/>
      <c r="F648" s="62" t="n"/>
      <c r="G648" s="62" t="n"/>
      <c r="H648" s="62" t="n"/>
      <c r="L648" s="29">
        <f>IF(D648="NCM/SH","",COUNTIF($D$5:$D$1506,D648))</f>
        <v/>
      </c>
    </row>
    <row r="649" ht="15" customHeight="1" thickBot="1">
      <c r="A649" s="1" t="inlineStr">
        <is>
          <t>14Medic</t>
        </is>
      </c>
      <c r="B649" s="163" t="inlineStr">
        <is>
          <t>ITEM</t>
        </is>
      </c>
      <c r="C649" s="98" t="inlineStr">
        <is>
          <t>CEST</t>
        </is>
      </c>
      <c r="D649" s="163" t="inlineStr">
        <is>
          <t>NCM/SH</t>
        </is>
      </c>
      <c r="E649" s="165" t="inlineStr">
        <is>
          <t>MARGEM DE VALOR AGREGADO</t>
        </is>
      </c>
      <c r="F649" s="166" t="n"/>
      <c r="G649" s="166" t="n"/>
      <c r="H649" s="167" t="n"/>
      <c r="I649" s="163" t="inlineStr">
        <is>
          <t xml:space="preserve">DESCRIÇÃO </t>
        </is>
      </c>
      <c r="J649" s="163" t="inlineStr">
        <is>
          <t>DISPOSITIVO LEGAL</t>
        </is>
      </c>
      <c r="L649" s="29">
        <f>IF(D649="NCM/SH","",COUNTIF($D$5:$D$1506,D649))</f>
        <v/>
      </c>
    </row>
    <row r="650" ht="15.75" customHeight="1" thickBot="1">
      <c r="A650" s="1" t="inlineStr">
        <is>
          <t>14Medic</t>
        </is>
      </c>
      <c r="B650" s="164" t="inlineStr">
        <is>
          <t>ITEM</t>
        </is>
      </c>
      <c r="C650" s="99" t="inlineStr">
        <is>
          <t>CEST</t>
        </is>
      </c>
      <c r="D650" s="164" t="inlineStr">
        <is>
          <t>NCM/SH</t>
        </is>
      </c>
      <c r="E650" s="165" t="inlineStr">
        <is>
          <t>Oper. Interna %</t>
        </is>
      </c>
      <c r="F650" s="35" t="inlineStr">
        <is>
          <t>Alíq. 4%</t>
        </is>
      </c>
      <c r="G650" s="35" t="inlineStr">
        <is>
          <t>Alíq. 7%</t>
        </is>
      </c>
      <c r="H650" s="35" t="inlineStr">
        <is>
          <t>Alíq. 12%</t>
        </is>
      </c>
      <c r="I650" s="164" t="inlineStr">
        <is>
          <t xml:space="preserve">DESCRIÇÃO </t>
        </is>
      </c>
      <c r="J650" s="164" t="inlineStr">
        <is>
          <t>DISPOSITIVO LEGAL</t>
        </is>
      </c>
      <c r="L650" s="29">
        <f>IF(D650="NCM/SH","",COUNTIF($D$5:$D$1506,D650))</f>
        <v/>
      </c>
    </row>
    <row r="651" ht="40.9" customHeight="1">
      <c r="A651" s="1" t="inlineStr">
        <is>
          <t>14Medic</t>
        </is>
      </c>
      <c r="B651" s="163" t="inlineStr">
        <is>
          <t>1.0</t>
        </is>
      </c>
      <c r="C651" s="98" t="inlineStr">
        <is>
          <t>13.001.00</t>
        </is>
      </c>
      <c r="D651" s="37" t="n">
        <v>3003</v>
      </c>
      <c r="E651" s="98" t="n">
        <v>24.41</v>
      </c>
      <c r="F651" s="163" t="n">
        <v>43.9</v>
      </c>
      <c r="G651" s="163" t="n">
        <v>39.4</v>
      </c>
      <c r="H651" s="163" t="n">
        <v>31.9</v>
      </c>
      <c r="I651" s="42" t="inlineStr">
        <is>
          <t>Medicamentos de referência - positiva, exceto para uso veterinário</t>
        </is>
      </c>
      <c r="J651" s="38" t="inlineStr">
        <is>
          <t xml:space="preserve">Lei nº 1.810/97, art. 49, § 1º, VIII; Convênio ICMS 234/2017; Protocolo ICMS 12/07; Protocolo ICMS 126/13 </t>
        </is>
      </c>
      <c r="L651" s="29">
        <f>IF(D651="NCM/SH","",COUNTIF($D$5:$D$1506,D651))</f>
        <v/>
      </c>
    </row>
    <row r="652" ht="15.75" customHeight="1" thickBot="1">
      <c r="A652" s="1" t="inlineStr">
        <is>
          <t>14Medic</t>
        </is>
      </c>
      <c r="B652" s="164" t="n">
        <v>1</v>
      </c>
      <c r="C652" s="99" t="inlineStr">
        <is>
          <t>13.001.00</t>
        </is>
      </c>
      <c r="D652" s="35" t="n">
        <v>3004</v>
      </c>
      <c r="E652" s="99" t="n">
        <v>24.41</v>
      </c>
      <c r="F652" s="164" t="n">
        <v>43.9</v>
      </c>
      <c r="G652" s="164" t="n">
        <v>39.4</v>
      </c>
      <c r="H652" s="164" t="n">
        <v>31.9</v>
      </c>
      <c r="I652" s="46" t="inlineStr">
        <is>
          <t>Medicamentos de referência - positiva, exceto para uso veterinário</t>
        </is>
      </c>
      <c r="J652" s="38" t="inlineStr">
        <is>
          <t xml:space="preserve">Lei nº 1.810/97, art. 49, § 1º, VIII; Convênio ICMS 234/2017; Protocolo ICMS 12/07; Protocolo ICMS 126/13 </t>
        </is>
      </c>
      <c r="L652" s="29">
        <f>IF(D652="NCM/SH","",COUNTIF($D$5:$D$1506,D652))</f>
        <v/>
      </c>
    </row>
    <row r="653" ht="61.15" customHeight="1">
      <c r="A653" s="1" t="inlineStr">
        <is>
          <t>14Medic</t>
        </is>
      </c>
      <c r="B653" s="163" t="inlineStr">
        <is>
          <t>1.1</t>
        </is>
      </c>
      <c r="C653" s="98" t="inlineStr">
        <is>
          <t>13.001.01</t>
        </is>
      </c>
      <c r="D653" s="37" t="n">
        <v>3003</v>
      </c>
      <c r="E653" s="98" t="n">
        <v>19.75</v>
      </c>
      <c r="F653" s="163" t="n">
        <v>38.5</v>
      </c>
      <c r="G653" s="163" t="n">
        <v>34.17</v>
      </c>
      <c r="H653" s="163" t="n">
        <v>26.95</v>
      </c>
      <c r="I653" s="42" t="inlineStr">
        <is>
          <t xml:space="preserve">Medicamentos de referência - negativa, exceto para uso veterinário </t>
        </is>
      </c>
      <c r="J653" s="38" t="inlineStr">
        <is>
          <t xml:space="preserve">Lei nº 1.810/97, art. 49, § 1º, VIII; Convênio ICMS 234/2017; Protocolo ICMS 12/07; Protocolo ICMS 126/13 </t>
        </is>
      </c>
      <c r="L653" s="29">
        <f>IF(D653="NCM/SH","",COUNTIF($D$5:$D$1506,D653))</f>
        <v/>
      </c>
    </row>
    <row r="654" ht="15.75" customHeight="1" thickBot="1">
      <c r="A654" s="1" t="inlineStr">
        <is>
          <t>14Medic</t>
        </is>
      </c>
      <c r="B654" s="164" t="n">
        <v>1.1</v>
      </c>
      <c r="C654" s="99" t="inlineStr">
        <is>
          <t>13.001.01</t>
        </is>
      </c>
      <c r="D654" s="35" t="n">
        <v>3004</v>
      </c>
      <c r="E654" s="99" t="n">
        <v>19.75</v>
      </c>
      <c r="F654" s="164" t="n">
        <v>38.5</v>
      </c>
      <c r="G654" s="164" t="n">
        <v>34.17</v>
      </c>
      <c r="H654" s="164" t="n">
        <v>26.95</v>
      </c>
      <c r="I654" s="46" t="inlineStr">
        <is>
          <t xml:space="preserve">Medicamentos de referência - negativa, exceto para uso veterinário </t>
        </is>
      </c>
      <c r="J654" s="40" t="inlineStr">
        <is>
          <t xml:space="preserve">Lei nº 1.810/97, art. 49, § 1º, VIII; Convênio ICMS 234/2017; Protocolo ICMS 12/07; Protocolo ICMS 126/13 </t>
        </is>
      </c>
      <c r="L654" s="29">
        <f>IF(D654="NCM/SH","",COUNTIF($D$5:$D$1506,D654))</f>
        <v/>
      </c>
    </row>
    <row r="655" ht="14.45" customHeight="1">
      <c r="A655" s="1" t="inlineStr">
        <is>
          <t>14Medic</t>
        </is>
      </c>
      <c r="B655" s="163" t="inlineStr">
        <is>
          <t>1.2</t>
        </is>
      </c>
      <c r="C655" s="98" t="inlineStr">
        <is>
          <t>13.001.02</t>
        </is>
      </c>
      <c r="D655" s="37" t="n">
        <v>3003</v>
      </c>
      <c r="E655" s="98" t="n">
        <v>27.2</v>
      </c>
      <c r="F655" s="163" t="n">
        <v>47.13</v>
      </c>
      <c r="G655" s="163" t="n">
        <v>42.53</v>
      </c>
      <c r="H655" s="163" t="n">
        <v>34.87</v>
      </c>
      <c r="I655" s="42" t="inlineStr">
        <is>
          <t>Medicamentos de referência - neutra, exceto para uso veterinário</t>
        </is>
      </c>
      <c r="J655" s="40" t="inlineStr">
        <is>
          <t xml:space="preserve">Lei nº 1.810/97, art. 49, § 1º, VIII; Convênio ICMS 234/2017; Protocolo ICMS 12/07; Protocolo ICMS 126/13 </t>
        </is>
      </c>
      <c r="L655" s="29">
        <f>IF(D655="NCM/SH","",COUNTIF($D$5:$D$1506,D655))</f>
        <v/>
      </c>
    </row>
    <row r="656" ht="15.75" customHeight="1" thickBot="1">
      <c r="A656" s="1" t="inlineStr">
        <is>
          <t>14Medic</t>
        </is>
      </c>
      <c r="B656" s="164" t="n">
        <v>1.2</v>
      </c>
      <c r="C656" s="99" t="inlineStr">
        <is>
          <t>13.001.02</t>
        </is>
      </c>
      <c r="D656" s="35" t="n">
        <v>3004</v>
      </c>
      <c r="E656" s="99" t="n">
        <v>27.2</v>
      </c>
      <c r="F656" s="164" t="n">
        <v>47.13</v>
      </c>
      <c r="G656" s="164" t="n">
        <v>42.53</v>
      </c>
      <c r="H656" s="164" t="n">
        <v>34.87</v>
      </c>
      <c r="I656" s="46" t="inlineStr">
        <is>
          <t>Medicamentos de referência - neutra, exceto para uso veterinário</t>
        </is>
      </c>
      <c r="J656" s="40" t="inlineStr">
        <is>
          <t xml:space="preserve">Lei nº 1.810/97, art. 49, § 1º, VIII; Convênio ICMS 234/2017; Protocolo ICMS 12/07; Protocolo ICMS 126/13 </t>
        </is>
      </c>
      <c r="L656" s="29">
        <f>IF(D656="NCM/SH","",COUNTIF($D$5:$D$1506,D656))</f>
        <v/>
      </c>
    </row>
    <row r="657" ht="14.45" customHeight="1">
      <c r="A657" s="1" t="inlineStr">
        <is>
          <t>14Medic</t>
        </is>
      </c>
      <c r="B657" s="163" t="inlineStr">
        <is>
          <t>2.0</t>
        </is>
      </c>
      <c r="C657" s="98" t="inlineStr">
        <is>
          <t>13.002.00</t>
        </is>
      </c>
      <c r="D657" s="37" t="n">
        <v>3003</v>
      </c>
      <c r="E657" s="98" t="n">
        <v>24.41</v>
      </c>
      <c r="F657" s="163" t="n">
        <v>43.9</v>
      </c>
      <c r="G657" s="163" t="n">
        <v>39.4</v>
      </c>
      <c r="H657" s="163" t="n">
        <v>31.9</v>
      </c>
      <c r="I657" s="42" t="inlineStr">
        <is>
          <t xml:space="preserve">Medicamentos genérico - positiva, exceto para uso veterinário </t>
        </is>
      </c>
      <c r="J657" s="40" t="inlineStr">
        <is>
          <t xml:space="preserve">Lei nº 1.810/97, art. 49, § 1º, VIII; Convênio ICMS 234/2017; Protocolo ICMS 12/07; Protocolo ICMS 126/13 </t>
        </is>
      </c>
      <c r="L657" s="29">
        <f>IF(D657="NCM/SH","",COUNTIF($D$5:$D$1506,D657))</f>
        <v/>
      </c>
    </row>
    <row r="658" ht="15.75" customHeight="1" thickBot="1">
      <c r="A658" s="1" t="inlineStr">
        <is>
          <t>14Medic</t>
        </is>
      </c>
      <c r="B658" s="164" t="n">
        <v>2</v>
      </c>
      <c r="C658" s="99" t="inlineStr">
        <is>
          <t>13.002.00</t>
        </is>
      </c>
      <c r="D658" s="35" t="n">
        <v>3004</v>
      </c>
      <c r="E658" s="99" t="n">
        <v>24.41</v>
      </c>
      <c r="F658" s="164" t="n">
        <v>43.9</v>
      </c>
      <c r="G658" s="164" t="n">
        <v>39.4</v>
      </c>
      <c r="H658" s="164" t="n">
        <v>31.9</v>
      </c>
      <c r="I658" s="46" t="inlineStr">
        <is>
          <t xml:space="preserve">Medicamentos genérico - positiva, exceto para uso veterinário </t>
        </is>
      </c>
      <c r="J658" s="40" t="inlineStr">
        <is>
          <t xml:space="preserve">Lei nº 1.810/97, art. 49, § 1º, VIII; Convênio ICMS 234/2017; Protocolo ICMS 12/07; Protocolo ICMS 126/13 </t>
        </is>
      </c>
      <c r="L658" s="29">
        <f>IF(D658="NCM/SH","",COUNTIF($D$5:$D$1506,D658))</f>
        <v/>
      </c>
    </row>
    <row r="659" ht="14.45" customHeight="1">
      <c r="A659" s="1" t="inlineStr">
        <is>
          <t>14Medic</t>
        </is>
      </c>
      <c r="B659" s="163" t="inlineStr">
        <is>
          <t>2.1</t>
        </is>
      </c>
      <c r="C659" s="98" t="inlineStr">
        <is>
          <t>13.002.01</t>
        </is>
      </c>
      <c r="D659" s="37" t="n">
        <v>3003</v>
      </c>
      <c r="E659" s="98" t="n">
        <v>19.75</v>
      </c>
      <c r="F659" s="163" t="n">
        <v>38.5</v>
      </c>
      <c r="G659" s="163" t="n">
        <v>34.17</v>
      </c>
      <c r="H659" s="163" t="n">
        <v>26.95</v>
      </c>
      <c r="I659" s="42" t="inlineStr">
        <is>
          <t xml:space="preserve">Medicamentos genérico - negativa, exceto para uso veterinário </t>
        </is>
      </c>
      <c r="J659" s="40" t="inlineStr">
        <is>
          <t xml:space="preserve">Lei nº 1.810/97, art. 49, § 1º, VIII; Convênio ICMS 234/2017; Protocolo ICMS 12/07; Protocolo ICMS 126/13 </t>
        </is>
      </c>
      <c r="L659" s="29">
        <f>IF(D659="NCM/SH","",COUNTIF($D$5:$D$1506,D659))</f>
        <v/>
      </c>
    </row>
    <row r="660" ht="15.75" customHeight="1" thickBot="1">
      <c r="A660" s="1" t="inlineStr">
        <is>
          <t>14Medic</t>
        </is>
      </c>
      <c r="B660" s="164" t="n">
        <v>2.1</v>
      </c>
      <c r="C660" s="99" t="inlineStr">
        <is>
          <t>13.002.01</t>
        </is>
      </c>
      <c r="D660" s="35" t="n">
        <v>3004</v>
      </c>
      <c r="E660" s="99" t="n">
        <v>19.75</v>
      </c>
      <c r="F660" s="164" t="n">
        <v>38.5</v>
      </c>
      <c r="G660" s="164" t="n">
        <v>34.17</v>
      </c>
      <c r="H660" s="164" t="n">
        <v>26.95</v>
      </c>
      <c r="I660" s="46" t="inlineStr">
        <is>
          <t xml:space="preserve">Medicamentos genérico - negativa, exceto para uso veterinário </t>
        </is>
      </c>
      <c r="J660" s="40" t="inlineStr">
        <is>
          <t xml:space="preserve">Lei nº 1.810/97, art. 49, § 1º, VIII; Convênio ICMS 234/2017; Protocolo ICMS 12/07; Protocolo ICMS 126/13 </t>
        </is>
      </c>
      <c r="L660" s="29">
        <f>IF(D660="NCM/SH","",COUNTIF($D$5:$D$1506,D660))</f>
        <v/>
      </c>
    </row>
    <row r="661" ht="14.45" customHeight="1">
      <c r="A661" s="1" t="inlineStr">
        <is>
          <t>14Medic</t>
        </is>
      </c>
      <c r="B661" s="98" t="inlineStr">
        <is>
          <t>2.2</t>
        </is>
      </c>
      <c r="C661" s="163" t="inlineStr">
        <is>
          <t>13.002.02</t>
        </is>
      </c>
      <c r="D661" s="98" t="n">
        <v>3003</v>
      </c>
      <c r="E661" s="163" t="n">
        <v>27.2</v>
      </c>
      <c r="F661" s="163" t="n">
        <v>47.13</v>
      </c>
      <c r="G661" s="163" t="n">
        <v>42.53</v>
      </c>
      <c r="H661" s="163" t="n">
        <v>34.87</v>
      </c>
      <c r="I661" s="42" t="inlineStr">
        <is>
          <t xml:space="preserve">Medicamentos genérico - neutra, exceto para uso veterinário </t>
        </is>
      </c>
      <c r="J661" s="40" t="inlineStr">
        <is>
          <t xml:space="preserve">Lei nº 1.810/97, art. 49, § 1º, VIII; Convênio ICMS 234/2017; Protocolo ICMS 12/07; Protocolo ICMS 126/13 </t>
        </is>
      </c>
      <c r="L661" s="29">
        <f>IF(D661="NCM/SH","",COUNTIF($D$5:$D$1506,D661))</f>
        <v/>
      </c>
    </row>
    <row r="662" ht="15.75" customHeight="1" thickBot="1">
      <c r="A662" s="1" t="inlineStr">
        <is>
          <t>14Medic</t>
        </is>
      </c>
      <c r="B662" s="99" t="n">
        <v>2.2</v>
      </c>
      <c r="C662" s="164" t="inlineStr">
        <is>
          <t>13.002.02</t>
        </is>
      </c>
      <c r="D662" s="99" t="n">
        <v>3004</v>
      </c>
      <c r="E662" s="164" t="n">
        <v>27.2</v>
      </c>
      <c r="F662" s="164" t="n">
        <v>47.13</v>
      </c>
      <c r="G662" s="164" t="n">
        <v>42.53</v>
      </c>
      <c r="H662" s="164" t="n">
        <v>34.87</v>
      </c>
      <c r="I662" s="46" t="inlineStr">
        <is>
          <t xml:space="preserve">Medicamentos genérico - neutra, exceto para uso veterinário </t>
        </is>
      </c>
      <c r="J662" s="40" t="inlineStr">
        <is>
          <t xml:space="preserve">Lei nº 1.810/97, art. 49, § 1º, VIII; Convênio ICMS 234/2017; Protocolo ICMS 12/07; Protocolo ICMS 126/13 </t>
        </is>
      </c>
      <c r="L662" s="29">
        <f>IF(D662="NCM/SH","",COUNTIF($D$5:$D$1506,D662))</f>
        <v/>
      </c>
    </row>
    <row r="663" ht="14.45" customHeight="1">
      <c r="A663" s="1" t="inlineStr">
        <is>
          <t>14Medic</t>
        </is>
      </c>
      <c r="B663" s="98" t="inlineStr">
        <is>
          <t>3.0</t>
        </is>
      </c>
      <c r="C663" s="163" t="inlineStr">
        <is>
          <t>13.003.00</t>
        </is>
      </c>
      <c r="D663" s="98" t="n">
        <v>3003</v>
      </c>
      <c r="E663" s="163" t="n">
        <v>24.41</v>
      </c>
      <c r="F663" s="163" t="n">
        <v>43.9</v>
      </c>
      <c r="G663" s="163" t="n">
        <v>39.4</v>
      </c>
      <c r="H663" s="163" t="n">
        <v>31.9</v>
      </c>
      <c r="I663" s="42" t="inlineStr">
        <is>
          <t xml:space="preserve">Medicamentos similar - positiva, exceto para uso veterinário </t>
        </is>
      </c>
      <c r="J663" s="40" t="inlineStr">
        <is>
          <t xml:space="preserve">Lei nº 1.810/97, art. 49, § 1º, VIII; Convênio ICMS 234/2017; Protocolo ICMS 12/07; Protocolo ICMS 126/13 </t>
        </is>
      </c>
      <c r="L663" s="29">
        <f>IF(D663="NCM/SH","",COUNTIF($D$5:$D$1506,D663))</f>
        <v/>
      </c>
    </row>
    <row r="664" ht="15.75" customHeight="1" thickBot="1">
      <c r="A664" s="1" t="inlineStr">
        <is>
          <t>14Medic</t>
        </is>
      </c>
      <c r="B664" s="99" t="n">
        <v>3</v>
      </c>
      <c r="C664" s="164" t="inlineStr">
        <is>
          <t>13.003.00</t>
        </is>
      </c>
      <c r="D664" s="99" t="n">
        <v>3004</v>
      </c>
      <c r="E664" s="164" t="n">
        <v>24.41</v>
      </c>
      <c r="F664" s="164" t="n">
        <v>43.9</v>
      </c>
      <c r="G664" s="164" t="n">
        <v>39.4</v>
      </c>
      <c r="H664" s="164" t="n">
        <v>31.9</v>
      </c>
      <c r="I664" s="46" t="inlineStr">
        <is>
          <t xml:space="preserve">Medicamentos similar - positiva, exceto para uso veterinário </t>
        </is>
      </c>
      <c r="J664" s="41" t="inlineStr">
        <is>
          <t xml:space="preserve">Lei nº 1.810/97, art. 49, § 1º, VIII; Convênio ICMS 234/2017; Protocolo ICMS 12/07; Protocolo ICMS 126/13 </t>
        </is>
      </c>
      <c r="L664" s="29">
        <f>IF(D664="NCM/SH","",COUNTIF($D$5:$D$1506,D664))</f>
        <v/>
      </c>
    </row>
    <row r="665" ht="40.9" customHeight="1">
      <c r="A665" s="1" t="inlineStr">
        <is>
          <t>14Medic</t>
        </is>
      </c>
      <c r="B665" s="98" t="inlineStr">
        <is>
          <t>3.1</t>
        </is>
      </c>
      <c r="C665" s="163" t="inlineStr">
        <is>
          <t>13.003.01</t>
        </is>
      </c>
      <c r="D665" s="98" t="n">
        <v>3003</v>
      </c>
      <c r="E665" s="163" t="n">
        <v>19.75</v>
      </c>
      <c r="F665" s="163" t="n">
        <v>38.5</v>
      </c>
      <c r="G665" s="163" t="n">
        <v>34.17</v>
      </c>
      <c r="H665" s="163" t="n">
        <v>26.95</v>
      </c>
      <c r="I665" s="42" t="inlineStr">
        <is>
          <t xml:space="preserve">Medicamentos similar - negativa, exceto para uso veterinário </t>
        </is>
      </c>
      <c r="J665" s="38" t="inlineStr">
        <is>
          <t>Lei nº 1.810/97, art. 49, § 1º, VIII; Convênio ICMS 234/2017; Protocolo ICMS 12/07; Protocolo ICMS 126/13</t>
        </is>
      </c>
      <c r="L665" s="29">
        <f>IF(D665="NCM/SH","",COUNTIF($D$5:$D$1506,D665))</f>
        <v/>
      </c>
    </row>
    <row r="666" ht="15.75" customHeight="1" thickBot="1">
      <c r="A666" s="1" t="inlineStr">
        <is>
          <t>14Medic</t>
        </is>
      </c>
      <c r="B666" s="99" t="n">
        <v>3.1</v>
      </c>
      <c r="C666" s="164" t="inlineStr">
        <is>
          <t>13.003.01</t>
        </is>
      </c>
      <c r="D666" s="99" t="n">
        <v>3004</v>
      </c>
      <c r="E666" s="164" t="n">
        <v>19.75</v>
      </c>
      <c r="F666" s="164" t="n">
        <v>38.5</v>
      </c>
      <c r="G666" s="164" t="n">
        <v>34.17</v>
      </c>
      <c r="H666" s="164" t="n">
        <v>26.95</v>
      </c>
      <c r="I666" s="46" t="inlineStr">
        <is>
          <t xml:space="preserve">Medicamentos similar - negativa, exceto para uso veterinário </t>
        </is>
      </c>
      <c r="J666" s="38" t="inlineStr">
        <is>
          <t>Lei nº 1.810/97, art. 49, § 1º, VIII; Convênio ICMS 234/2017; Protocolo ICMS 12/07; Protocolo ICMS 126/13</t>
        </is>
      </c>
      <c r="L666" s="29">
        <f>IF(D666="NCM/SH","",COUNTIF($D$5:$D$1506,D666))</f>
        <v/>
      </c>
    </row>
    <row r="667">
      <c r="A667" s="1" t="inlineStr">
        <is>
          <t>14Medic</t>
        </is>
      </c>
      <c r="B667" s="98" t="inlineStr">
        <is>
          <t>3.2</t>
        </is>
      </c>
      <c r="C667" s="163" t="inlineStr">
        <is>
          <t>13.003.02</t>
        </is>
      </c>
      <c r="D667" s="98" t="n">
        <v>3003</v>
      </c>
      <c r="E667" s="163" t="n">
        <v>27.2</v>
      </c>
      <c r="F667" s="163" t="n">
        <v>47.13</v>
      </c>
      <c r="G667" s="163" t="n">
        <v>42.53</v>
      </c>
      <c r="H667" s="163" t="n">
        <v>34.87</v>
      </c>
      <c r="I667" s="42" t="inlineStr">
        <is>
          <t xml:space="preserve">Medicamentos similar - neutra, exceto para uso veterinário </t>
        </is>
      </c>
      <c r="J667" s="38" t="inlineStr">
        <is>
          <t>Lei nº 1.810/97, art. 49, § 1º, VIII; Convênio ICMS 234/2017; Protocolo ICMS 12/07; Protocolo ICMS 126/13</t>
        </is>
      </c>
      <c r="L667" s="29">
        <f>IF(D667="NCM/SH","",COUNTIF($D$5:$D$1506,D667))</f>
        <v/>
      </c>
    </row>
    <row r="668" ht="15.75" customHeight="1" thickBot="1">
      <c r="A668" s="1" t="inlineStr">
        <is>
          <t>14Medic</t>
        </is>
      </c>
      <c r="B668" s="99" t="n">
        <v>3.2</v>
      </c>
      <c r="C668" s="164" t="inlineStr">
        <is>
          <t>13.003.02</t>
        </is>
      </c>
      <c r="D668" s="99" t="n">
        <v>3004</v>
      </c>
      <c r="E668" s="164" t="n">
        <v>27.2</v>
      </c>
      <c r="F668" s="164" t="n">
        <v>47.13</v>
      </c>
      <c r="G668" s="164" t="n">
        <v>42.53</v>
      </c>
      <c r="H668" s="164" t="n">
        <v>34.87</v>
      </c>
      <c r="I668" s="46" t="inlineStr">
        <is>
          <t xml:space="preserve">Medicamentos similar - neutra, exceto para uso veterinário </t>
        </is>
      </c>
      <c r="J668" s="40" t="inlineStr">
        <is>
          <t>Lei nº 1.810/97, art. 49, § 1º, VIII; Convênio ICMS 234/2017; Protocolo ICMS 12/07; Protocolo ICMS 126/13</t>
        </is>
      </c>
      <c r="L668" s="29">
        <f>IF(D668="NCM/SH","",COUNTIF($D$5:$D$1506,D668))</f>
        <v/>
      </c>
    </row>
    <row r="669" ht="14.45" customHeight="1">
      <c r="A669" s="1" t="inlineStr">
        <is>
          <t>14Medic</t>
        </is>
      </c>
      <c r="B669" s="98" t="inlineStr">
        <is>
          <t>4.0</t>
        </is>
      </c>
      <c r="C669" s="163" t="inlineStr">
        <is>
          <t>13.004.00</t>
        </is>
      </c>
      <c r="D669" s="98" t="n">
        <v>3003</v>
      </c>
      <c r="E669" s="163" t="n">
        <v>24.41</v>
      </c>
      <c r="F669" s="163" t="n">
        <v>43.9</v>
      </c>
      <c r="G669" s="163" t="n">
        <v>39.4</v>
      </c>
      <c r="H669" s="163" t="n">
        <v>31.9</v>
      </c>
      <c r="I669" s="42" t="inlineStr">
        <is>
          <t xml:space="preserve">Outros tipos de medicamentos - positiva, exceto para uso veterinário </t>
        </is>
      </c>
      <c r="J669" s="40" t="inlineStr">
        <is>
          <t>Lei nº 1.810/97, art. 49, § 1º, VIII; Convênio ICMS 234/2017; Protocolo ICMS 12/07; Protocolo ICMS 126/13</t>
        </is>
      </c>
      <c r="L669" s="29">
        <f>IF(D669="NCM/SH","",COUNTIF($D$5:$D$1506,D669))</f>
        <v/>
      </c>
    </row>
    <row r="670" ht="15.75" customHeight="1" thickBot="1">
      <c r="A670" s="1" t="inlineStr">
        <is>
          <t>14Medic</t>
        </is>
      </c>
      <c r="B670" s="99" t="n">
        <v>4</v>
      </c>
      <c r="C670" s="164" t="inlineStr">
        <is>
          <t>13.004.00</t>
        </is>
      </c>
      <c r="D670" s="99" t="n">
        <v>3004</v>
      </c>
      <c r="E670" s="164" t="n">
        <v>24.41</v>
      </c>
      <c r="F670" s="164" t="n">
        <v>43.9</v>
      </c>
      <c r="G670" s="164" t="n">
        <v>39.4</v>
      </c>
      <c r="H670" s="164" t="n">
        <v>31.9</v>
      </c>
      <c r="I670" s="46" t="inlineStr">
        <is>
          <t xml:space="preserve">Outros tipos de medicamentos - positiva, exceto para uso veterinário </t>
        </is>
      </c>
      <c r="J670" s="40" t="inlineStr">
        <is>
          <t>Lei nº 1.810/97, art. 49, § 1º, VIII; Convênio ICMS 234/2017; Protocolo ICMS 12/07; Protocolo ICMS 126/13</t>
        </is>
      </c>
      <c r="L670" s="29">
        <f>IF(D670="NCM/SH","",COUNTIF($D$5:$D$1506,D670))</f>
        <v/>
      </c>
    </row>
    <row r="671" ht="14.45" customHeight="1">
      <c r="A671" s="1" t="inlineStr">
        <is>
          <t>14Medic</t>
        </is>
      </c>
      <c r="B671" s="98" t="inlineStr">
        <is>
          <t>4.1</t>
        </is>
      </c>
      <c r="C671" s="163" t="inlineStr">
        <is>
          <t>13.004.01</t>
        </is>
      </c>
      <c r="D671" s="98" t="n">
        <v>3003</v>
      </c>
      <c r="E671" s="163" t="n">
        <v>19.75</v>
      </c>
      <c r="F671" s="163" t="n">
        <v>38.5</v>
      </c>
      <c r="G671" s="163" t="n">
        <v>34.17</v>
      </c>
      <c r="H671" s="163" t="n">
        <v>26.95</v>
      </c>
      <c r="I671" s="42" t="inlineStr">
        <is>
          <t xml:space="preserve">Outros tipos de medicamentos -  negativa, exceto para uso veterinário </t>
        </is>
      </c>
      <c r="J671" s="40" t="inlineStr">
        <is>
          <t>Lei nº 1.810/97, art. 49, § 1º, VIII; Convênio ICMS 234/2017; Protocolo ICMS 12/07; Protocolo ICMS 126/13</t>
        </is>
      </c>
      <c r="L671" s="29">
        <f>IF(D671="NCM/SH","",COUNTIF($D$5:$D$1506,D671))</f>
        <v/>
      </c>
    </row>
    <row r="672" ht="15.75" customHeight="1" thickBot="1">
      <c r="A672" s="1" t="inlineStr">
        <is>
          <t>14Medic</t>
        </is>
      </c>
      <c r="B672" s="99" t="n">
        <v>4.1</v>
      </c>
      <c r="C672" s="164" t="inlineStr">
        <is>
          <t>13.004.01</t>
        </is>
      </c>
      <c r="D672" s="99" t="n">
        <v>3004</v>
      </c>
      <c r="E672" s="164" t="n">
        <v>19.75</v>
      </c>
      <c r="F672" s="164" t="n">
        <v>38.5</v>
      </c>
      <c r="G672" s="164" t="n">
        <v>34.17</v>
      </c>
      <c r="H672" s="164" t="n">
        <v>26.95</v>
      </c>
      <c r="I672" s="46" t="inlineStr">
        <is>
          <t xml:space="preserve">Outros tipos de medicamentos -  negativa, exceto para uso veterinário </t>
        </is>
      </c>
      <c r="J672" s="40" t="inlineStr">
        <is>
          <t>Lei nº 1.810/97, art. 49, § 1º, VIII; Convênio ICMS 234/2017; Protocolo ICMS 12/07; Protocolo ICMS 126/13</t>
        </is>
      </c>
      <c r="L672" s="29">
        <f>IF(D672="NCM/SH","",COUNTIF($D$5:$D$1506,D672))</f>
        <v/>
      </c>
    </row>
    <row r="673" ht="14.45" customHeight="1">
      <c r="A673" s="1" t="inlineStr">
        <is>
          <t>14Medic</t>
        </is>
      </c>
      <c r="B673" s="98" t="inlineStr">
        <is>
          <t>4.2</t>
        </is>
      </c>
      <c r="C673" s="163" t="inlineStr">
        <is>
          <t>13.004.02</t>
        </is>
      </c>
      <c r="D673" s="98" t="n">
        <v>3003</v>
      </c>
      <c r="E673" s="163" t="n">
        <v>27.2</v>
      </c>
      <c r="F673" s="163" t="n">
        <v>47.13</v>
      </c>
      <c r="G673" s="163" t="n">
        <v>42.53</v>
      </c>
      <c r="H673" s="163" t="n">
        <v>34.87</v>
      </c>
      <c r="I673" s="42" t="inlineStr">
        <is>
          <t xml:space="preserve">Outros tipos de medicamentos - neutra, exceto para uso veterinário </t>
        </is>
      </c>
      <c r="J673" s="40" t="inlineStr">
        <is>
          <t>Lei nº 1.810/97, art. 49, § 1º, VIII; Convênio ICMS 234/2017; Protocolo ICMS 12/07; Protocolo ICMS 126/13</t>
        </is>
      </c>
      <c r="L673" s="29">
        <f>IF(D673="NCM/SH","",COUNTIF($D$5:$D$1506,D673))</f>
        <v/>
      </c>
    </row>
    <row r="674" ht="15.75" customHeight="1" thickBot="1">
      <c r="A674" s="1" t="inlineStr">
        <is>
          <t>14Medic</t>
        </is>
      </c>
      <c r="B674" s="99" t="n">
        <v>4.2</v>
      </c>
      <c r="C674" s="164" t="inlineStr">
        <is>
          <t>13.004.02</t>
        </is>
      </c>
      <c r="D674" s="99" t="n">
        <v>3004</v>
      </c>
      <c r="E674" s="164" t="n">
        <v>27.2</v>
      </c>
      <c r="F674" s="164" t="n">
        <v>47.13</v>
      </c>
      <c r="G674" s="164" t="n">
        <v>42.53</v>
      </c>
      <c r="H674" s="164" t="n">
        <v>34.87</v>
      </c>
      <c r="I674" s="46" t="inlineStr">
        <is>
          <t xml:space="preserve">Outros tipos de medicamentos - neutra, exceto para uso veterinário </t>
        </is>
      </c>
      <c r="J674" s="40" t="inlineStr">
        <is>
          <t>Lei nº 1.810/97, art. 49, § 1º, VIII; Convênio ICMS 234/2017; Protocolo ICMS 12/07; Protocolo ICMS 126/13</t>
        </is>
      </c>
      <c r="L674" s="29">
        <f>IF(D674="NCM/SH","",COUNTIF($D$5:$D$1506,D674))</f>
        <v/>
      </c>
    </row>
    <row r="675" ht="15.75" customHeight="1" thickBot="1">
      <c r="A675" s="1" t="inlineStr">
        <is>
          <t>14Medic</t>
        </is>
      </c>
      <c r="B675" s="165" t="inlineStr">
        <is>
          <t>5.0</t>
        </is>
      </c>
      <c r="C675" s="35" t="inlineStr">
        <is>
          <t>13.005.00</t>
        </is>
      </c>
      <c r="D675" s="165" t="inlineStr">
        <is>
          <t>3006.60.00</t>
        </is>
      </c>
      <c r="E675" s="35" t="n">
        <v>24.41</v>
      </c>
      <c r="F675" s="35" t="n">
        <v>43.9</v>
      </c>
      <c r="G675" s="35" t="n">
        <v>39.4</v>
      </c>
      <c r="H675" s="35" t="n">
        <v>31.9</v>
      </c>
      <c r="I675" s="48" t="inlineStr">
        <is>
          <t>Preparações químicas contraceptivas de referência, à base de hormônios, de outros produtos da posição 29.37 ou de espermicidas - positiva</t>
        </is>
      </c>
      <c r="J675" s="40" t="inlineStr">
        <is>
          <t>Lei nº 1.810/97, art. 49, § 1º, VIII; Convênio ICMS 234/2017; Protocolo ICMS 12/07; Protocolo ICMS 126/13</t>
        </is>
      </c>
      <c r="L675" s="29">
        <f>IF(D675="NCM/SH","",COUNTIF($D$5:$D$1506,D675))</f>
        <v/>
      </c>
    </row>
    <row r="676" ht="15.75" customHeight="1" thickBot="1">
      <c r="A676" s="1" t="inlineStr">
        <is>
          <t>14Medic</t>
        </is>
      </c>
      <c r="B676" s="165" t="inlineStr">
        <is>
          <t>5.1</t>
        </is>
      </c>
      <c r="C676" s="35" t="inlineStr">
        <is>
          <t>13.005.01</t>
        </is>
      </c>
      <c r="D676" s="165" t="inlineStr">
        <is>
          <t>3006.60.00</t>
        </is>
      </c>
      <c r="E676" s="35" t="n">
        <v>19.75</v>
      </c>
      <c r="F676" s="35" t="n">
        <v>38.5</v>
      </c>
      <c r="G676" s="35" t="n">
        <v>34.17</v>
      </c>
      <c r="H676" s="35" t="n">
        <v>26.95</v>
      </c>
      <c r="I676" s="48" t="inlineStr">
        <is>
          <t>Preparações químicas contraceptivas de referência, à base de hormônios, de outros produtos da posição 29.37 ou de espermicidas - negativa</t>
        </is>
      </c>
      <c r="J676" s="40" t="inlineStr">
        <is>
          <t>Lei nº 1.810/97, art. 49, § 1º, VIII; Convênio ICMS 234/2017; Protocolo ICMS 12/07; Protocolo ICMS 126/13</t>
        </is>
      </c>
      <c r="K676" s="43" t="inlineStr">
        <is>
          <t>(Itens 5.0 e 5.1: novas redações dadas pelo Decreto nº 15.295/2019. Efeitos a partir de 09.10.2019.)</t>
        </is>
      </c>
      <c r="L676" s="29">
        <f>IF(D676="NCM/SH","",COUNTIF($D$5:$D$1506,D676))</f>
        <v/>
      </c>
    </row>
    <row r="677" ht="15.75" customHeight="1" thickBot="1">
      <c r="A677" s="1" t="inlineStr">
        <is>
          <t>14Medic</t>
        </is>
      </c>
      <c r="B677" s="43" t="inlineStr">
        <is>
          <t>5.2</t>
        </is>
      </c>
      <c r="C677" s="73" t="inlineStr">
        <is>
          <t>13.005.02</t>
        </is>
      </c>
      <c r="D677" s="43" t="inlineStr">
        <is>
          <t>3006.60.00</t>
        </is>
      </c>
      <c r="E677" s="73" t="n">
        <v>24.41</v>
      </c>
      <c r="F677" s="73" t="n">
        <v>43.9</v>
      </c>
      <c r="G677" s="73" t="n">
        <v>39.4</v>
      </c>
      <c r="H677" s="73" t="n">
        <v>31.9</v>
      </c>
      <c r="I677" s="73" t="inlineStr">
        <is>
          <t>Preparações químicas contraceptivas genérico, à base de hormônios, de outros produtos da posição 29.37 ou de espermicidas – positiva.</t>
        </is>
      </c>
      <c r="J677" s="40" t="inlineStr">
        <is>
          <t>Lei nº 1.810/97, art. 49, § 1º, VIII; Convênio ICMS 234/2017; Protocolo ICMS 12/07; Protocolo ICMS 126/13</t>
        </is>
      </c>
      <c r="K677" s="49" t="inlineStr">
        <is>
          <t>(Itens 5.2, 5.3, 5.4 e 5.5: acrescentados pelo Decreto n° 15.295/2019. Efeitos a partir de 09.10.2019.)</t>
        </is>
      </c>
      <c r="L677" s="29">
        <f>IF(D677="NCM/SH","",COUNTIF($D$5:$D$1506,D677))</f>
        <v/>
      </c>
    </row>
    <row r="678" ht="15.75" customHeight="1" thickBot="1">
      <c r="A678" s="1" t="inlineStr">
        <is>
          <t>14Medic</t>
        </is>
      </c>
      <c r="B678" s="43" t="inlineStr">
        <is>
          <t>5.3</t>
        </is>
      </c>
      <c r="C678" s="73" t="inlineStr">
        <is>
          <t>13.005.03</t>
        </is>
      </c>
      <c r="D678" s="43" t="inlineStr">
        <is>
          <t>3006.60.00</t>
        </is>
      </c>
      <c r="E678" s="73" t="n">
        <v>19.75</v>
      </c>
      <c r="F678" s="73" t="n">
        <v>38.5</v>
      </c>
      <c r="G678" s="73" t="n">
        <v>34.17</v>
      </c>
      <c r="H678" s="73" t="n">
        <v>26.95</v>
      </c>
      <c r="I678" s="73" t="inlineStr">
        <is>
          <t>Preparações químicas contraceptivas genérico, à base de hormônios, de outros produtos da posição 29.37 ou de espermicidas – negativa.</t>
        </is>
      </c>
      <c r="J678" s="40" t="inlineStr">
        <is>
          <t>Lei nº 1.810/97, art. 49, § 1º, VIII; Convênio ICMS 234/2017; Protocolo ICMS 12/07; Protocolo ICMS 126/13</t>
        </is>
      </c>
      <c r="K678" s="49" t="inlineStr">
        <is>
          <t>(Itens 5.2, 5.3, 5.4 e 5.5: acrescentados pelo Decreto n° 15.295/2019. Efeitos a partir de 09.10.2019.)</t>
        </is>
      </c>
      <c r="L678" s="29">
        <f>IF(D678="NCM/SH","",COUNTIF($D$5:$D$1506,D678))</f>
        <v/>
      </c>
    </row>
    <row r="679" ht="15.75" customHeight="1" thickBot="1">
      <c r="A679" s="1" t="inlineStr">
        <is>
          <t>14Medic</t>
        </is>
      </c>
      <c r="B679" s="43" t="inlineStr">
        <is>
          <t>5.4</t>
        </is>
      </c>
      <c r="C679" s="73" t="inlineStr">
        <is>
          <t>13.005.04</t>
        </is>
      </c>
      <c r="D679" s="43" t="inlineStr">
        <is>
          <t>3006.60.00</t>
        </is>
      </c>
      <c r="E679" s="73" t="n">
        <v>24.41</v>
      </c>
      <c r="F679" s="73" t="n">
        <v>43.9</v>
      </c>
      <c r="G679" s="73" t="n">
        <v>39.4</v>
      </c>
      <c r="H679" s="73" t="n">
        <v>31.9</v>
      </c>
      <c r="I679" s="73" t="inlineStr">
        <is>
          <t>Preparações químicas contraceptivas similar, à base de hormônios, de outros produtos da posição 29.37 ou de espermicidas – positiva.</t>
        </is>
      </c>
      <c r="J679" s="40" t="inlineStr">
        <is>
          <t>Lei nº 1.810/97, art. 49, § 1º, VIII; Convênio ICMS 234/2017; Protocolo ICMS 12/07; Protocolo ICMS 126/13</t>
        </is>
      </c>
      <c r="K679" s="49" t="inlineStr">
        <is>
          <t>(Itens 5.2, 5.3, 5.4 e 5.5: acrescentados pelo Decreto n° 15.295/2019. Efeitos a partir de 09.10.2019.)</t>
        </is>
      </c>
      <c r="L679" s="29">
        <f>IF(D679="NCM/SH","",COUNTIF($D$5:$D$1506,D679))</f>
        <v/>
      </c>
    </row>
    <row r="680" ht="15.75" customHeight="1" thickBot="1">
      <c r="A680" s="1" t="inlineStr">
        <is>
          <t>14Medic</t>
        </is>
      </c>
      <c r="B680" s="43" t="inlineStr">
        <is>
          <t>5.5</t>
        </is>
      </c>
      <c r="C680" s="73" t="inlineStr">
        <is>
          <t>13.005.05</t>
        </is>
      </c>
      <c r="D680" s="43" t="inlineStr">
        <is>
          <t>3006.60.00</t>
        </is>
      </c>
      <c r="E680" s="73" t="n">
        <v>19.75</v>
      </c>
      <c r="F680" s="73" t="n">
        <v>38.5</v>
      </c>
      <c r="G680" s="73" t="n">
        <v>34.17</v>
      </c>
      <c r="H680" s="73" t="n">
        <v>26.95</v>
      </c>
      <c r="I680" s="73" t="inlineStr">
        <is>
          <t>Preparações químicas contraceptivas similar, à base de hormônios, de outros produtos da posição 29.37 ou de espermicidas – negativa.</t>
        </is>
      </c>
      <c r="J680" s="40" t="inlineStr">
        <is>
          <t>Lei nº 1.810/97, art. 49, § 1º, VIII; Convênio ICMS 234/2017; Protocolo ICMS 12/07; Protocolo ICMS 126/13</t>
        </is>
      </c>
      <c r="K680" s="49" t="inlineStr">
        <is>
          <t>(Itens 5.2, 5.3, 5.4 e 5.5: acrescentados pelo Decreto n° 15.295/2019. Efeitos a partir de 09.10.2019.)</t>
        </is>
      </c>
      <c r="L680" s="29">
        <f>IF(D680="NCM/SH","",COUNTIF($D$5:$D$1506,D680))</f>
        <v/>
      </c>
    </row>
    <row r="681" ht="15.75" customHeight="1" thickBot="1">
      <c r="A681" s="1" t="inlineStr">
        <is>
          <t>14Medic</t>
        </is>
      </c>
      <c r="B681" s="165" t="inlineStr">
        <is>
          <t>6.0</t>
        </is>
      </c>
      <c r="C681" s="35" t="inlineStr">
        <is>
          <t>13.006.00</t>
        </is>
      </c>
      <c r="D681" s="165" t="n">
        <v>2936</v>
      </c>
      <c r="E681" s="35" t="n">
        <v>27.2</v>
      </c>
      <c r="F681" s="35" t="n">
        <v>47.13</v>
      </c>
      <c r="G681" s="35" t="n">
        <v>42.53</v>
      </c>
      <c r="H681" s="35" t="n">
        <v>34.87</v>
      </c>
      <c r="I681" s="48" t="inlineStr">
        <is>
          <t>Provitaminas e vitaminas, naturais ou reproduzidas por síntese (incluídos os concentrados naturais), bem como os seus derivados utilizados principalmente como vitaminas, misturados ou não entre si, mesmo em quaisquer soluções - neutra</t>
        </is>
      </c>
      <c r="J681" s="40" t="inlineStr">
        <is>
          <t>Lei nº 1.810/97, art. 49, § 1º, VIII; Convênio ICMS 234/2017; Protocolo ICMS 12/07; Protocolo ICMS 126/13</t>
        </is>
      </c>
      <c r="L681" s="29">
        <f>IF(D681="NCM/SH","",COUNTIF($D$5:$D$1506,D681))</f>
        <v/>
      </c>
    </row>
    <row r="682" ht="15.75" customHeight="1" thickBot="1">
      <c r="A682" s="1" t="inlineStr">
        <is>
          <t>14Medic</t>
        </is>
      </c>
      <c r="B682" s="165" t="inlineStr">
        <is>
          <t>7.0</t>
        </is>
      </c>
      <c r="C682" s="35" t="inlineStr">
        <is>
          <t>13.007.00</t>
        </is>
      </c>
      <c r="D682" s="165" t="inlineStr">
        <is>
          <t>3006.30</t>
        </is>
      </c>
      <c r="E682" s="35" t="n">
        <v>24.41</v>
      </c>
      <c r="F682" s="35" t="n">
        <v>43.9</v>
      </c>
      <c r="G682" s="35" t="n">
        <v>39.4</v>
      </c>
      <c r="H682" s="35" t="n">
        <v>31.9</v>
      </c>
      <c r="I682" s="48" t="inlineStr">
        <is>
          <t>Preparações opacificantes (contrastantes) para exames radiográficos e reagentes de diagnóstico concebidos para serem administrados ao paciente - positiva</t>
        </is>
      </c>
      <c r="J682" s="40" t="inlineStr">
        <is>
          <t>Lei nº 1.810/97, art. 49, § 1º, VIII; Convênio ICMS 234/2017; Protocolo ICMS 12/07; Protocolo ICMS 126/13</t>
        </is>
      </c>
      <c r="L682" s="29">
        <f>IF(D682="NCM/SH","",COUNTIF($D$5:$D$1506,D682))</f>
        <v/>
      </c>
    </row>
    <row r="683" ht="15.75" customHeight="1" thickBot="1">
      <c r="A683" s="1" t="inlineStr">
        <is>
          <t>14Medic</t>
        </is>
      </c>
      <c r="B683" s="165" t="inlineStr">
        <is>
          <t>7.1</t>
        </is>
      </c>
      <c r="C683" s="35" t="inlineStr">
        <is>
          <t>13.007.01</t>
        </is>
      </c>
      <c r="D683" s="165" t="inlineStr">
        <is>
          <t>3006.30</t>
        </is>
      </c>
      <c r="E683" s="35" t="n">
        <v>19.75</v>
      </c>
      <c r="F683" s="35" t="n">
        <v>38.5</v>
      </c>
      <c r="G683" s="35" t="n">
        <v>34.17</v>
      </c>
      <c r="H683" s="35" t="n">
        <v>26.95</v>
      </c>
      <c r="I683" s="48" t="inlineStr">
        <is>
          <t>Preparações opacificantes (contrastantes) para exames radiográficos e reagentes de diagnóstico concebidos para serem administrados ao paciente - negativa</t>
        </is>
      </c>
      <c r="J683" s="40" t="inlineStr">
        <is>
          <t>Lei nº 1.810/97, art. 49, § 1º, VIII; Convênio ICMS 234/2017; Protocolo ICMS 12/07; Protocolo ICMS 126/13</t>
        </is>
      </c>
      <c r="L683" s="29">
        <f>IF(D683="NCM/SH","",COUNTIF($D$5:$D$1506,D683))</f>
        <v/>
      </c>
    </row>
    <row r="684" ht="15.75" customHeight="1" thickBot="1">
      <c r="A684" s="1" t="inlineStr">
        <is>
          <t>14Medic</t>
        </is>
      </c>
      <c r="B684" s="165" t="inlineStr">
        <is>
          <t>8.0</t>
        </is>
      </c>
      <c r="C684" s="35" t="inlineStr">
        <is>
          <t>13.008.00</t>
        </is>
      </c>
      <c r="D684" s="165" t="n">
        <v>3002</v>
      </c>
      <c r="E684" s="35" t="n">
        <v>24.41</v>
      </c>
      <c r="F684" s="35" t="n">
        <v>43.9</v>
      </c>
      <c r="G684" s="35" t="n">
        <v>39.4</v>
      </c>
      <c r="H684" s="35" t="n">
        <v>31.9</v>
      </c>
      <c r="I684" s="48" t="inlineStr">
        <is>
          <t>Antissoro, outras frações do sangue, produtos imunológicos modificados, mesmo obtidos por via biotecnológica,  exceto para uso veterinário - positiva</t>
        </is>
      </c>
      <c r="J684" s="40" t="inlineStr">
        <is>
          <t>Lei nº 1.810/97, art. 49, § 1º, VIII; Convênio ICMS 234/2017; Protocolo ICMS 12/07; Protocolo ICMS 126/13</t>
        </is>
      </c>
      <c r="L684" s="29">
        <f>IF(D684="NCM/SH","",COUNTIF($D$5:$D$1506,D684))</f>
        <v/>
      </c>
    </row>
    <row r="685" ht="15.75" customHeight="1" thickBot="1">
      <c r="A685" s="1" t="inlineStr">
        <is>
          <t>14Medic</t>
        </is>
      </c>
      <c r="B685" s="165" t="inlineStr">
        <is>
          <t>8.1</t>
        </is>
      </c>
      <c r="C685" s="35" t="inlineStr">
        <is>
          <t>13.008.01</t>
        </is>
      </c>
      <c r="D685" s="165" t="n">
        <v>3002</v>
      </c>
      <c r="E685" s="35" t="n">
        <v>19.75</v>
      </c>
      <c r="F685" s="35" t="n">
        <v>38.5</v>
      </c>
      <c r="G685" s="35" t="n">
        <v>34.17</v>
      </c>
      <c r="H685" s="35" t="n">
        <v>26.95</v>
      </c>
      <c r="I685" s="48" t="inlineStr">
        <is>
          <t>Antissoro, outras frações do sangue, produtos imunológicos modificados, mesmo obtidos por via biotecnológica, exceto para uso veterinário - negativa</t>
        </is>
      </c>
      <c r="J685" s="41" t="inlineStr">
        <is>
          <t>Lei nº 1.810/97, art. 49, § 1º, VIII; Convênio ICMS 234/2017; Protocolo ICMS 12/07; Protocolo ICMS 126/13</t>
        </is>
      </c>
      <c r="L685" s="29">
        <f>IF(D685="NCM/SH","",COUNTIF($D$5:$D$1506,D685))</f>
        <v/>
      </c>
    </row>
    <row r="686" ht="15.75" customHeight="1" thickBot="1">
      <c r="A686" s="1" t="inlineStr">
        <is>
          <t>14Medic</t>
        </is>
      </c>
      <c r="B686" s="165" t="inlineStr">
        <is>
          <t>9.0</t>
        </is>
      </c>
      <c r="C686" s="35" t="inlineStr">
        <is>
          <t>13.009.00</t>
        </is>
      </c>
      <c r="D686" s="165" t="n">
        <v>3002</v>
      </c>
      <c r="E686" s="35" t="n">
        <v>24.41</v>
      </c>
      <c r="F686" s="35" t="n">
        <v>43.9</v>
      </c>
      <c r="G686" s="35" t="n">
        <v>39.4</v>
      </c>
      <c r="H686" s="35" t="n">
        <v>31.9</v>
      </c>
      <c r="I686" s="48" t="inlineStr">
        <is>
          <t xml:space="preserve">Vacinas e produtos semelhantes, exceto para uso veterinário - positiva; </t>
        </is>
      </c>
      <c r="J686" s="38" t="inlineStr">
        <is>
          <t>Lei nº 1.810/97, art. 49, § 1º, VIII; Convênio ICMS 234/2017; Protocolo ICMS 12/07; Protocolo ICMS 126/13</t>
        </is>
      </c>
      <c r="L686" s="29">
        <f>IF(D686="NCM/SH","",COUNTIF($D$5:$D$1506,D686))</f>
        <v/>
      </c>
    </row>
    <row r="687" ht="15.75" customHeight="1" thickBot="1">
      <c r="A687" s="1" t="inlineStr">
        <is>
          <t>14Medic</t>
        </is>
      </c>
      <c r="B687" s="165" t="inlineStr">
        <is>
          <t>9.1</t>
        </is>
      </c>
      <c r="C687" s="35" t="inlineStr">
        <is>
          <t>13.009.01</t>
        </is>
      </c>
      <c r="D687" s="165" t="n">
        <v>3002</v>
      </c>
      <c r="E687" s="35" t="n">
        <v>19.75</v>
      </c>
      <c r="F687" s="35" t="n">
        <v>38.5</v>
      </c>
      <c r="G687" s="35" t="n">
        <v>34.17</v>
      </c>
      <c r="H687" s="35" t="n">
        <v>26.95</v>
      </c>
      <c r="I687" s="48" t="inlineStr">
        <is>
          <t xml:space="preserve">Vacinas e produtos semelhantes, exceto para uso veterinário - negativa; </t>
        </is>
      </c>
      <c r="J687" s="38" t="inlineStr">
        <is>
          <t>Lei nº 1.810/97, art. 49, § 1º, VIII; Convênio ICMS 234/2017; Protocolo ICMS 12/07; Protocolo ICMS 126/13</t>
        </is>
      </c>
      <c r="L687" s="29">
        <f>IF(D687="NCM/SH","",COUNTIF($D$5:$D$1506,D687))</f>
        <v/>
      </c>
    </row>
    <row r="688" ht="15.75" customHeight="1" thickBot="1">
      <c r="A688" s="1" t="inlineStr">
        <is>
          <t>14Medic</t>
        </is>
      </c>
      <c r="B688" s="78" t="inlineStr">
        <is>
          <t>10.0</t>
        </is>
      </c>
      <c r="C688" s="48" t="inlineStr">
        <is>
          <t>13.010.00</t>
        </is>
      </c>
      <c r="D688" s="78" t="inlineStr">
        <is>
          <t>3005.10.10</t>
        </is>
      </c>
      <c r="E688" s="35" t="n">
        <v>24.41</v>
      </c>
      <c r="F688" s="35" t="n">
        <v>43.9</v>
      </c>
      <c r="G688" s="35" t="n">
        <v>39.4</v>
      </c>
      <c r="H688" s="35" t="n">
        <v>31.9</v>
      </c>
      <c r="I688" s="48" t="inlineStr">
        <is>
          <t>Curativos (pensos) adesivos e outros artigos com uma camada adesiva, impregnados ou recobertos de substâncias farmacêuticas - Lista Positiva</t>
        </is>
      </c>
      <c r="J688" s="38" t="inlineStr">
        <is>
          <t>Lei nº 1.810/97, art. 49, § 1º, VIII; Convênio ICMS 234/2017; Protocolo ICMS 12/07; Protocolo ICMS 126/13</t>
        </is>
      </c>
      <c r="L688" s="29">
        <f>IF(D688="NCM/SH","",COUNTIF($D$5:$D$1506,D688))</f>
        <v/>
      </c>
    </row>
    <row r="689" ht="15.75" customHeight="1" thickBot="1">
      <c r="A689" s="1" t="inlineStr">
        <is>
          <t>14Medic</t>
        </is>
      </c>
      <c r="B689" s="78" t="inlineStr">
        <is>
          <t>10.1</t>
        </is>
      </c>
      <c r="C689" s="48" t="inlineStr">
        <is>
          <t>13.010.01</t>
        </is>
      </c>
      <c r="D689" s="78" t="inlineStr">
        <is>
          <t>3005.10.10</t>
        </is>
      </c>
      <c r="E689" s="35" t="n">
        <v>19.75</v>
      </c>
      <c r="F689" s="35" t="n">
        <v>38.5</v>
      </c>
      <c r="G689" s="35" t="n">
        <v>34.17</v>
      </c>
      <c r="H689" s="35" t="n">
        <v>26.95</v>
      </c>
      <c r="I689" s="48" t="inlineStr">
        <is>
          <t>Curativos (pensos) adesivos e outros artigos com uma camada adesiva, impregnados ou recobertos de substâncias farmacêuticas - Lista Negativa</t>
        </is>
      </c>
      <c r="J689" s="40" t="inlineStr">
        <is>
          <t>Lei nº 1.810/97, art. 49, § 1º, VIII; Convênio ICMS 234/2017; Protocolo ICMS 12/07; Protocolo ICMS 126/13</t>
        </is>
      </c>
      <c r="L689" s="29">
        <f>IF(D689="NCM/SH","",COUNTIF($D$5:$D$1506,D689))</f>
        <v/>
      </c>
    </row>
    <row r="690" ht="15.75" customHeight="1" thickBot="1">
      <c r="A690" s="1" t="inlineStr">
        <is>
          <t>14Medic</t>
        </is>
      </c>
      <c r="B690" s="78" t="inlineStr">
        <is>
          <t>11.0</t>
        </is>
      </c>
      <c r="C690" s="48" t="inlineStr">
        <is>
          <t>13.011.00</t>
        </is>
      </c>
      <c r="D690" s="78" t="n">
        <v>3005</v>
      </c>
      <c r="E690" s="35" t="n">
        <v>27.2</v>
      </c>
      <c r="F690" s="35" t="n">
        <v>47.13</v>
      </c>
      <c r="G690" s="35" t="n">
        <v>42.53</v>
      </c>
      <c r="H690" s="35" t="n">
        <v>34.87</v>
      </c>
      <c r="I690" s="48" t="inlineStr">
        <is>
          <t>Algodão, atadura, esparadrapo, gazes, pensos, sinapismos, e outros, acondicionados para venda a retalho para usos medicinais, cirúrgicos ou dentários, não impregnados ou recobertos de substâncias farmacêuticas - Lista Neutra</t>
        </is>
      </c>
      <c r="J690" s="40" t="inlineStr">
        <is>
          <t>Lei nº 1.810/97, art. 49, § 1º, VIII; Convênio ICMS 234/2017; Protocolo ICMS 12/07; Protocolo ICMS 126/13</t>
        </is>
      </c>
      <c r="L690" s="29">
        <f>IF(D690="NCM/SH","",COUNTIF($D$5:$D$1506,D690))</f>
        <v/>
      </c>
    </row>
    <row r="691" ht="14.45" customHeight="1" thickBot="1">
      <c r="A691" s="1" t="inlineStr">
        <is>
          <t>14Medic</t>
        </is>
      </c>
      <c r="B691" s="98" t="inlineStr">
        <is>
          <t>12.0</t>
        </is>
      </c>
      <c r="C691" s="163" t="inlineStr">
        <is>
          <t>13.012.00</t>
        </is>
      </c>
      <c r="D691" s="98" t="inlineStr">
        <is>
          <t>4015.12.00</t>
        </is>
      </c>
      <c r="E691" s="163" t="n">
        <v>27.2</v>
      </c>
      <c r="F691" s="163" t="n">
        <v>47.13</v>
      </c>
      <c r="G691" s="163" t="n">
        <v>42.53</v>
      </c>
      <c r="H691" s="163" t="n">
        <v>34.87</v>
      </c>
      <c r="I691" s="163" t="inlineStr">
        <is>
          <t>Luvas cirúrgicas e luvas de procedimento - neutra</t>
        </is>
      </c>
      <c r="J691" s="40" t="inlineStr">
        <is>
          <t>Lei nº 1.810/97, art. 49, § 1º, VIII; Convênio ICMS 234/2017; Protocolo ICMS 12/07; Protocolo ICMS 126/13</t>
        </is>
      </c>
      <c r="K691" s="47" t="inlineStr">
        <is>
          <t>(Item 12.0: nova redação dada pelo Decreto nº 16.211/2023. Efeitos a partir de 14.6.2023.)</t>
        </is>
      </c>
      <c r="L691" s="29">
        <f>IF(D691="NCM/SH","",COUNTIF($D$5:$D$1506,D691))</f>
        <v/>
      </c>
    </row>
    <row r="692" ht="15.75" customHeight="1" thickBot="1">
      <c r="A692" s="1" t="inlineStr">
        <is>
          <t>14Medic</t>
        </is>
      </c>
      <c r="B692" s="99" t="n">
        <v>12</v>
      </c>
      <c r="C692" s="164" t="inlineStr">
        <is>
          <t>13.012.00</t>
        </is>
      </c>
      <c r="D692" s="99" t="inlineStr">
        <is>
          <t>4015.19.00</t>
        </is>
      </c>
      <c r="E692" s="164" t="n">
        <v>27.2</v>
      </c>
      <c r="F692" s="164" t="n">
        <v>47.13</v>
      </c>
      <c r="G692" s="164" t="n">
        <v>42.53</v>
      </c>
      <c r="H692" s="164" t="n">
        <v>34.87</v>
      </c>
      <c r="I692" s="164" t="inlineStr">
        <is>
          <t>Luvas cirúrgicas e luvas de procedimento - neutra</t>
        </is>
      </c>
      <c r="J692" s="40" t="inlineStr">
        <is>
          <t>Lei nº 1.810/97, art. 49, § 1º, VIII; Convênio ICMS 234/2017; Protocolo ICMS 12/07; Protocolo ICMS 126/13</t>
        </is>
      </c>
      <c r="K692" s="47" t="inlineStr">
        <is>
          <t>(Item 12.0: nova redação dada pelo Decreto nº 16.211/2023. Efeitos a partir de 14.6.2023.)</t>
        </is>
      </c>
      <c r="L692" s="29">
        <f>IF(D692="NCM/SH","",COUNTIF($D$5:$D$1506,D692))</f>
        <v/>
      </c>
    </row>
    <row r="693" ht="15.75" customHeight="1" thickBot="1">
      <c r="A693" s="1" t="inlineStr">
        <is>
          <t>14Medic</t>
        </is>
      </c>
      <c r="B693" s="98" t="inlineStr">
        <is>
          <t>13.0</t>
        </is>
      </c>
      <c r="C693" s="163" t="inlineStr">
        <is>
          <t>13.013.00</t>
        </is>
      </c>
      <c r="D693" s="98" t="inlineStr">
        <is>
          <t>4014.10.00</t>
        </is>
      </c>
      <c r="E693" s="163" t="n">
        <v>27.2</v>
      </c>
      <c r="F693" s="163" t="n">
        <v>47.13</v>
      </c>
      <c r="G693" s="163" t="n">
        <v>42.53</v>
      </c>
      <c r="H693" s="163" t="n">
        <v>34.87</v>
      </c>
      <c r="I693" s="163" t="inlineStr">
        <is>
          <t>Preservativo - neutra</t>
        </is>
      </c>
      <c r="J693" s="38" t="inlineStr">
        <is>
          <t>Lei nº 1.810/97, art. 49, § 1º, VIII; Convênio ICMS 234/2017</t>
        </is>
      </c>
      <c r="K693" s="43" t="inlineStr">
        <is>
          <t>(Item 13.0: nova redação dada pelo Decreto nº 15.295/2019. Efeitos a partir de 1º.02.2019.)</t>
        </is>
      </c>
      <c r="L693" s="29">
        <f>IF(D693="NCM/SH","",COUNTIF($D$5:$D$1506,D693))</f>
        <v/>
      </c>
    </row>
    <row r="694" ht="15.75" customHeight="1" thickBot="1">
      <c r="A694" s="1" t="inlineStr">
        <is>
          <t>14Medic</t>
        </is>
      </c>
      <c r="B694" s="165" t="inlineStr">
        <is>
          <t>14.0</t>
        </is>
      </c>
      <c r="C694" s="35" t="inlineStr">
        <is>
          <t>13.014.00</t>
        </is>
      </c>
      <c r="D694" s="165" t="inlineStr">
        <is>
          <t>9018.31</t>
        </is>
      </c>
      <c r="E694" s="35" t="n">
        <v>27.2</v>
      </c>
      <c r="F694" s="35" t="n">
        <v>47.13</v>
      </c>
      <c r="G694" s="35" t="n">
        <v>42.53</v>
      </c>
      <c r="H694" s="35" t="n">
        <v>34.87</v>
      </c>
      <c r="I694" s="35" t="inlineStr">
        <is>
          <t>Seringas, mesmo com agulhas - neutra</t>
        </is>
      </c>
      <c r="J694" s="38" t="inlineStr">
        <is>
          <t>Lei nº 1.810/97, art. 49, § 1º, VIII; Convênio ICMS 234/2017; Protocolo ICMS 12/07; Protocolo ICMS 126/13</t>
        </is>
      </c>
      <c r="L694" s="29">
        <f>IF(D694="NCM/SH","",COUNTIF($D$5:$D$1506,D694))</f>
        <v/>
      </c>
    </row>
    <row r="695" ht="15.75" customHeight="1" thickBot="1">
      <c r="A695" s="1" t="inlineStr">
        <is>
          <t>14Medic</t>
        </is>
      </c>
      <c r="B695" s="165" t="inlineStr">
        <is>
          <t>15.0</t>
        </is>
      </c>
      <c r="C695" s="35" t="inlineStr">
        <is>
          <t>13.015.00</t>
        </is>
      </c>
      <c r="D695" s="165" t="inlineStr">
        <is>
          <t>9018.32.1</t>
        </is>
      </c>
      <c r="E695" s="35" t="n">
        <v>27.2</v>
      </c>
      <c r="F695" s="35" t="n">
        <v>47.13</v>
      </c>
      <c r="G695" s="35" t="n">
        <v>42.53</v>
      </c>
      <c r="H695" s="35" t="n">
        <v>34.87</v>
      </c>
      <c r="I695" s="35" t="inlineStr">
        <is>
          <t>Agulhas para seringas - neutra</t>
        </is>
      </c>
      <c r="J695" s="38" t="inlineStr">
        <is>
          <t>Lei nº 1.810/97, art. 49, § 1º, VIII; Convênio ICMS 234/2017; Protocolo ICMS 12/07; Protocolo ICMS 126/13</t>
        </is>
      </c>
      <c r="L695" s="29">
        <f>IF(D695="NCM/SH","",COUNTIF($D$5:$D$1506,D695))</f>
        <v/>
      </c>
    </row>
    <row r="696" ht="61.15" customHeight="1">
      <c r="A696" s="1" t="inlineStr">
        <is>
          <t>14Medic</t>
        </is>
      </c>
      <c r="B696" s="98" t="inlineStr">
        <is>
          <t>16.0</t>
        </is>
      </c>
      <c r="C696" s="163" t="inlineStr">
        <is>
          <t>13.016.00</t>
        </is>
      </c>
      <c r="D696" s="98" t="inlineStr">
        <is>
          <t>3926.90.90</t>
        </is>
      </c>
      <c r="E696" s="163" t="n">
        <v>27.2</v>
      </c>
      <c r="F696" s="163" t="n">
        <v>47.13</v>
      </c>
      <c r="G696" s="163" t="n">
        <v>42.53</v>
      </c>
      <c r="H696" s="163" t="n">
        <v>34.87</v>
      </c>
      <c r="I696" s="163" t="inlineStr">
        <is>
          <t>Contraceptivos (dispositivos intrauterinos - DIU) - neutra</t>
        </is>
      </c>
      <c r="J696" s="38" t="inlineStr">
        <is>
          <t>Lei nº 1.810/97, art. 49, § 1º, VIII; Convênio ICMS 234/2017; Protocolo ICMS 12/07; Protocolo ICMS 126/13</t>
        </is>
      </c>
      <c r="L696" s="29">
        <f>IF(D696="NCM/SH","",COUNTIF($D$5:$D$1506,D696))</f>
        <v/>
      </c>
    </row>
    <row r="697" ht="15.75" customHeight="1" thickBot="1">
      <c r="A697" s="1" t="inlineStr">
        <is>
          <t>14Medic</t>
        </is>
      </c>
      <c r="B697" s="99" t="n">
        <v>16</v>
      </c>
      <c r="C697" s="164" t="inlineStr">
        <is>
          <t>13.016.00</t>
        </is>
      </c>
      <c r="D697" s="99" t="inlineStr">
        <is>
          <t>9018.90.99</t>
        </is>
      </c>
      <c r="E697" s="164" t="n">
        <v>27.2</v>
      </c>
      <c r="F697" s="164" t="n">
        <v>47.13</v>
      </c>
      <c r="G697" s="164" t="n">
        <v>42.53</v>
      </c>
      <c r="H697" s="164" t="n">
        <v>34.87</v>
      </c>
      <c r="I697" s="164" t="inlineStr">
        <is>
          <t>Contraceptivos (dispositivos intrauterinos - DIU) - neutra</t>
        </is>
      </c>
      <c r="J697" s="41" t="inlineStr">
        <is>
          <t>Lei nº 1.810/97, art. 49, § 1º, VIII; Convênio ICMS 234/2017; Protocolo ICMS 12/07; Protocolo ICMS 126/13</t>
        </is>
      </c>
      <c r="L697" s="29">
        <f>IF(D697="NCM/SH","",COUNTIF($D$5:$D$1506,D697))</f>
        <v/>
      </c>
    </row>
    <row r="698">
      <c r="B698" s="65" t="n"/>
      <c r="C698" s="65" t="n"/>
      <c r="D698" s="65" t="n"/>
      <c r="E698" s="65" t="n"/>
      <c r="F698" s="65" t="n"/>
      <c r="G698" s="65" t="n"/>
      <c r="H698" s="65" t="n"/>
      <c r="I698" s="65" t="n"/>
      <c r="J698" s="65" t="n"/>
      <c r="K698" s="65" t="n"/>
      <c r="L698" s="29">
        <f>IF(D698="NCM/SH","",COUNTIF($D$5:$D$1506,D698))</f>
        <v/>
      </c>
      <c r="M698" s="65" t="n"/>
    </row>
    <row r="699">
      <c r="B699" s="28" t="n"/>
      <c r="L699" s="29">
        <f>IF(D699="NCM/SH","",COUNTIF($D$5:$D$1506,D699))</f>
        <v/>
      </c>
    </row>
    <row r="700">
      <c r="B700" s="28" t="n"/>
      <c r="L700" s="29">
        <f>IF(D700="NCM/SH","",COUNTIF($D$5:$D$1506,D700))</f>
        <v/>
      </c>
    </row>
    <row r="701" ht="15.75" customHeight="1" thickBot="1">
      <c r="A701" s="1" t="inlineStr">
        <is>
          <t>15Papeis</t>
        </is>
      </c>
      <c r="B701" s="28" t="inlineStr">
        <is>
          <t>TABELA XV</t>
        </is>
      </c>
      <c r="C701" s="28" t="inlineStr">
        <is>
          <t>PAPÉIS, PLÁSTICOS, PRODUTOS CERÂMICOS E VIDROS (Tabela XV: nova redação dada pelo Decreto nº 14.645/2016. Efeitos a partir de 1º.01.2017.)</t>
        </is>
      </c>
      <c r="D701" s="62" t="n"/>
      <c r="E701" s="62" t="n"/>
      <c r="F701" s="62" t="n"/>
      <c r="G701" s="62" t="n"/>
      <c r="H701" s="62" t="n"/>
      <c r="L701" s="29">
        <f>IF(D701="NCM/SH","",COUNTIF($D$5:$D$1506,D701))</f>
        <v/>
      </c>
    </row>
    <row r="702" ht="15" customHeight="1" thickBot="1">
      <c r="A702" s="1" t="inlineStr">
        <is>
          <t>15Papeis</t>
        </is>
      </c>
      <c r="B702" s="81" t="inlineStr">
        <is>
          <t>ITEM</t>
        </is>
      </c>
      <c r="C702" s="81" t="inlineStr">
        <is>
          <t>CEST</t>
        </is>
      </c>
      <c r="D702" s="81" t="inlineStr">
        <is>
          <t>NCM/SH</t>
        </is>
      </c>
      <c r="E702" s="78" t="inlineStr">
        <is>
          <t>MARGEM DE VALOR AGREGADO</t>
        </is>
      </c>
      <c r="F702" s="79" t="n"/>
      <c r="G702" s="79" t="n"/>
      <c r="H702" s="79" t="n"/>
      <c r="I702" s="81" t="inlineStr">
        <is>
          <t xml:space="preserve">DESCRIÇÃO </t>
        </is>
      </c>
      <c r="J702" s="42" t="n"/>
      <c r="L702" s="29">
        <f>IF(D702="NCM/SH","",COUNTIF($D$5:$D$1506,D702))</f>
        <v/>
      </c>
    </row>
    <row r="703" ht="15" customHeight="1" thickBot="1">
      <c r="A703" s="1" t="inlineStr">
        <is>
          <t>15Papeis</t>
        </is>
      </c>
      <c r="B703" s="82" t="inlineStr">
        <is>
          <t>ITEM</t>
        </is>
      </c>
      <c r="C703" s="82" t="inlineStr">
        <is>
          <t>CEST</t>
        </is>
      </c>
      <c r="D703" s="82" t="inlineStr">
        <is>
          <t>NCM/SH</t>
        </is>
      </c>
      <c r="E703" s="78" t="inlineStr">
        <is>
          <t>Oper. interna</t>
        </is>
      </c>
      <c r="F703" s="78" t="inlineStr">
        <is>
          <t>Alíq. 4%</t>
        </is>
      </c>
      <c r="G703" s="78" t="inlineStr">
        <is>
          <t>Alíq. 7%</t>
        </is>
      </c>
      <c r="H703" s="78" t="inlineStr">
        <is>
          <t>Alíq. 12%</t>
        </is>
      </c>
      <c r="I703" s="82" t="inlineStr">
        <is>
          <t xml:space="preserve">DESCRIÇÃO </t>
        </is>
      </c>
      <c r="J703" s="164" t="inlineStr">
        <is>
          <t>DISPOSITIVO LEGAL</t>
        </is>
      </c>
      <c r="L703" s="29">
        <f>IF(D703="NCM/SH","",COUNTIF($D$5:$D$1506,D703))</f>
        <v/>
      </c>
    </row>
    <row r="704" ht="15" customHeight="1" thickBot="1">
      <c r="A704" s="1" t="inlineStr">
        <is>
          <t>15Papeis</t>
        </is>
      </c>
      <c r="B704" s="78" t="inlineStr">
        <is>
          <t>1.0</t>
        </is>
      </c>
      <c r="C704" s="78" t="inlineStr">
        <is>
          <t>14.001.00</t>
        </is>
      </c>
      <c r="D704" s="78" t="n">
        <v>7013</v>
      </c>
      <c r="E704" s="78" t="n">
        <v>53.51</v>
      </c>
      <c r="F704" s="78" t="n">
        <v>77.55</v>
      </c>
      <c r="G704" s="78" t="n">
        <v>72.01000000000001</v>
      </c>
      <c r="H704" s="78" t="n">
        <v>62.76</v>
      </c>
      <c r="I704" s="78" t="inlineStr">
        <is>
          <t>Objetos de vidro para serviço de mesa ou de cozinha</t>
        </is>
      </c>
      <c r="J704" s="102" t="inlineStr">
        <is>
          <t>Lei nº 1.810/97, art. 49, § 1º, X (Dispositivo Legal: acrescentado pelo Decreto nº 15.295/2019. Efeitos a partir de 09.10.2019.)</t>
        </is>
      </c>
      <c r="L704" s="29">
        <f>IF(D704="NCM/SH","",COUNTIF($D$5:$D$1506,D704))</f>
        <v/>
      </c>
    </row>
    <row r="705" ht="15" customHeight="1" thickBot="1">
      <c r="A705" s="1" t="inlineStr">
        <is>
          <t>15Papeis</t>
        </is>
      </c>
      <c r="B705" s="78" t="inlineStr">
        <is>
          <t>2.0</t>
        </is>
      </c>
      <c r="C705" s="78" t="inlineStr">
        <is>
          <t>14.002.00</t>
        </is>
      </c>
      <c r="D705" s="78" t="inlineStr">
        <is>
          <t>7013.37.00</t>
        </is>
      </c>
      <c r="E705" s="78" t="n">
        <v>42.8</v>
      </c>
      <c r="F705" s="78" t="n">
        <v>65.17</v>
      </c>
      <c r="G705" s="78" t="n">
        <v>60</v>
      </c>
      <c r="H705" s="78" t="n">
        <v>51.4</v>
      </c>
      <c r="I705" s="78" t="inlineStr">
        <is>
          <t>Outros copos, exceto de vitrocerâmica</t>
        </is>
      </c>
      <c r="J705" s="42" t="inlineStr">
        <is>
          <t>Lei nº 1.810/97, art. 49, § 1º, X (Dispositivo Legal: acrescentado pelo Decreto nº 15.295/2019. Efeitos a partir de 09.10.2019.)</t>
        </is>
      </c>
      <c r="L705" s="29">
        <f>IF(D705="NCM/SH","",COUNTIF($D$5:$D$1506,D705))</f>
        <v/>
      </c>
    </row>
    <row r="706" ht="15" customHeight="1" thickBot="1">
      <c r="A706" s="1" t="inlineStr">
        <is>
          <t>15Papeis</t>
        </is>
      </c>
      <c r="B706" s="78" t="inlineStr">
        <is>
          <t>3.0</t>
        </is>
      </c>
      <c r="C706" s="78" t="inlineStr">
        <is>
          <t>14.003.00</t>
        </is>
      </c>
      <c r="D706" s="78" t="inlineStr">
        <is>
          <t>7013.42.90</t>
        </is>
      </c>
      <c r="E706" s="78" t="n">
        <v>70.45999999999999</v>
      </c>
      <c r="F706" s="78" t="n">
        <v>97.16</v>
      </c>
      <c r="G706" s="78" t="n">
        <v>91</v>
      </c>
      <c r="H706" s="78" t="n">
        <v>80.73</v>
      </c>
      <c r="I706" s="82" t="inlineStr">
        <is>
          <t>Objetos para serviço de mesa (exceto copos) ou de cozinha, exceto de vitrocerâmica</t>
        </is>
      </c>
      <c r="J706" s="45" t="inlineStr">
        <is>
          <t>Lei nº 1.810/97, art. 49, § 1º, X (Dispositivo Legal: acrescentado pelo Decreto nº 15.295/2019. Efeitos a partir de 09.10.2019.)</t>
        </is>
      </c>
      <c r="L706" s="29">
        <f>IF(D706="NCM/SH","",COUNTIF($D$5:$D$1506,D706))</f>
        <v/>
      </c>
    </row>
    <row r="707" ht="14.45" customHeight="1">
      <c r="A707" s="1" t="inlineStr">
        <is>
          <t>15Papeis</t>
        </is>
      </c>
      <c r="B707" s="81" t="inlineStr">
        <is>
          <t>4.0</t>
        </is>
      </c>
      <c r="C707" s="81" t="inlineStr">
        <is>
          <t>14.004.00</t>
        </is>
      </c>
      <c r="D707" s="81" t="n">
        <v>3919</v>
      </c>
      <c r="E707" s="81" t="n">
        <v>38</v>
      </c>
      <c r="F707" s="81" t="n">
        <v>59.61</v>
      </c>
      <c r="G707" s="81" t="n">
        <v>54.63</v>
      </c>
      <c r="H707" s="81" t="n">
        <v>46.31</v>
      </c>
      <c r="I707" s="81" t="inlineStr">
        <is>
          <t xml:space="preserve">Lonas plásticas, exceto as para uso na construção </t>
        </is>
      </c>
      <c r="J707" s="45" t="inlineStr">
        <is>
          <t>Lei nº 1.810/97, art. 49, § 1º, X (Dispositivo Legal: acrescentado pelo Decreto nº 15.295/2019. Efeitos a partir de 09.10.2019.)</t>
        </is>
      </c>
      <c r="L707" s="29">
        <f>IF(D707="NCM/SH","",COUNTIF($D$5:$D$1506,D707))</f>
        <v/>
      </c>
    </row>
    <row r="708">
      <c r="A708" s="1" t="inlineStr">
        <is>
          <t>15Papeis</t>
        </is>
      </c>
      <c r="B708" s="100" t="n">
        <v>4</v>
      </c>
      <c r="C708" s="100" t="inlineStr">
        <is>
          <t>14.004.00</t>
        </is>
      </c>
      <c r="D708" s="100" t="n">
        <v>3920</v>
      </c>
      <c r="E708" s="100" t="n">
        <v>38</v>
      </c>
      <c r="F708" s="100" t="n">
        <v>59.61</v>
      </c>
      <c r="G708" s="100" t="n">
        <v>54.63</v>
      </c>
      <c r="H708" s="100" t="n">
        <v>46.31</v>
      </c>
      <c r="I708" s="100" t="inlineStr">
        <is>
          <t xml:space="preserve">Lonas plásticas, exceto as para uso na construção </t>
        </is>
      </c>
      <c r="J708" s="45" t="inlineStr">
        <is>
          <t>Lei nº 1.810/97, art. 49, § 1º, X (Dispositivo Legal: acrescentado pelo Decreto nº 15.295/2019. Efeitos a partir de 09.10.2019.)</t>
        </is>
      </c>
      <c r="L708" s="29">
        <f>IF(D708="NCM/SH","",COUNTIF($D$5:$D$1506,D708))</f>
        <v/>
      </c>
    </row>
    <row r="709" ht="15.75" customHeight="1" thickBot="1">
      <c r="A709" s="1" t="inlineStr">
        <is>
          <t>15Papeis</t>
        </is>
      </c>
      <c r="B709" s="82" t="n">
        <v>4</v>
      </c>
      <c r="C709" s="82" t="inlineStr">
        <is>
          <t>14.004.00</t>
        </is>
      </c>
      <c r="D709" s="82" t="n">
        <v>3921</v>
      </c>
      <c r="E709" s="82" t="n">
        <v>38</v>
      </c>
      <c r="F709" s="82" t="n">
        <v>59.61</v>
      </c>
      <c r="G709" s="82" t="n">
        <v>54.63</v>
      </c>
      <c r="H709" s="82" t="n">
        <v>46.31</v>
      </c>
      <c r="I709" s="82" t="inlineStr">
        <is>
          <t xml:space="preserve">Lonas plásticas, exceto as para uso na construção </t>
        </is>
      </c>
      <c r="J709" s="45" t="inlineStr">
        <is>
          <t>Lei nº 1.810/97, art. 49, § 1º, X (Dispositivo Legal: acrescentado pelo Decreto nº 15.295/2019. Efeitos a partir de 09.10.2019.)</t>
        </is>
      </c>
      <c r="L709" s="29">
        <f>IF(D709="NCM/SH","",COUNTIF($D$5:$D$1506,D709))</f>
        <v/>
      </c>
    </row>
    <row r="710" ht="15" customHeight="1" thickBot="1">
      <c r="A710" s="1" t="inlineStr">
        <is>
          <t>15Papeis</t>
        </is>
      </c>
      <c r="B710" s="78" t="inlineStr">
        <is>
          <t>5.0</t>
        </is>
      </c>
      <c r="C710" s="78" t="inlineStr">
        <is>
          <t>14.005.00</t>
        </is>
      </c>
      <c r="D710" s="78" t="n">
        <v>3924</v>
      </c>
      <c r="E710" s="78" t="n">
        <v>50</v>
      </c>
      <c r="F710" s="78" t="n">
        <v>73.48999999999999</v>
      </c>
      <c r="G710" s="78" t="n">
        <v>68.06999999999999</v>
      </c>
      <c r="H710" s="78" t="n">
        <v>59.04</v>
      </c>
      <c r="I710" s="78" t="inlineStr">
        <is>
          <t>Artefatos de higiene/toucador de plástico, exceto os para uso na construção</t>
        </is>
      </c>
      <c r="J710" s="45" t="inlineStr">
        <is>
          <t>Lei nº 1.810/97, art. 49, § 1º, X (Dispositivo Legal: acrescentado pelo Decreto nº 15.295/2019. Efeitos a partir de 09.10.2019.)</t>
        </is>
      </c>
      <c r="L710" s="29">
        <f>IF(D710="NCM/SH","",COUNTIF($D$5:$D$1506,D710))</f>
        <v/>
      </c>
    </row>
    <row r="711" ht="15" customHeight="1" thickBot="1">
      <c r="A711" s="1" t="inlineStr">
        <is>
          <t>15Papeis</t>
        </is>
      </c>
      <c r="B711" s="78" t="inlineStr">
        <is>
          <t>6.0</t>
        </is>
      </c>
      <c r="C711" s="78" t="inlineStr">
        <is>
          <t>14.006.00</t>
        </is>
      </c>
      <c r="D711" s="78" t="inlineStr">
        <is>
          <t>3924.10.00</t>
        </is>
      </c>
      <c r="E711" s="78" t="n">
        <v>50</v>
      </c>
      <c r="F711" s="78" t="n">
        <v>73.48999999999999</v>
      </c>
      <c r="G711" s="78" t="n">
        <v>68.06999999999999</v>
      </c>
      <c r="H711" s="78" t="n">
        <v>59.04</v>
      </c>
      <c r="I711" s="78" t="inlineStr">
        <is>
          <t>Serviços de mesa e outros utensílios de mesa ou de cozinha, de plástico, não descartáveis</t>
        </is>
      </c>
      <c r="J711" s="45" t="inlineStr">
        <is>
          <t>Lei nº 1.810/97, art. 49, § 1º, X (Dispositivo Legal: acrescentado pelo Decreto nº 15.295/2019. Efeitos a partir de 09.10.2019.)</t>
        </is>
      </c>
      <c r="K711" s="43" t="inlineStr">
        <is>
          <t>(Item 6.0: nova redação dada pelo Decreto nº 14.916/2017. Efeitos a partir de 1º.12.2017.)</t>
        </is>
      </c>
      <c r="L711" s="29">
        <f>IF(D711="NCM/SH","",COUNTIF($D$5:$D$1506,D711))</f>
        <v/>
      </c>
    </row>
    <row r="712" ht="15" customHeight="1" thickBot="1">
      <c r="A712" s="1" t="inlineStr">
        <is>
          <t>15Papeis</t>
        </is>
      </c>
      <c r="B712" s="78" t="inlineStr">
        <is>
          <t>6.1</t>
        </is>
      </c>
      <c r="C712" s="78" t="inlineStr">
        <is>
          <t>14.006.01</t>
        </is>
      </c>
      <c r="D712" s="78" t="inlineStr">
        <is>
          <t>3924.10.00</t>
        </is>
      </c>
      <c r="E712" s="78" t="n">
        <v>50</v>
      </c>
      <c r="F712" s="78" t="n">
        <v>73.48999999999999</v>
      </c>
      <c r="G712" s="78" t="n">
        <v>68.06999999999999</v>
      </c>
      <c r="H712" s="78" t="n">
        <v>59.04</v>
      </c>
      <c r="I712" s="78" t="inlineStr">
        <is>
          <t>Serviços de mesa e outros utensílios de mesa ou de cozinha, de plástico, descartáveis</t>
        </is>
      </c>
      <c r="J712" s="45" t="inlineStr">
        <is>
          <t>Lei nº 1.810/97, art. 49, § 1º, X (Dispositivo Legal: acrescentado pelo Decreto nº 15.295/2019. Efeitos a partir de 09.10.2019.)</t>
        </is>
      </c>
      <c r="K712" s="49" t="inlineStr">
        <is>
          <t>(Item 6.1: acrescentado pelo Decreto n° 14.916/2017. Efeitos a partir de 1°.12.2017.)</t>
        </is>
      </c>
      <c r="L712" s="29">
        <f>IF(D712="NCM/SH","",COUNTIF($D$5:$D$1506,D712))</f>
        <v/>
      </c>
    </row>
    <row r="713" ht="15" customHeight="1" thickBot="1">
      <c r="A713" s="1" t="inlineStr">
        <is>
          <t>15Papeis</t>
        </is>
      </c>
      <c r="B713" s="78" t="inlineStr">
        <is>
          <t>7.0</t>
        </is>
      </c>
      <c r="C713" s="78" t="inlineStr">
        <is>
          <t>14.007.00</t>
        </is>
      </c>
      <c r="D713" s="78" t="inlineStr">
        <is>
          <t>6911.10.10</t>
        </is>
      </c>
      <c r="E713" s="78" t="n">
        <v>81.33</v>
      </c>
      <c r="F713" s="78" t="n">
        <v>109.73</v>
      </c>
      <c r="G713" s="78" t="n">
        <v>103.18</v>
      </c>
      <c r="H713" s="78" t="n">
        <v>92.25</v>
      </c>
      <c r="I713" s="78" t="inlineStr">
        <is>
          <t>Artigos para serviço de mesa ou de cozinha, de porcelana, inclusive os descartáveis - estojos</t>
        </is>
      </c>
      <c r="J713" s="45" t="inlineStr">
        <is>
          <t>Lei nº 1.810/97, art. 49, § 1º, X (Dispositivo Legal: acrescentado pelo Decreto nº 15.295/2019. Efeitos a partir de 09.10.2019.)</t>
        </is>
      </c>
      <c r="L713" s="29">
        <f>IF(D713="NCM/SH","",COUNTIF($D$5:$D$1506,D713))</f>
        <v/>
      </c>
    </row>
    <row r="714" ht="15" customHeight="1" thickBot="1">
      <c r="A714" s="1" t="inlineStr">
        <is>
          <t>15Papeis</t>
        </is>
      </c>
      <c r="B714" s="78" t="inlineStr">
        <is>
          <t>8.0</t>
        </is>
      </c>
      <c r="C714" s="78" t="inlineStr">
        <is>
          <t>14.008.00</t>
        </is>
      </c>
      <c r="D714" s="78" t="inlineStr">
        <is>
          <t>6911.10.90</t>
        </is>
      </c>
      <c r="E714" s="78" t="n">
        <v>81.33</v>
      </c>
      <c r="F714" s="78" t="n">
        <v>109.73</v>
      </c>
      <c r="G714" s="78" t="n">
        <v>103.18</v>
      </c>
      <c r="H714" s="78" t="n">
        <v>92.25</v>
      </c>
      <c r="I714" s="78" t="inlineStr">
        <is>
          <t>Artigos para serviço de mesa ou de cozinha, de porcelana, inclusive os descartáveis - avulsos</t>
        </is>
      </c>
      <c r="J714" s="45" t="inlineStr">
        <is>
          <t>Lei nº 1.810/97, art. 49, § 1º, X (Dispositivo Legal: acrescentado pelo Decreto nº 15.295/2019. Efeitos a partir de 09.10.2019.)</t>
        </is>
      </c>
      <c r="L714" s="29">
        <f>IF(D714="NCM/SH","",COUNTIF($D$5:$D$1506,D714))</f>
        <v/>
      </c>
    </row>
    <row r="715" ht="15" customHeight="1" thickBot="1">
      <c r="A715" s="1" t="inlineStr">
        <is>
          <t>15Papeis</t>
        </is>
      </c>
      <c r="B715" s="78" t="inlineStr">
        <is>
          <t>9.0</t>
        </is>
      </c>
      <c r="C715" s="78" t="inlineStr">
        <is>
          <t>14.009.00</t>
        </is>
      </c>
      <c r="D715" s="78" t="inlineStr">
        <is>
          <t>6912.00.00</t>
        </is>
      </c>
      <c r="E715" s="78" t="n">
        <v>81.33</v>
      </c>
      <c r="F715" s="78" t="n">
        <v>109.73</v>
      </c>
      <c r="G715" s="78" t="n">
        <v>103.18</v>
      </c>
      <c r="H715" s="78" t="n">
        <v>92.25</v>
      </c>
      <c r="I715" s="78" t="inlineStr">
        <is>
          <t>Artigos para serviço de mesa ou de cozinha, de cerâmica</t>
        </is>
      </c>
      <c r="J715" s="45" t="inlineStr">
        <is>
          <t>Lei nº 1.810/97, art. 49, § 1º, X (Dispositivo Legal: acrescentado pelo Decreto nº 15.295/2019. Efeitos a partir de 09.10.2019.)</t>
        </is>
      </c>
      <c r="L715" s="29">
        <f>IF(D715="NCM/SH","",COUNTIF($D$5:$D$1506,D715))</f>
        <v/>
      </c>
    </row>
    <row r="716" ht="15" customHeight="1" thickBot="1">
      <c r="A716" s="1" t="inlineStr">
        <is>
          <t>15Papeis</t>
        </is>
      </c>
      <c r="B716" s="78" t="inlineStr">
        <is>
          <t>10.0</t>
        </is>
      </c>
      <c r="C716" s="78" t="inlineStr">
        <is>
          <t>14.010.00</t>
        </is>
      </c>
      <c r="D716" s="78" t="inlineStr">
        <is>
          <t>6912.00.00</t>
        </is>
      </c>
      <c r="E716" s="78" t="n">
        <v>89</v>
      </c>
      <c r="F716" s="78" t="n">
        <v>118.6</v>
      </c>
      <c r="G716" s="78" t="n">
        <v>111.77</v>
      </c>
      <c r="H716" s="78" t="n">
        <v>100.39</v>
      </c>
      <c r="I716" s="78" t="inlineStr">
        <is>
          <t>Velas para filtros</t>
        </is>
      </c>
      <c r="J716" s="45" t="inlineStr">
        <is>
          <t>Lei nº 1.810/97, art. 49, § 1º, X (Dispositivo Legal: acrescentado pelo Decreto nº 15.295/2019. Efeitos a partir de 09.10.2019.)</t>
        </is>
      </c>
      <c r="L716" s="29">
        <f>IF(D716="NCM/SH","",COUNTIF($D$5:$D$1506,D716))</f>
        <v/>
      </c>
    </row>
    <row r="717" ht="15" customHeight="1" thickBot="1">
      <c r="A717" s="1" t="inlineStr">
        <is>
          <t>15Papeis</t>
        </is>
      </c>
      <c r="B717" s="78" t="inlineStr">
        <is>
          <t>11.0</t>
        </is>
      </c>
      <c r="C717" s="78" t="inlineStr">
        <is>
          <t>14.011.00</t>
        </is>
      </c>
      <c r="D717" s="78" t="inlineStr">
        <is>
          <t>4823.20.9</t>
        </is>
      </c>
      <c r="E717" s="78" t="n">
        <v>92</v>
      </c>
      <c r="F717" s="78" t="n">
        <v>122.07</v>
      </c>
      <c r="G717" s="78" t="n">
        <v>115.13</v>
      </c>
      <c r="H717" s="78" t="n">
        <v>103.57</v>
      </c>
      <c r="I717" s="78" t="inlineStr">
        <is>
          <t>Filtros descartáveis para coar café ou chá</t>
        </is>
      </c>
      <c r="J717" s="45" t="inlineStr">
        <is>
          <t>Lei nº 1.810/97, art. 49, § 1º, X (Dispositivo Legal: acrescentado pelo Decreto nº 15.295/2019. Efeitos a partir de 09.10.2019.)</t>
        </is>
      </c>
      <c r="L717" s="29">
        <f>IF(D717="NCM/SH","",COUNTIF($D$5:$D$1506,D717))</f>
        <v/>
      </c>
    </row>
    <row r="718" ht="15" customHeight="1" thickBot="1">
      <c r="A718" s="1" t="inlineStr">
        <is>
          <t>15Papeis</t>
        </is>
      </c>
      <c r="B718" s="78" t="inlineStr">
        <is>
          <t>12.0</t>
        </is>
      </c>
      <c r="C718" s="78" t="inlineStr">
        <is>
          <t>14.012.00</t>
        </is>
      </c>
      <c r="D718" s="78" t="inlineStr">
        <is>
          <t>4823.6</t>
        </is>
      </c>
      <c r="E718" s="78" t="n">
        <v>127</v>
      </c>
      <c r="F718" s="78" t="n">
        <v>162.55</v>
      </c>
      <c r="G718" s="78" t="n">
        <v>154.35</v>
      </c>
      <c r="H718" s="78" t="n">
        <v>140.67</v>
      </c>
      <c r="I718" s="78" t="inlineStr">
        <is>
          <t>Bandejas, travessas, pratos, xícaras ou chávenas, taças, copos e artigos semelhantes, de papel ou cartão</t>
        </is>
      </c>
      <c r="J718" s="45" t="inlineStr">
        <is>
          <t>Lei nº 1.810/97, art. 49, § 1º, X (Dispositivo Legal: acrescentado pelo Decreto nº 15.295/2019. Efeitos a partir de 09.10.2019.)</t>
        </is>
      </c>
      <c r="L718" s="29">
        <f>IF(D718="NCM/SH","",COUNTIF($D$5:$D$1506,D718))</f>
        <v/>
      </c>
    </row>
    <row r="719" ht="15" customHeight="1" thickBot="1">
      <c r="A719" s="1" t="inlineStr">
        <is>
          <t>15Papeis</t>
        </is>
      </c>
      <c r="B719" s="78" t="inlineStr">
        <is>
          <t>13.0</t>
        </is>
      </c>
      <c r="C719" s="78" t="inlineStr">
        <is>
          <t>14.013.00</t>
        </is>
      </c>
      <c r="D719" s="78" t="inlineStr">
        <is>
          <t>4813.10.00</t>
        </is>
      </c>
      <c r="E719" s="78" t="n">
        <v>50</v>
      </c>
      <c r="F719" s="78" t="n">
        <v>73.48999999999999</v>
      </c>
      <c r="G719" s="78" t="n">
        <v>68.06999999999999</v>
      </c>
      <c r="H719" s="78" t="n">
        <v>59.04</v>
      </c>
      <c r="I719" s="78" t="inlineStr">
        <is>
          <t>Papel para cigarro</t>
        </is>
      </c>
      <c r="J719" s="46" t="inlineStr">
        <is>
          <t>Lei nº 1.810/97, art. 49, § 1º, X (Dispositivo Legal: acrescentado pelo Decreto nº 15.295/2019. Efeitos a partir de 09.10.2019.)</t>
        </is>
      </c>
      <c r="L719" s="29">
        <f>IF(D719="NCM/SH","",COUNTIF($D$5:$D$1506,D719))</f>
        <v/>
      </c>
    </row>
    <row r="720">
      <c r="B720" s="65" t="n"/>
      <c r="C720" s="65" t="n"/>
      <c r="D720" s="65" t="n"/>
      <c r="E720" s="65" t="n"/>
      <c r="F720" s="65" t="n"/>
      <c r="G720" s="65" t="n"/>
      <c r="H720" s="65" t="n"/>
      <c r="I720" s="65" t="n"/>
      <c r="J720" s="65" t="n"/>
      <c r="K720" s="65" t="n"/>
      <c r="L720" s="29">
        <f>IF(D720="NCM/SH","",COUNTIF($D$5:$D$1506,D720))</f>
        <v/>
      </c>
      <c r="M720" s="65" t="n"/>
      <c r="N720" s="65" t="n"/>
      <c r="O720" s="65" t="n"/>
      <c r="P720" s="65" t="n"/>
      <c r="Q720" s="65" t="n"/>
      <c r="R720" s="65" t="n"/>
      <c r="S720" s="65" t="n"/>
      <c r="T720" s="65" t="n"/>
      <c r="U720" s="65" t="n"/>
      <c r="V720" s="65" t="n"/>
      <c r="W720" s="65" t="n"/>
      <c r="X720" s="65" t="n"/>
      <c r="Y720" s="65" t="n"/>
      <c r="Z720" s="65" t="n"/>
      <c r="AA720" s="65" t="n"/>
      <c r="AB720" s="65" t="n"/>
      <c r="AC720" s="65" t="n"/>
      <c r="AD720" s="65" t="n"/>
      <c r="AE720" s="65" t="n"/>
    </row>
    <row r="721">
      <c r="B721" s="65" t="n"/>
      <c r="C721" s="65" t="n"/>
      <c r="D721" s="65" t="n"/>
      <c r="E721" s="65" t="n"/>
      <c r="F721" s="65" t="n"/>
      <c r="G721" s="65" t="n"/>
      <c r="H721" s="65" t="n"/>
      <c r="I721" s="65" t="n"/>
      <c r="J721" s="65" t="n"/>
      <c r="K721" s="65" t="n"/>
      <c r="L721" s="29">
        <f>IF(D721="NCM/SH","",COUNTIF($D$5:$D$1506,D721))</f>
        <v/>
      </c>
      <c r="M721" s="65" t="n"/>
      <c r="N721" s="65" t="n"/>
      <c r="O721" s="65" t="n"/>
      <c r="P721" s="65" t="n"/>
      <c r="Q721" s="65" t="n"/>
      <c r="R721" s="65" t="n"/>
      <c r="S721" s="65" t="n"/>
      <c r="T721" s="65" t="n"/>
      <c r="U721" s="65" t="n"/>
      <c r="V721" s="65" t="n"/>
      <c r="W721" s="65" t="n"/>
      <c r="X721" s="65" t="n"/>
      <c r="Y721" s="65" t="n"/>
      <c r="Z721" s="65" t="n"/>
      <c r="AA721" s="65" t="n"/>
      <c r="AB721" s="65" t="n"/>
      <c r="AC721" s="65" t="n"/>
      <c r="AD721" s="65" t="n"/>
      <c r="AE721" s="65" t="n"/>
    </row>
    <row r="722">
      <c r="A722" s="1" t="inlineStr">
        <is>
          <t>16Plasticos</t>
        </is>
      </c>
      <c r="B722" s="28" t="inlineStr">
        <is>
          <t>Tabela XVI</t>
        </is>
      </c>
      <c r="C722" s="28" t="inlineStr">
        <is>
          <t>PLÁSTICOS</t>
        </is>
      </c>
      <c r="D722" s="30" t="inlineStr">
        <is>
          <t>(Tabela XVI: REVOGADA pelo Decreto nº 14.645/2016. Efeitos a partir de 1º.01.2017.)</t>
        </is>
      </c>
      <c r="E722" s="65" t="n"/>
      <c r="F722" s="65" t="n"/>
      <c r="G722" s="65" t="n"/>
      <c r="H722" s="65" t="n"/>
      <c r="I722" s="65" t="n"/>
      <c r="J722" s="65" t="n"/>
      <c r="K722" s="65" t="n"/>
      <c r="L722" s="29">
        <f>IF(D722="NCM/SH","",COUNTIF($D$5:$D$1506,D722))</f>
        <v/>
      </c>
      <c r="M722" s="65" t="n"/>
      <c r="N722" s="65" t="n"/>
      <c r="O722" s="65" t="n"/>
      <c r="P722" s="65" t="n"/>
      <c r="Q722" s="65" t="n"/>
      <c r="R722" s="65" t="n"/>
      <c r="S722" s="65" t="n"/>
      <c r="T722" s="65" t="n"/>
      <c r="U722" s="65" t="n"/>
      <c r="V722" s="65" t="n"/>
      <c r="W722" s="65" t="n"/>
      <c r="X722" s="65" t="n"/>
      <c r="Y722" s="65" t="n"/>
      <c r="Z722" s="65" t="n"/>
      <c r="AA722" s="65" t="n"/>
      <c r="AB722" s="65" t="n"/>
      <c r="AC722" s="65" t="n"/>
      <c r="AD722" s="65" t="n"/>
      <c r="AE722" s="65" t="n"/>
    </row>
    <row r="723">
      <c r="C723" s="65" t="n"/>
      <c r="D723" s="65" t="n"/>
      <c r="E723" s="65" t="n"/>
      <c r="F723" s="65" t="n"/>
      <c r="G723" s="65" t="n"/>
      <c r="H723" s="65" t="n"/>
      <c r="I723" s="65" t="n"/>
      <c r="J723" s="65" t="n"/>
      <c r="K723" s="65" t="n"/>
      <c r="L723" s="29">
        <f>IF(D723="NCM/SH","",COUNTIF($D$5:$D$1506,D723))</f>
        <v/>
      </c>
      <c r="M723" s="65" t="n"/>
      <c r="N723" s="65" t="n"/>
      <c r="O723" s="65" t="n"/>
      <c r="P723" s="65" t="n"/>
      <c r="Q723" s="65" t="n"/>
      <c r="R723" s="65" t="n"/>
      <c r="S723" s="65" t="n"/>
      <c r="T723" s="65" t="n"/>
      <c r="U723" s="65" t="n"/>
      <c r="V723" s="65" t="n"/>
      <c r="W723" s="65" t="n"/>
      <c r="X723" s="65" t="n"/>
      <c r="Y723" s="65" t="n"/>
      <c r="Z723" s="65" t="n"/>
      <c r="AA723" s="65" t="n"/>
      <c r="AB723" s="65" t="n"/>
      <c r="AC723" s="65" t="n"/>
      <c r="AD723" s="65" t="n"/>
      <c r="AE723" s="65" t="n"/>
    </row>
    <row r="724">
      <c r="L724" s="29">
        <f>IF(D724="NCM/SH","",COUNTIF($D$5:$D$1506,D724))</f>
        <v/>
      </c>
    </row>
    <row r="725" ht="15.75" customHeight="1" thickBot="1">
      <c r="A725" s="1" t="inlineStr">
        <is>
          <t>17Pneus</t>
        </is>
      </c>
      <c r="B725" s="28" t="inlineStr">
        <is>
          <t>Tabela XVII</t>
        </is>
      </c>
      <c r="C725" s="28" t="inlineStr">
        <is>
          <t>PNEUMÁUTICOS, CÂMARAS DE AR E PROTETORES DE BORRACHA</t>
        </is>
      </c>
      <c r="D725" s="62" t="n"/>
      <c r="E725" s="62" t="n"/>
      <c r="F725" s="62" t="n"/>
      <c r="G725" s="62" t="n"/>
      <c r="H725" s="62" t="n"/>
      <c r="L725" s="29">
        <f>IF(D725="NCM/SH","",COUNTIF($D$5:$D$1506,D725))</f>
        <v/>
      </c>
    </row>
    <row r="726" ht="20.45" customHeight="1" thickBot="1">
      <c r="A726" s="1" t="inlineStr">
        <is>
          <t>17Pneus</t>
        </is>
      </c>
      <c r="B726" s="163" t="inlineStr">
        <is>
          <t>ITEM</t>
        </is>
      </c>
      <c r="C726" s="98" t="inlineStr">
        <is>
          <t>CEST</t>
        </is>
      </c>
      <c r="D726" s="163" t="inlineStr">
        <is>
          <t>NCM/SH</t>
        </is>
      </c>
      <c r="E726" s="165" t="inlineStr">
        <is>
          <t>MARGEM DE VALOR AGREGADO</t>
        </is>
      </c>
      <c r="F726" s="166" t="n"/>
      <c r="G726" s="166" t="n"/>
      <c r="H726" s="166" t="n"/>
      <c r="I726" s="163" t="inlineStr">
        <is>
          <t xml:space="preserve">DESCRIÇÃO </t>
        </is>
      </c>
      <c r="J726" s="163" t="inlineStr">
        <is>
          <t>DISPOSITIVO LEGAL</t>
        </is>
      </c>
      <c r="L726" s="29">
        <f>IF(D726="NCM/SH","",COUNTIF($D$5:$D$1506,D726))</f>
        <v/>
      </c>
    </row>
    <row r="727" ht="20.45" customHeight="1" thickBot="1">
      <c r="A727" s="1" t="inlineStr">
        <is>
          <t>17Pneus</t>
        </is>
      </c>
      <c r="B727" s="164" t="inlineStr">
        <is>
          <t>ITEM</t>
        </is>
      </c>
      <c r="C727" s="99" t="inlineStr">
        <is>
          <t>CEST</t>
        </is>
      </c>
      <c r="D727" s="164" t="inlineStr">
        <is>
          <t>NCM/SH</t>
        </is>
      </c>
      <c r="E727" s="165" t="inlineStr">
        <is>
          <t>Oper. interna</t>
        </is>
      </c>
      <c r="F727" s="167" t="inlineStr">
        <is>
          <t>Alíq. 4%</t>
        </is>
      </c>
      <c r="G727" s="167" t="inlineStr">
        <is>
          <t>Alíq. 7%</t>
        </is>
      </c>
      <c r="H727" s="165" t="inlineStr">
        <is>
          <t>Alíq. 12%</t>
        </is>
      </c>
      <c r="I727" s="164" t="inlineStr">
        <is>
          <t xml:space="preserve">DESCRIÇÃO </t>
        </is>
      </c>
      <c r="J727" s="164" t="inlineStr">
        <is>
          <t>DISPOSITIVO LEGAL</t>
        </is>
      </c>
      <c r="L727" s="29">
        <f>IF(D727="NCM/SH","",COUNTIF($D$5:$D$1506,D727))</f>
        <v/>
      </c>
    </row>
    <row r="728" ht="20.45" customHeight="1" thickBot="1">
      <c r="A728" s="1" t="inlineStr">
        <is>
          <t>17Pneus</t>
        </is>
      </c>
      <c r="B728" s="164" t="inlineStr">
        <is>
          <t>1.0</t>
        </is>
      </c>
      <c r="C728" s="165" t="inlineStr">
        <is>
          <t>16.001.00</t>
        </is>
      </c>
      <c r="D728" s="35" t="inlineStr">
        <is>
          <t>4011.10.00</t>
        </is>
      </c>
      <c r="E728" s="165" t="n">
        <v>42</v>
      </c>
      <c r="F728" s="35" t="n">
        <v>64.23999999999999</v>
      </c>
      <c r="G728" s="35" t="n">
        <v>59.11</v>
      </c>
      <c r="H728" s="165" t="n">
        <v>50.55</v>
      </c>
      <c r="I728" s="35" t="inlineStr">
        <is>
          <t>Pneus novos, dos tipos utilizados em automóveis de passageiros (incluídos os veículos de uso misto - camionetas e os automóveis de corrida)</t>
        </is>
      </c>
      <c r="J728" s="38" t="inlineStr">
        <is>
          <t>Lei nº 1.810/97, art. 49, § 1º, inciso VII; Convênio ICMS 102/17</t>
        </is>
      </c>
      <c r="L728" s="29">
        <f>IF(D728="NCM/SH","",COUNTIF($D$5:$D$1506,D728))</f>
        <v/>
      </c>
    </row>
    <row r="729" ht="20.45" customHeight="1" thickBot="1">
      <c r="A729" s="1" t="inlineStr">
        <is>
          <t>17Pneus</t>
        </is>
      </c>
      <c r="B729" s="164" t="inlineStr">
        <is>
          <t>2.0</t>
        </is>
      </c>
      <c r="C729" s="165" t="inlineStr">
        <is>
          <t>16.002.00</t>
        </is>
      </c>
      <c r="D729" s="35" t="n">
        <v>4011</v>
      </c>
      <c r="E729" s="165" t="n">
        <v>32</v>
      </c>
      <c r="F729" s="35" t="n">
        <v>52.67</v>
      </c>
      <c r="G729" s="35" t="n">
        <v>47.9</v>
      </c>
      <c r="H729" s="165" t="n">
        <v>39.95</v>
      </c>
      <c r="I729" s="35" t="inlineStr">
        <is>
          <t>Pneus novos, dos tipos utilizados em caminhões (inclusive para os fora-de-estrada), ônibus, aviões, máquinas de terraplenagem, de construção e conservação de estradas, máquinas e tratores agrícolas, pá-carregadeira</t>
        </is>
      </c>
      <c r="J729" s="97" t="inlineStr">
        <is>
          <t>(Nova redação dada pelo Decreto nº 15.024/18. Efeitos a partir de 1º.01.18.)</t>
        </is>
      </c>
      <c r="L729" s="29">
        <f>IF(D729="NCM/SH","",COUNTIF($D$5:$D$1506,D729))</f>
        <v/>
      </c>
    </row>
    <row r="730" ht="20.45" customHeight="1" thickBot="1">
      <c r="A730" s="1" t="inlineStr">
        <is>
          <t>17Pneus</t>
        </is>
      </c>
      <c r="B730" s="164" t="inlineStr">
        <is>
          <t>3.0</t>
        </is>
      </c>
      <c r="C730" s="165" t="inlineStr">
        <is>
          <t>16.003.00</t>
        </is>
      </c>
      <c r="D730" s="35" t="inlineStr">
        <is>
          <t>4011.40.00</t>
        </is>
      </c>
      <c r="E730" s="165" t="n">
        <v>60</v>
      </c>
      <c r="F730" s="35" t="n">
        <v>85.06</v>
      </c>
      <c r="G730" s="35" t="n">
        <v>79.28</v>
      </c>
      <c r="H730" s="165" t="n">
        <v>69.64</v>
      </c>
      <c r="I730" s="35" t="inlineStr">
        <is>
          <t>Pneus novos para motocicletas</t>
        </is>
      </c>
      <c r="J730" s="40" t="inlineStr">
        <is>
          <t>(Nova redação dada pelo Decreto nº 15.024/18. Efeitos a partir de 1º.01.18.)</t>
        </is>
      </c>
      <c r="L730" s="29">
        <f>IF(D730="NCM/SH","",COUNTIF($D$5:$D$1506,D730))</f>
        <v/>
      </c>
    </row>
    <row r="731" ht="20.45" customHeight="1" thickBot="1">
      <c r="A731" s="1" t="inlineStr">
        <is>
          <t>17Pneus</t>
        </is>
      </c>
      <c r="B731" s="46" t="inlineStr">
        <is>
          <t>4.0</t>
        </is>
      </c>
      <c r="C731" s="78" t="inlineStr">
        <is>
          <t>16.004.00</t>
        </is>
      </c>
      <c r="D731" s="48" t="n">
        <v>4011</v>
      </c>
      <c r="E731" s="78" t="n">
        <v>45</v>
      </c>
      <c r="F731" s="48" t="n">
        <v>67.70999999999999</v>
      </c>
      <c r="G731" s="48" t="n">
        <v>62.47</v>
      </c>
      <c r="H731" s="78" t="n">
        <v>53.73</v>
      </c>
      <c r="I731" s="48" t="inlineStr">
        <is>
          <t>Outros tipos de pneus novos, exceto os itens classificados no CEST 16.005.00</t>
        </is>
      </c>
      <c r="J731" s="40" t="inlineStr">
        <is>
          <t>(Nova redação dada pelo Decreto nº 15.024/18. Efeitos a partir de 1º.01.18.)</t>
        </is>
      </c>
      <c r="K731" s="43" t="inlineStr">
        <is>
          <t>(Item 4.0: nova redação dada pelo Decreto nº 14.645/2016. Efeitos a partir de 1º.01.2017.)</t>
        </is>
      </c>
      <c r="L731" s="29">
        <f>IF(D731="NCM/SH","",COUNTIF($D$5:$D$1506,D731))</f>
        <v/>
      </c>
    </row>
    <row r="732" ht="20.45" customHeight="1" thickBot="1">
      <c r="A732" s="1" t="inlineStr">
        <is>
          <t>17Pneus</t>
        </is>
      </c>
      <c r="B732" s="165" t="inlineStr">
        <is>
          <t>5.0</t>
        </is>
      </c>
      <c r="C732" s="35" t="inlineStr">
        <is>
          <t>16.005.00</t>
        </is>
      </c>
      <c r="D732" s="165" t="inlineStr">
        <is>
          <t>4011.50.00</t>
        </is>
      </c>
      <c r="E732" s="35" t="n">
        <v>45</v>
      </c>
      <c r="F732" s="35" t="n">
        <v>67.70999999999999</v>
      </c>
      <c r="G732" s="35" t="n">
        <v>62.47</v>
      </c>
      <c r="H732" s="35" t="n">
        <v>53.73</v>
      </c>
      <c r="I732" s="165" t="inlineStr">
        <is>
          <t>Pneus novos de borracha dos tipos utilizados em bicicletas</t>
        </is>
      </c>
      <c r="J732" s="38" t="inlineStr">
        <is>
          <t>Lei nº 1.810/97, art. 49, § 1º, inciso VII</t>
        </is>
      </c>
      <c r="L732" s="29">
        <f>IF(D732="NCM/SH","",COUNTIF($D$5:$D$1506,D732))</f>
        <v/>
      </c>
    </row>
    <row r="733" ht="20.45" customHeight="1" thickBot="1">
      <c r="A733" s="1" t="inlineStr">
        <is>
          <t>17Pneus</t>
        </is>
      </c>
      <c r="B733" s="165" t="inlineStr">
        <is>
          <t>6.0</t>
        </is>
      </c>
      <c r="C733" s="35" t="inlineStr">
        <is>
          <t>16.006.00</t>
        </is>
      </c>
      <c r="D733" s="165" t="inlineStr">
        <is>
          <t>4012.1</t>
        </is>
      </c>
      <c r="E733" s="35" t="n">
        <v>45</v>
      </c>
      <c r="F733" s="35" t="n">
        <v>67.70999999999999</v>
      </c>
      <c r="G733" s="35" t="n">
        <v>62.47</v>
      </c>
      <c r="H733" s="35" t="n">
        <v>53.73</v>
      </c>
      <c r="I733" s="165" t="inlineStr">
        <is>
          <t>Pneus recauchutados</t>
        </is>
      </c>
      <c r="J733" s="92" t="inlineStr">
        <is>
          <t>(Nova redação dada pelo Decreto nº 15.024/18. Efeitos a partir de 1º.01.18.)</t>
        </is>
      </c>
      <c r="L733" s="29">
        <f>IF(D733="NCM/SH","",COUNTIF($D$5:$D$1506,D733))</f>
        <v/>
      </c>
    </row>
    <row r="734" ht="20.45" customHeight="1" thickBot="1">
      <c r="A734" s="1" t="inlineStr">
        <is>
          <t>17Pneus</t>
        </is>
      </c>
      <c r="B734" s="78" t="inlineStr">
        <is>
          <t>7.0</t>
        </is>
      </c>
      <c r="C734" s="48" t="inlineStr">
        <is>
          <t>16.007.00</t>
        </is>
      </c>
      <c r="D734" s="78" t="inlineStr">
        <is>
          <t>4012.90</t>
        </is>
      </c>
      <c r="E734" s="48" t="n">
        <v>45</v>
      </c>
      <c r="F734" s="48" t="n">
        <v>67.70999999999999</v>
      </c>
      <c r="G734" s="48" t="n">
        <v>62.47</v>
      </c>
      <c r="H734" s="48" t="n">
        <v>53.73</v>
      </c>
      <c r="I734" s="78" t="inlineStr">
        <is>
          <t>Protetores de borracha, exceto os itens classificados no CEST 16.007.01</t>
        </is>
      </c>
      <c r="J734" s="38" t="inlineStr">
        <is>
          <t>Lei nº 1.810/97, art. 49, § 1º, inciso VII; Convênio ICMS 102/17</t>
        </is>
      </c>
      <c r="K734" s="43" t="inlineStr">
        <is>
          <t>(Item 7.0: nova redação dada pelo Decreto nº 14.645/2016. Efeitos a partir de 1º.01.2017.)</t>
        </is>
      </c>
      <c r="L734" s="29">
        <f>IF(D734="NCM/SH","",COUNTIF($D$5:$D$1506,D734))</f>
        <v/>
      </c>
    </row>
    <row r="735" ht="20.45" customHeight="1" thickBot="1">
      <c r="A735" s="1" t="inlineStr">
        <is>
          <t>17Pneus</t>
        </is>
      </c>
      <c r="B735" s="62" t="n">
        <v>7</v>
      </c>
      <c r="C735" s="53" t="inlineStr">
        <is>
          <t>16.007.00</t>
        </is>
      </c>
      <c r="D735" s="53" t="n">
        <v>4012.9</v>
      </c>
      <c r="E735" s="53" t="n">
        <v>45</v>
      </c>
      <c r="F735" s="53" t="n">
        <v>67.70999999999999</v>
      </c>
      <c r="G735" s="53" t="n">
        <v>62.47</v>
      </c>
      <c r="H735" s="53" t="n">
        <v>53.73</v>
      </c>
      <c r="I735" s="53" t="inlineStr">
        <is>
          <t>Protetores de borracha, exceto os itens classificados no CEST 16.007.01</t>
        </is>
      </c>
      <c r="J735" s="92" t="inlineStr">
        <is>
          <t>(Nova redação dada pelo Decreto nº 15.024/18. Efeitos a partir de 1º.01.18.)</t>
        </is>
      </c>
      <c r="L735" s="29">
        <f>IF(D735="NCM/SH","",COUNTIF($D$5:$D$1506,D735))</f>
        <v/>
      </c>
    </row>
    <row r="736" ht="20.45" customHeight="1">
      <c r="A736" s="1" t="inlineStr">
        <is>
          <t>17Pneus</t>
        </is>
      </c>
      <c r="B736" s="98" t="inlineStr">
        <is>
          <t>7.1</t>
        </is>
      </c>
      <c r="C736" s="163" t="inlineStr">
        <is>
          <t>16.007.01</t>
        </is>
      </c>
      <c r="D736" s="98" t="inlineStr">
        <is>
          <t>4012.90</t>
        </is>
      </c>
      <c r="E736" s="163" t="n">
        <v>45</v>
      </c>
      <c r="F736" s="163" t="n">
        <v>67.70999999999999</v>
      </c>
      <c r="G736" s="163" t="n">
        <v>62.47</v>
      </c>
      <c r="H736" s="163" t="n">
        <v>53.73</v>
      </c>
      <c r="I736" s="98" t="inlineStr">
        <is>
          <t>Protetores de borracha para bicicletas</t>
        </is>
      </c>
      <c r="J736" s="38" t="inlineStr">
        <is>
          <t>Lei nº 1.810/97, art. 49, § 1º, inciso VII</t>
        </is>
      </c>
      <c r="L736" s="29">
        <f>IF(D736="NCM/SH","",COUNTIF($D$5:$D$1506,D736))</f>
        <v/>
      </c>
    </row>
    <row r="737" ht="20.45" customHeight="1" thickBot="1">
      <c r="A737" s="1" t="inlineStr">
        <is>
          <t>17Pneus</t>
        </is>
      </c>
      <c r="B737" s="99" t="n">
        <v>7.1</v>
      </c>
      <c r="C737" s="164" t="inlineStr">
        <is>
          <t>16.007.01</t>
        </is>
      </c>
      <c r="D737" s="99" t="n">
        <v>4012.9</v>
      </c>
      <c r="E737" s="164" t="n">
        <v>45</v>
      </c>
      <c r="F737" s="164" t="n">
        <v>67.70999999999999</v>
      </c>
      <c r="G737" s="164" t="n">
        <v>62.47</v>
      </c>
      <c r="H737" s="164" t="n">
        <v>53.73</v>
      </c>
      <c r="I737" s="99" t="inlineStr">
        <is>
          <t>Protetores de borracha para bicicletas</t>
        </is>
      </c>
      <c r="J737" s="92" t="inlineStr">
        <is>
          <t>(Nova redação dada pelo Decreto nº 15.024/18. Efeitos a partir de 1º.01.18.)</t>
        </is>
      </c>
      <c r="L737" s="29">
        <f>IF(D737="NCM/SH","",COUNTIF($D$5:$D$1506,D737))</f>
        <v/>
      </c>
    </row>
    <row r="738" ht="20.45" customHeight="1" thickBot="1">
      <c r="A738" s="1" t="inlineStr">
        <is>
          <t>17Pneus</t>
        </is>
      </c>
      <c r="B738" s="78" t="inlineStr">
        <is>
          <t>8.0</t>
        </is>
      </c>
      <c r="C738" s="48" t="inlineStr">
        <is>
          <t>16.008.00</t>
        </is>
      </c>
      <c r="D738" s="78" t="n">
        <v>4013</v>
      </c>
      <c r="E738" s="48" t="n">
        <v>45</v>
      </c>
      <c r="F738" s="48" t="n">
        <v>67.70999999999999</v>
      </c>
      <c r="G738" s="48" t="n">
        <v>62.47</v>
      </c>
      <c r="H738" s="48" t="n">
        <v>53.73</v>
      </c>
      <c r="I738" s="78" t="inlineStr">
        <is>
          <t>Câmaras de ar de borracha, exceto os itens classificados no CEST 16.009.00</t>
        </is>
      </c>
      <c r="J738" s="38" t="inlineStr">
        <is>
          <t>Lei nº 1.810/97, art. 49, § 1º, inciso VII; Convênio ICMS 102/17</t>
        </is>
      </c>
      <c r="K738" s="43" t="inlineStr">
        <is>
          <t>(Item 8.0: nova redação dada pelo Decreto nº 14.645/2016. Efeitos a partir de 1º.01.2017.)</t>
        </is>
      </c>
      <c r="L738" s="29">
        <f>IF(D738="NCM/SH","",COUNTIF($D$5:$D$1506,D738))</f>
        <v/>
      </c>
    </row>
    <row r="739" ht="20.45" customHeight="1" thickBot="1">
      <c r="A739" s="1" t="inlineStr">
        <is>
          <t>17Pneus</t>
        </is>
      </c>
      <c r="B739" s="62" t="n">
        <v>8</v>
      </c>
      <c r="C739" s="53" t="inlineStr">
        <is>
          <t>16.008.00</t>
        </is>
      </c>
      <c r="D739" s="53" t="n">
        <v>4013</v>
      </c>
      <c r="E739" s="53" t="n">
        <v>45</v>
      </c>
      <c r="F739" s="53" t="n">
        <v>67.70999999999999</v>
      </c>
      <c r="G739" s="53" t="n">
        <v>62.47</v>
      </c>
      <c r="H739" s="53" t="n">
        <v>53.73</v>
      </c>
      <c r="I739" s="53" t="inlineStr">
        <is>
          <t>Câmaras de ar de borracha, exceto os itens classificados no CEST 16.009.00</t>
        </is>
      </c>
      <c r="J739" s="92" t="inlineStr">
        <is>
          <t>(Nova redação dada pelo Decreto nº 15.024/18. Efeitos a partir de 1º.01.18.)</t>
        </is>
      </c>
      <c r="L739" s="29">
        <f>IF(D739="NCM/SH","",COUNTIF($D$5:$D$1506,D739))</f>
        <v/>
      </c>
    </row>
    <row r="740" ht="20.45" customHeight="1">
      <c r="A740" s="1" t="inlineStr">
        <is>
          <t>17Pneus</t>
        </is>
      </c>
      <c r="B740" s="98" t="inlineStr">
        <is>
          <t>9.0</t>
        </is>
      </c>
      <c r="C740" s="163" t="inlineStr">
        <is>
          <t>16.009.00</t>
        </is>
      </c>
      <c r="D740" s="98" t="inlineStr">
        <is>
          <t>4013.20.00</t>
        </is>
      </c>
      <c r="E740" s="163" t="n">
        <v>45</v>
      </c>
      <c r="F740" s="163" t="n">
        <v>67.70999999999999</v>
      </c>
      <c r="G740" s="163" t="n">
        <v>62.47</v>
      </c>
      <c r="H740" s="163" t="n">
        <v>53.73</v>
      </c>
      <c r="I740" s="98" t="inlineStr">
        <is>
          <t>Câmaras de ar de borracha dos tipos utilizados em bicicletas</t>
        </is>
      </c>
      <c r="J740" s="38" t="inlineStr">
        <is>
          <t>Lei nº 1.810/97, art. 49, § 1º, inciso VII</t>
        </is>
      </c>
      <c r="L740" s="29">
        <f>IF(D740="NCM/SH","",COUNTIF($D$5:$D$1506,D740))</f>
        <v/>
      </c>
    </row>
    <row r="741" ht="20.45" customHeight="1" thickBot="1">
      <c r="A741" s="1" t="inlineStr">
        <is>
          <t>17Pneus</t>
        </is>
      </c>
      <c r="B741" s="99" t="n">
        <v>9</v>
      </c>
      <c r="C741" s="164" t="inlineStr">
        <is>
          <t>16.009.00</t>
        </is>
      </c>
      <c r="D741" s="99" t="inlineStr">
        <is>
          <t>4013.20.00</t>
        </is>
      </c>
      <c r="E741" s="164" t="n">
        <v>45</v>
      </c>
      <c r="F741" s="164" t="n">
        <v>67.70999999999999</v>
      </c>
      <c r="G741" s="164" t="n">
        <v>62.47</v>
      </c>
      <c r="H741" s="164" t="n">
        <v>53.73</v>
      </c>
      <c r="I741" s="99" t="inlineStr">
        <is>
          <t>Câmaras de ar de borracha dos tipos utilizados em bicicletas</t>
        </is>
      </c>
      <c r="J741" s="92" t="inlineStr">
        <is>
          <t>(Nova redação dada pelo Decreto nº 15.024/18. Efeitos a partir de 1º.01.18.)</t>
        </is>
      </c>
      <c r="L741" s="29">
        <f>IF(D741="NCM/SH","",COUNTIF($D$5:$D$1506,D741))</f>
        <v/>
      </c>
    </row>
    <row r="742">
      <c r="B742" s="65" t="n"/>
      <c r="C742" s="65" t="n"/>
      <c r="D742" s="65" t="n"/>
      <c r="E742" s="65" t="n"/>
      <c r="F742" s="65" t="n"/>
      <c r="G742" s="65" t="n"/>
      <c r="H742" s="65" t="n"/>
      <c r="I742" s="65" t="n"/>
      <c r="J742" s="65" t="n"/>
      <c r="K742" s="65" t="n"/>
      <c r="L742" s="29">
        <f>IF(D742="NCM/SH","",COUNTIF($D$5:$D$1506,D742))</f>
        <v/>
      </c>
      <c r="M742" s="65" t="n"/>
      <c r="N742" s="65" t="n"/>
    </row>
    <row r="743">
      <c r="B743" s="28" t="n"/>
      <c r="L743" s="29">
        <f>IF(D743="NCM/SH","",COUNTIF($D$5:$D$1506,D743))</f>
        <v/>
      </c>
    </row>
    <row r="744">
      <c r="B744" s="28" t="n"/>
      <c r="L744" s="29">
        <f>IF(D744="NCM/SH","",COUNTIF($D$5:$D$1506,D744))</f>
        <v/>
      </c>
    </row>
    <row r="745" ht="15.75" customHeight="1" thickBot="1">
      <c r="A745" s="1" t="inlineStr">
        <is>
          <t>18Alimentos</t>
        </is>
      </c>
      <c r="B745" s="28" t="inlineStr">
        <is>
          <t>Tabela XVIII</t>
        </is>
      </c>
      <c r="C745" s="62" t="n"/>
      <c r="D745" s="62" t="n"/>
      <c r="E745" s="62" t="n"/>
      <c r="F745" s="62" t="n"/>
      <c r="G745" s="62" t="n"/>
      <c r="H745" s="62" t="n"/>
      <c r="L745" s="29">
        <f>IF(D745="NCM/SH","",COUNTIF($D$5:$D$1506,D745))</f>
        <v/>
      </c>
    </row>
    <row r="746" ht="15" customHeight="1" thickBot="1">
      <c r="A746" s="1" t="inlineStr">
        <is>
          <t>18Alimentos</t>
        </is>
      </c>
      <c r="B746" s="98" t="inlineStr">
        <is>
          <t>ITEM</t>
        </is>
      </c>
      <c r="C746" s="163" t="inlineStr">
        <is>
          <t>CEST</t>
        </is>
      </c>
      <c r="D746" s="163" t="inlineStr">
        <is>
          <t>NCM/SH</t>
        </is>
      </c>
      <c r="E746" s="165" t="inlineStr">
        <is>
          <t>MARGEM DE VALOR AGREGADO</t>
        </is>
      </c>
      <c r="F746" s="166" t="n"/>
      <c r="G746" s="166" t="n"/>
      <c r="H746" s="167" t="n"/>
      <c r="I746" s="163" t="inlineStr">
        <is>
          <t xml:space="preserve">DESCRIÇÃO </t>
        </is>
      </c>
      <c r="J746" s="163" t="inlineStr">
        <is>
          <t>DISPOSITIVO LEGAL</t>
        </is>
      </c>
      <c r="L746" s="29">
        <f>IF(D746="NCM/SH","",COUNTIF($D$5:$D$1506,D746))</f>
        <v/>
      </c>
    </row>
    <row r="747" ht="15.75" customHeight="1" thickBot="1">
      <c r="A747" s="1" t="inlineStr">
        <is>
          <t>18Alimentos</t>
        </is>
      </c>
      <c r="B747" s="99" t="inlineStr">
        <is>
          <t>ITEM</t>
        </is>
      </c>
      <c r="C747" s="164" t="inlineStr">
        <is>
          <t>CEST</t>
        </is>
      </c>
      <c r="D747" s="164" t="inlineStr">
        <is>
          <t>NCM/SH</t>
        </is>
      </c>
      <c r="E747" s="35" t="inlineStr">
        <is>
          <t>Oper. interna</t>
        </is>
      </c>
      <c r="F747" s="167" t="inlineStr">
        <is>
          <t>Alíq. 4%</t>
        </is>
      </c>
      <c r="G747" s="167" t="inlineStr">
        <is>
          <t>Alíq. 7%</t>
        </is>
      </c>
      <c r="H747" s="167" t="inlineStr">
        <is>
          <t>Alíq. 12%</t>
        </is>
      </c>
      <c r="I747" s="164" t="inlineStr">
        <is>
          <t xml:space="preserve">DESCRIÇÃO </t>
        </is>
      </c>
      <c r="J747" s="164" t="inlineStr">
        <is>
          <t>DISPOSITIVO LEGAL</t>
        </is>
      </c>
      <c r="L747" s="29">
        <f>IF(D747="NCM/SH","",COUNTIF($D$5:$D$1506,D747))</f>
        <v/>
      </c>
    </row>
    <row r="748" ht="15.75" customHeight="1" thickBot="1">
      <c r="A748" s="1" t="inlineStr">
        <is>
          <t>18Alimentos</t>
        </is>
      </c>
      <c r="B748" s="78" t="inlineStr">
        <is>
          <t>1.0</t>
        </is>
      </c>
      <c r="C748" s="48" t="inlineStr">
        <is>
          <t>17.001.00</t>
        </is>
      </c>
      <c r="D748" s="48" t="inlineStr">
        <is>
          <t>1704.90.10</t>
        </is>
      </c>
      <c r="E748" s="48" t="n">
        <v>53.23</v>
      </c>
      <c r="F748" s="48" t="n">
        <v>77.23</v>
      </c>
      <c r="G748" s="48" t="n">
        <v>71.69</v>
      </c>
      <c r="H748" s="48" t="n">
        <v>62.46</v>
      </c>
      <c r="I748" s="48" t="inlineStr">
        <is>
          <t>Chocolate branco, em embalagens de conteúdo inferior ou igual a 1 kg, exceto os classificados no CEST 17.005.00</t>
        </is>
      </c>
      <c r="J748" s="38" t="inlineStr">
        <is>
          <t>Lei nº 1.810, art. 49, § 1º, XXIX</t>
        </is>
      </c>
      <c r="K748" s="47" t="inlineStr">
        <is>
          <t>(Item 1.0: nova redação dada pelo Decreto nº 16.211/2023. Efeitos a partir de 1º.5.2023.)</t>
        </is>
      </c>
      <c r="L748" s="29">
        <f>IF(D748="NCM/SH","",COUNTIF($D$5:$D$1506,D748))</f>
        <v/>
      </c>
    </row>
    <row r="749" ht="15.75" customHeight="1" thickBot="1">
      <c r="A749" s="1" t="inlineStr">
        <is>
          <t>18Alimentos</t>
        </is>
      </c>
      <c r="B749" s="78" t="inlineStr">
        <is>
          <t>1.1</t>
        </is>
      </c>
      <c r="C749" s="35" t="inlineStr">
        <is>
          <t>17.001.01</t>
        </is>
      </c>
      <c r="D749" s="35" t="inlineStr">
        <is>
          <t>1704.90.10</t>
        </is>
      </c>
      <c r="E749" s="35" t="n">
        <v>53.23</v>
      </c>
      <c r="F749" s="35" t="n">
        <v>77.23</v>
      </c>
      <c r="G749" s="35" t="n">
        <v>71.69</v>
      </c>
      <c r="H749" s="35" t="n">
        <v>62.46</v>
      </c>
      <c r="I749" s="35" t="inlineStr">
        <is>
          <t>Chocolate branco, em embalagens de conteúdo superior a 1 kg e inferior ou igual a 2 kg, exceto os classificados no CEST 17.005.00</t>
        </is>
      </c>
      <c r="J749" s="37" t="inlineStr">
        <is>
          <t>Lei nº 1.810, art. 49, § 1º, XXIX</t>
        </is>
      </c>
      <c r="K749" s="43" t="inlineStr">
        <is>
          <t>(Item 1.1: acrescentado pelo Decreto nº 16.048/2022 e nova redação dada pelo Decreto nº 16.211/2023. Efeitos a partir de 1º.5.2023.)</t>
        </is>
      </c>
      <c r="L749" s="29">
        <f>IF(D749="NCM/SH","",COUNTIF($D$5:$D$1506,D749))</f>
        <v/>
      </c>
    </row>
    <row r="750" ht="15.75" customHeight="1" thickBot="1">
      <c r="A750" s="1" t="inlineStr">
        <is>
          <t>18Alimentos</t>
        </is>
      </c>
      <c r="B750" s="78" t="inlineStr">
        <is>
          <t>1.2</t>
        </is>
      </c>
      <c r="C750" s="48" t="inlineStr">
        <is>
          <t>17.001.02</t>
        </is>
      </c>
      <c r="D750" s="35" t="inlineStr">
        <is>
          <t>1704.90.90</t>
        </is>
      </c>
      <c r="E750" s="35" t="n">
        <v>53.23</v>
      </c>
      <c r="F750" s="35" t="n">
        <v>77.23</v>
      </c>
      <c r="G750" s="35" t="n">
        <v>71.69</v>
      </c>
      <c r="H750" s="35" t="n">
        <v>62.46</v>
      </c>
      <c r="I750" s="48" t="inlineStr">
        <is>
          <t>Coberturas de chocolate branco e outros produtos de confeitaria com manteiga de cacau, em embalagens de conteúdo inferior ou igual a 1 kg, exceto os classificados no CEST 17.008.00</t>
        </is>
      </c>
      <c r="J750" s="37" t="inlineStr">
        <is>
          <t>Lei nº 1.810, art. 49, § 1º, XXIX</t>
        </is>
      </c>
      <c r="K750" s="43" t="inlineStr">
        <is>
          <t>(Item 1.2: acrescentado pelo Decreto nº 16.104/2023 e nova redação dada pelo Decreto nº 16.211/2023. Efeitos a partir de 1º.5.2023.)</t>
        </is>
      </c>
      <c r="L750" s="29">
        <f>IF(D750="NCM/SH","",COUNTIF($D$5:$D$1506,D750))</f>
        <v/>
      </c>
    </row>
    <row r="751" ht="15.75" customHeight="1" thickBot="1">
      <c r="A751" s="1" t="inlineStr">
        <is>
          <t>18Alimentos</t>
        </is>
      </c>
      <c r="B751" s="78" t="inlineStr">
        <is>
          <t>1.3</t>
        </is>
      </c>
      <c r="C751" s="48" t="inlineStr">
        <is>
          <t>17.001.03</t>
        </is>
      </c>
      <c r="D751" s="35" t="inlineStr">
        <is>
          <t>1704.90.90</t>
        </is>
      </c>
      <c r="E751" s="35" t="n">
        <v>53.23</v>
      </c>
      <c r="F751" s="35" t="n">
        <v>77.23</v>
      </c>
      <c r="G751" s="35" t="n">
        <v>71.69</v>
      </c>
      <c r="H751" s="35" t="n">
        <v>62.46</v>
      </c>
      <c r="I751" s="48" t="inlineStr">
        <is>
          <t>Coberturas de chocolate branco e outros produtos de confeitaria com manteiga de cacau, em embalagens de conteúdo superior a 1 kg e inferior ou igual a 2 kg, exceto os classificados no CEST 17.008.00</t>
        </is>
      </c>
      <c r="J751" s="37" t="inlineStr">
        <is>
          <t>Lei nº 1.810, art. 49, § 1º, XXIX</t>
        </is>
      </c>
      <c r="K751" s="43" t="inlineStr">
        <is>
          <t>(Item 1.3: acrescentado pelo Decreto nº 16.104/2023 e nova redação dada pelo Decreto nº 16.211/2023. Efeitos a partir de 1º.5.2023.)</t>
        </is>
      </c>
      <c r="L751" s="29">
        <f>IF(D751="NCM/SH","",COUNTIF($D$5:$D$1506,D751))</f>
        <v/>
      </c>
    </row>
    <row r="752" ht="15.75" customHeight="1" thickBot="1">
      <c r="A752" s="1" t="inlineStr">
        <is>
          <t>18Alimentos</t>
        </is>
      </c>
      <c r="B752" s="78" t="inlineStr">
        <is>
          <t>2.0</t>
        </is>
      </c>
      <c r="C752" s="48" t="inlineStr">
        <is>
          <t>17.002.00</t>
        </is>
      </c>
      <c r="D752" s="48" t="inlineStr">
        <is>
          <t>1806.31.10</t>
        </is>
      </c>
      <c r="E752" s="48" t="n">
        <v>53.23</v>
      </c>
      <c r="F752" s="48" t="n">
        <v>77.23</v>
      </c>
      <c r="G752" s="48" t="n">
        <v>71.69</v>
      </c>
      <c r="H752" s="48" t="n">
        <v>62.46</v>
      </c>
      <c r="I752" s="48" t="inlineStr">
        <is>
          <t>Chocolates, em tabletes, barras ou paus, recheados, em recipientes ou embalagens imediatas de conteúdo inferior ou igual a 1 kg</t>
        </is>
      </c>
      <c r="J752" s="45" t="inlineStr">
        <is>
          <t>Lei nº 1.810, art. 49, § 1º, XXIX</t>
        </is>
      </c>
      <c r="K752" s="43" t="inlineStr">
        <is>
          <t>(Item 2.0: nova redação dada pelo Decreto nº 16.104/2023 e nova redação dada pelo Decreto nº 16.211/2023. Efeitos a partir de 1º.5.2023.)</t>
        </is>
      </c>
      <c r="L752" s="29">
        <f>IF(D752="NCM/SH","",COUNTIF($D$5:$D$1506,D752))</f>
        <v/>
      </c>
    </row>
    <row r="753" ht="15.75" customHeight="1" thickBot="1">
      <c r="A753" s="1" t="inlineStr">
        <is>
          <t>18Alimentos</t>
        </is>
      </c>
      <c r="B753" s="165" t="inlineStr">
        <is>
          <t>2.1</t>
        </is>
      </c>
      <c r="C753" s="35" t="inlineStr">
        <is>
          <t>17.002.01</t>
        </is>
      </c>
      <c r="D753" s="35" t="inlineStr">
        <is>
          <t>1806.31.10</t>
        </is>
      </c>
      <c r="E753" s="35" t="n">
        <v>53.23</v>
      </c>
      <c r="F753" s="35" t="n">
        <v>77.23</v>
      </c>
      <c r="G753" s="35" t="n">
        <v>71.69</v>
      </c>
      <c r="H753" s="35" t="n">
        <v>62.46</v>
      </c>
      <c r="I753" s="35" t="inlineStr">
        <is>
          <t>Chocolates, em tabletes, barras ou paus, recheados, em recipientes ou embalagens de conteúdo superior a 1 kg e inferior ou igual a 2 kg</t>
        </is>
      </c>
      <c r="J753" s="37" t="inlineStr">
        <is>
          <t>Lei nº 1.810, art. 49, § 1º, XXIX</t>
        </is>
      </c>
      <c r="K753" s="43" t="inlineStr">
        <is>
          <t>(Item 2.1: acrescentado pelo Decreto nº 16.048/2022 e nova redação dada pelo Decreto nº 16.211/2023. Efeitos a partir de 1º.5.2023.)</t>
        </is>
      </c>
      <c r="L753" s="29">
        <f>IF(D753="NCM/SH","",COUNTIF($D$5:$D$1506,D753))</f>
        <v/>
      </c>
    </row>
    <row r="754" ht="15.75" customHeight="1" thickBot="1">
      <c r="A754" s="1" t="inlineStr">
        <is>
          <t>18Alimentos</t>
        </is>
      </c>
      <c r="B754" s="165" t="inlineStr">
        <is>
          <t>2.2</t>
        </is>
      </c>
      <c r="C754" s="48" t="inlineStr">
        <is>
          <t>17.002.02</t>
        </is>
      </c>
      <c r="D754" s="48" t="inlineStr">
        <is>
          <t>1806.31.20</t>
        </is>
      </c>
      <c r="E754" s="35" t="n">
        <v>53.23</v>
      </c>
      <c r="F754" s="35" t="n">
        <v>77.23</v>
      </c>
      <c r="G754" s="35" t="n">
        <v>71.69</v>
      </c>
      <c r="H754" s="35" t="n">
        <v>62.46</v>
      </c>
      <c r="I754" s="48" t="inlineStr">
        <is>
          <t>Outras preparações alimentícias que contenham cacau, em tabletes, barras ou paus, recheados, em recipientes ou embalagens imediatas de conteúdo inferior ou igual a 1 kg</t>
        </is>
      </c>
      <c r="J754" s="37" t="inlineStr">
        <is>
          <t>Lei nº 1.810, art. 49, § 1º, XXIX</t>
        </is>
      </c>
      <c r="K754" s="43" t="inlineStr">
        <is>
          <t>(Item 2.2: acrescentado pelo Decreto nº 16.104/2023 e nova redação dada pelo Decreto nº 16.211/2023. Efeitos a partir de 1º.5.2023.)</t>
        </is>
      </c>
      <c r="L754" s="29">
        <f>IF(D754="NCM/SH","",COUNTIF($D$5:$D$1506,D754))</f>
        <v/>
      </c>
    </row>
    <row r="755" ht="15.75" customHeight="1" thickBot="1">
      <c r="A755" s="1" t="inlineStr">
        <is>
          <t>18Alimentos</t>
        </is>
      </c>
      <c r="B755" s="165" t="inlineStr">
        <is>
          <t>2.3</t>
        </is>
      </c>
      <c r="C755" s="48" t="inlineStr">
        <is>
          <t>17.002.03</t>
        </is>
      </c>
      <c r="D755" s="48" t="inlineStr">
        <is>
          <t>1806.31.20</t>
        </is>
      </c>
      <c r="E755" s="35" t="n">
        <v>53.23</v>
      </c>
      <c r="F755" s="35" t="n">
        <v>77.23</v>
      </c>
      <c r="G755" s="35" t="n">
        <v>71.69</v>
      </c>
      <c r="H755" s="35" t="n">
        <v>62.46</v>
      </c>
      <c r="I755" s="48" t="inlineStr">
        <is>
          <t>Outras preparações alimentícias que contenham cacau, em tabletes, barras ou paus, recheados, em recipientes ou embalagens de conteúdo superior a 1 kg e inferior ou igual a 2 kg</t>
        </is>
      </c>
      <c r="J755" s="37" t="inlineStr">
        <is>
          <t>Lei nº 1.810, art. 49, § 1º, XXIX</t>
        </is>
      </c>
      <c r="K755" s="43" t="inlineStr">
        <is>
          <t>(Item 2.3: acrescentado pelo Decreto nº 16.104/2023 e nova redação dada pelo Decreto nº 16.211/2023. Efeitos a partir de 1º.5.2023.)</t>
        </is>
      </c>
      <c r="L755" s="29">
        <f>IF(D755="NCM/SH","",COUNTIF($D$5:$D$1506,D755))</f>
        <v/>
      </c>
    </row>
    <row r="756" ht="15.75" customHeight="1" thickBot="1">
      <c r="A756" s="1" t="inlineStr">
        <is>
          <t>18Alimentos</t>
        </is>
      </c>
      <c r="B756" s="78" t="inlineStr">
        <is>
          <t>3.0</t>
        </is>
      </c>
      <c r="C756" s="48" t="inlineStr">
        <is>
          <t>17.003.00</t>
        </is>
      </c>
      <c r="D756" s="48" t="inlineStr">
        <is>
          <t>1806.32.10</t>
        </is>
      </c>
      <c r="E756" s="48" t="n">
        <v>53.23</v>
      </c>
      <c r="F756" s="48" t="n">
        <v>77.23</v>
      </c>
      <c r="G756" s="48" t="n">
        <v>71.69</v>
      </c>
      <c r="H756" s="48" t="n">
        <v>62.46</v>
      </c>
      <c r="I756" s="48" t="inlineStr">
        <is>
          <t>Chocolates, em tabletes, barras ou paus, não recheados, em recipientes ou embalagens imediatas de conteúdo inferior ou igual a 2 kg</t>
        </is>
      </c>
      <c r="J756" s="44" t="inlineStr">
        <is>
          <t>Lei nº 1.810, art. 49, § 1º, XXIX</t>
        </is>
      </c>
      <c r="K756" s="43" t="inlineStr">
        <is>
          <t>(Item 3.0: nova redação dada pelo Decreto nº 16.048/2022 e nova redação dada pelo Decreto nº 16.211/2023. Efeitos a partir de 1º.5.2023.)</t>
        </is>
      </c>
      <c r="L756" s="29">
        <f>IF(D756="NCM/SH","",COUNTIF($D$5:$D$1506,D756))</f>
        <v/>
      </c>
    </row>
    <row r="757" ht="15.75" customHeight="1" thickBot="1">
      <c r="A757" s="1" t="inlineStr">
        <is>
          <t>18Alimentos</t>
        </is>
      </c>
      <c r="B757" s="165" t="inlineStr">
        <is>
          <t>3.1</t>
        </is>
      </c>
      <c r="C757" s="48" t="inlineStr">
        <is>
          <t>17.003.01</t>
        </is>
      </c>
      <c r="D757" s="48" t="inlineStr">
        <is>
          <t>1806.32.20</t>
        </is>
      </c>
      <c r="E757" s="35" t="n">
        <v>53.23</v>
      </c>
      <c r="F757" s="35" t="n">
        <v>77.23</v>
      </c>
      <c r="G757" s="35" t="n">
        <v>71.69</v>
      </c>
      <c r="H757" s="35" t="n">
        <v>62.46</v>
      </c>
      <c r="I757" s="48" t="inlineStr">
        <is>
          <t>Outras preparações alimentícias que contenham cacau, em tabletes, barras ou paus, não recheados, em recipientes ou embalagens imediatas de conteúdo inferior ou igual a 2 kg</t>
        </is>
      </c>
      <c r="J757" s="37" t="inlineStr">
        <is>
          <t>Lei nº 1.810, art. 49, § 1º, XXIX</t>
        </is>
      </c>
      <c r="K757" s="43" t="inlineStr">
        <is>
          <t>(Item 3.1: acrescentado pelo Decreto nº 16.104/2023 e nova redação dada pelo Decreto nº 16.211/2023. Efeitos a partir de 1º.5.2023.)</t>
        </is>
      </c>
      <c r="L757" s="29">
        <f>IF(D757="NCM/SH","",COUNTIF($D$5:$D$1506,D757))</f>
        <v/>
      </c>
    </row>
    <row r="758" ht="15.75" customHeight="1" thickBot="1">
      <c r="A758" s="1" t="inlineStr">
        <is>
          <t>18Alimentos</t>
        </is>
      </c>
      <c r="B758" s="78" t="inlineStr">
        <is>
          <t>4.0</t>
        </is>
      </c>
      <c r="C758" s="48" t="inlineStr">
        <is>
          <t>17.004.00</t>
        </is>
      </c>
      <c r="D758" s="48" t="inlineStr">
        <is>
          <t>1806.90.00</t>
        </is>
      </c>
      <c r="E758" s="48" t="n">
        <v>53.23</v>
      </c>
      <c r="F758" s="48" t="n">
        <v>77.23</v>
      </c>
      <c r="G758" s="48" t="n">
        <v>71.69</v>
      </c>
      <c r="H758" s="48" t="n">
        <v>62.46</v>
      </c>
      <c r="I758" s="48" t="inlineStr">
        <is>
          <t>Chocolates e outras preparações alimentícias contendo cacau, em embalagens de conteúdo inferior ou igual a 1 kg, exceto os classificados nos CEST 17.005.01, 17.006.00, 17.006.02 e 17.007.00</t>
        </is>
      </c>
      <c r="J758" s="44" t="inlineStr">
        <is>
          <t>Lei nº 1.810, art. 49, § 1º, XXIX</t>
        </is>
      </c>
      <c r="K758" s="47" t="inlineStr">
        <is>
          <t>(Item 4.0: nova redação dada pelo Decreto nº 16.048/2022. Efeitos a partir de 1º.5.2023.)</t>
        </is>
      </c>
      <c r="L758" s="29">
        <f>IF(D758="NCM/SH","",COUNTIF($D$5:$D$1506,D758))</f>
        <v/>
      </c>
    </row>
    <row r="759" ht="15.75" customHeight="1" thickBot="1">
      <c r="A759" s="1" t="inlineStr">
        <is>
          <t>18Alimentos</t>
        </is>
      </c>
      <c r="B759" s="165" t="inlineStr">
        <is>
          <t>4.1</t>
        </is>
      </c>
      <c r="C759" s="35" t="inlineStr">
        <is>
          <t>17.004.01</t>
        </is>
      </c>
      <c r="D759" s="35" t="inlineStr">
        <is>
          <t>1806.90.00</t>
        </is>
      </c>
      <c r="E759" s="48" t="n">
        <v>53.23</v>
      </c>
      <c r="F759" s="48" t="n">
        <v>77.23</v>
      </c>
      <c r="G759" s="48" t="n">
        <v>71.69</v>
      </c>
      <c r="H759" s="48" t="n">
        <v>62.46</v>
      </c>
      <c r="I759" s="35" t="inlineStr">
        <is>
          <t>Chocolates e outras preparações alimentícias contendo cacau, em embalagens de conteúdo superior a 1 kg e inferior ou igual a 2 kg, exceto os classificados nos CEST 17.005.01, 17.006.00, 17.006.02 e 17.007.00</t>
        </is>
      </c>
      <c r="J759" s="37" t="inlineStr">
        <is>
          <t>Lei nº 1.810, art. 49, § 1º, XXIX</t>
        </is>
      </c>
      <c r="K759" s="47" t="inlineStr">
        <is>
          <t>(Item 4.1: acrescentado pelo Decreto nº 16.048/2022. Efeitos a partir de 1º.5.2023.)</t>
        </is>
      </c>
      <c r="L759" s="29">
        <f>IF(D759="NCM/SH","",COUNTIF($D$5:$D$1506,D759))</f>
        <v/>
      </c>
    </row>
    <row r="760" ht="15.75" customHeight="1" thickBot="1">
      <c r="A760" s="1" t="inlineStr">
        <is>
          <t>18Alimentos</t>
        </is>
      </c>
      <c r="B760" s="78" t="inlineStr">
        <is>
          <t>5.0</t>
        </is>
      </c>
      <c r="C760" s="48" t="inlineStr">
        <is>
          <t>17.005.00</t>
        </is>
      </c>
      <c r="D760" s="48" t="inlineStr">
        <is>
          <t>1704.90.10</t>
        </is>
      </c>
      <c r="E760" s="48" t="n">
        <v>53.23</v>
      </c>
      <c r="F760" s="48" t="n">
        <v>77.23</v>
      </c>
      <c r="G760" s="48" t="n">
        <v>71.69</v>
      </c>
      <c r="H760" s="48" t="n">
        <v>62.46</v>
      </c>
      <c r="I760" s="48" t="inlineStr">
        <is>
          <t>Ovos de páscoa de chocolate branco</t>
        </is>
      </c>
      <c r="J760" s="44" t="inlineStr">
        <is>
          <t>Lei nº 1.810, art. 49, § 1º, XXIX</t>
        </is>
      </c>
      <c r="K760" s="43" t="inlineStr">
        <is>
          <t>(Item 1.0: nova redação dada pelo Decreto nº 14.645/2016. Efeitos a partir de 1º.01.2017.)</t>
        </is>
      </c>
      <c r="L760" s="29">
        <f>IF(D760="NCM/SH","",COUNTIF($D$5:$D$1506,D760))</f>
        <v/>
      </c>
    </row>
    <row r="761" ht="15.75" customHeight="1" thickBot="1">
      <c r="A761" s="1" t="inlineStr">
        <is>
          <t>18Alimentos</t>
        </is>
      </c>
      <c r="B761" s="81" t="n">
        <v>5</v>
      </c>
      <c r="C761" s="42" t="inlineStr">
        <is>
          <t>17.005.01</t>
        </is>
      </c>
      <c r="D761" s="42" t="inlineStr">
        <is>
          <t>1806.90.00</t>
        </is>
      </c>
      <c r="E761" s="42" t="n">
        <v>53.23</v>
      </c>
      <c r="F761" s="42" t="n">
        <v>77.23</v>
      </c>
      <c r="G761" s="42" t="n">
        <v>71.69</v>
      </c>
      <c r="H761" s="42" t="n">
        <v>62.46</v>
      </c>
      <c r="I761" s="42" t="inlineStr">
        <is>
          <t>Ovos de páscoa de chocolate</t>
        </is>
      </c>
      <c r="J761" s="44" t="inlineStr">
        <is>
          <t>Lei nº 1.810, art. 49, § 1º, XXIX</t>
        </is>
      </c>
      <c r="K761" s="43" t="inlineStr">
        <is>
          <t>(Item 5.1: acrescentado pelo Decreto nº 14.645/2016. Efeitos a partir de 1º.01.2017.)</t>
        </is>
      </c>
      <c r="L761" s="29">
        <f>IF(D761="NCM/SH","",COUNTIF($D$5:$D$1506,D761))</f>
        <v/>
      </c>
    </row>
    <row r="762" ht="15.75" customHeight="1" thickBot="1">
      <c r="A762" s="1" t="inlineStr">
        <is>
          <t>18Alimentos</t>
        </is>
      </c>
      <c r="B762" s="100" t="inlineStr">
        <is>
          <t xml:space="preserve">5.1 </t>
        </is>
      </c>
      <c r="C762" s="45" t="inlineStr">
        <is>
          <t>17.005.01</t>
        </is>
      </c>
      <c r="D762" s="45" t="inlineStr">
        <is>
          <t>1806.90.00</t>
        </is>
      </c>
      <c r="E762" s="45" t="n">
        <v>53.23</v>
      </c>
      <c r="F762" s="45" t="n">
        <v>77.23</v>
      </c>
      <c r="G762" s="45" t="n">
        <v>71.69</v>
      </c>
      <c r="H762" s="45" t="n">
        <v>62.46</v>
      </c>
      <c r="I762" s="45" t="inlineStr">
        <is>
          <t>Ovos de páscoa de chocolate</t>
        </is>
      </c>
      <c r="J762" s="44" t="inlineStr">
        <is>
          <t>Lei nº 1.810, art. 49, § 1º, XXIX</t>
        </is>
      </c>
      <c r="L762" s="29">
        <f>IF(D762="NCM/SH","",COUNTIF($D$5:$D$1506,D762))</f>
        <v/>
      </c>
    </row>
    <row r="763" ht="15.75" customHeight="1" thickBot="1">
      <c r="A763" s="1" t="inlineStr">
        <is>
          <t>18Alimentos</t>
        </is>
      </c>
      <c r="B763" s="78" t="inlineStr">
        <is>
          <t>6.0</t>
        </is>
      </c>
      <c r="C763" s="48" t="inlineStr">
        <is>
          <t>17.006.00</t>
        </is>
      </c>
      <c r="D763" s="48" t="inlineStr">
        <is>
          <t>1806.90.00</t>
        </is>
      </c>
      <c r="E763" s="48" t="n">
        <v>53.23</v>
      </c>
      <c r="F763" s="48" t="n">
        <v>77.23</v>
      </c>
      <c r="G763" s="48" t="n">
        <v>71.69</v>
      </c>
      <c r="H763" s="48" t="n">
        <v>62.46</v>
      </c>
      <c r="I763" s="48" t="inlineStr">
        <is>
          <t>Achocolatados em pó, em embalagens de conteúdo inferior ou igual a 1 kg, exceto os classificados no CEST 17.006.02</t>
        </is>
      </c>
      <c r="J763" s="163" t="inlineStr">
        <is>
          <t>Lei nº 1.810, art. 49, § 1º, XXIX</t>
        </is>
      </c>
      <c r="K763" s="43" t="inlineStr">
        <is>
          <t>(Item 6.0: nova redação dada pelo Decreto nº 14.774/2017. Efeitos a partir de 1º.07.2017.)</t>
        </is>
      </c>
      <c r="L763" s="29">
        <f>IF(D763="NCM/SH","",COUNTIF($D$5:$D$1506,D763))</f>
        <v/>
      </c>
    </row>
    <row r="764" ht="15.75" customHeight="1" thickBot="1">
      <c r="A764" s="1" t="inlineStr">
        <is>
          <t>18Alimentos</t>
        </is>
      </c>
      <c r="B764" s="78" t="inlineStr">
        <is>
          <t>6.1</t>
        </is>
      </c>
      <c r="C764" s="48" t="inlineStr">
        <is>
          <t>17.006.01</t>
        </is>
      </c>
      <c r="D764" s="48" t="inlineStr">
        <is>
          <t>1806.10.00</t>
        </is>
      </c>
      <c r="E764" s="48" t="n">
        <v>53.23</v>
      </c>
      <c r="F764" s="48" t="n">
        <v>77.23</v>
      </c>
      <c r="G764" s="48" t="n">
        <v>71.69</v>
      </c>
      <c r="H764" s="48" t="n">
        <v>62.46</v>
      </c>
      <c r="I764" s="48" t="inlineStr">
        <is>
          <t>Cacau em pó, com adição de açúcar ou de outros edulcorantes, em embalagens de conteúdo inferior ou igual a 1 kg</t>
        </is>
      </c>
      <c r="J764" s="44" t="inlineStr">
        <is>
          <t>Lei nº 1.810, art. 49, § 1º, XXIX</t>
        </is>
      </c>
      <c r="K764" s="43" t="inlineStr">
        <is>
          <t>(Item 6.1: acrescentado pelo Decreto nº 14.645/2016. Efeitos a partir de 1º.01.2017.)</t>
        </is>
      </c>
      <c r="L764" s="29">
        <f>IF(D764="NCM/SH","",COUNTIF($D$5:$D$1506,D764))</f>
        <v/>
      </c>
    </row>
    <row r="765" ht="15.75" customHeight="1" thickBot="1">
      <c r="A765" s="1" t="inlineStr">
        <is>
          <t>18Alimentos</t>
        </is>
      </c>
      <c r="B765" s="81" t="inlineStr">
        <is>
          <t>6.2</t>
        </is>
      </c>
      <c r="C765" s="42" t="inlineStr">
        <is>
          <t>17.006.02</t>
        </is>
      </c>
      <c r="D765" s="42" t="inlineStr">
        <is>
          <t>1806.90.00</t>
        </is>
      </c>
      <c r="E765" s="42" t="n">
        <v>53.23</v>
      </c>
      <c r="F765" s="42" t="n">
        <v>77.23</v>
      </c>
      <c r="G765" s="42" t="n">
        <v>71.69</v>
      </c>
      <c r="H765" s="42" t="n">
        <v>62.46</v>
      </c>
      <c r="I765" s="42" t="inlineStr">
        <is>
          <t>Achocolatados em pó, em cápsulas</t>
        </is>
      </c>
      <c r="J765" s="38" t="inlineStr">
        <is>
          <t>Lei nº 1.810, art. 49, § 1º, XXIX</t>
        </is>
      </c>
      <c r="K765" s="43" t="inlineStr">
        <is>
          <t>(Item 6.2: acrescentado pelo Decreto nº 14.774/2017. Efeitos a partir de 1º.07.2017.)</t>
        </is>
      </c>
      <c r="L765" s="29">
        <f>IF(D765="NCM/SH","",COUNTIF($D$5:$D$1506,D765))</f>
        <v/>
      </c>
    </row>
    <row r="766" ht="15.75" customHeight="1" thickBot="1">
      <c r="A766" s="1" t="inlineStr">
        <is>
          <t>18Alimentos</t>
        </is>
      </c>
      <c r="B766" s="78" t="inlineStr">
        <is>
          <t>7.0</t>
        </is>
      </c>
      <c r="C766" s="48" t="inlineStr">
        <is>
          <t>17.007.00</t>
        </is>
      </c>
      <c r="D766" s="48" t="inlineStr">
        <is>
          <t>1806.90.00</t>
        </is>
      </c>
      <c r="E766" s="48" t="n">
        <v>53.23</v>
      </c>
      <c r="F766" s="48" t="n">
        <v>77.23</v>
      </c>
      <c r="G766" s="48" t="n">
        <v>71.69</v>
      </c>
      <c r="H766" s="48" t="n">
        <v>62.46</v>
      </c>
      <c r="I766" s="48" t="inlineStr">
        <is>
          <t xml:space="preserve">Caixas de bombons contendo cacau, em embalagens de conteúdo inferior ou igual a 1 kg </t>
        </is>
      </c>
      <c r="J766" s="44" t="inlineStr">
        <is>
          <t>Lei nº 1.810, art. 49, § 1º, XXIX</t>
        </is>
      </c>
      <c r="K766" s="43" t="inlineStr">
        <is>
          <t>(Item 1.0: nova redação dada pelo Decreto nº 14.645/2016. Efeitos a partir de 1º.01.2017.)</t>
        </is>
      </c>
      <c r="L766" s="29">
        <f>IF(D766="NCM/SH","",COUNTIF($D$5:$D$1506,D766))</f>
        <v/>
      </c>
    </row>
    <row r="767" ht="15.75" customHeight="1" thickBot="1">
      <c r="A767" s="1" t="inlineStr">
        <is>
          <t>18Alimentos</t>
        </is>
      </c>
      <c r="B767" s="78" t="inlineStr">
        <is>
          <t>8.0</t>
        </is>
      </c>
      <c r="C767" s="48" t="inlineStr">
        <is>
          <t>17.008.00</t>
        </is>
      </c>
      <c r="D767" s="48" t="inlineStr">
        <is>
          <t>1704.90.90</t>
        </is>
      </c>
      <c r="E767" s="48" t="n">
        <v>53.23</v>
      </c>
      <c r="F767" s="48" t="n">
        <v>77.23</v>
      </c>
      <c r="G767" s="48" t="n">
        <v>71.69</v>
      </c>
      <c r="H767" s="48" t="n">
        <v>62.46</v>
      </c>
      <c r="I767" s="48" t="inlineStr">
        <is>
          <t>Bombons, inclusive à base de chocolate branco sem cacau</t>
        </is>
      </c>
      <c r="J767" s="164" t="inlineStr">
        <is>
          <t>Lei nº 1.810, art. 49, § 1º, XXIX</t>
        </is>
      </c>
      <c r="K767" s="43" t="inlineStr">
        <is>
          <t>(Item 1.0: nova redação dada pelo Decreto nº 14.645/2016. Efeitos a partir de 1º.01.2017.)</t>
        </is>
      </c>
      <c r="L767" s="29">
        <f>IF(D767="NCM/SH","",COUNTIF($D$5:$D$1506,D767))</f>
        <v/>
      </c>
    </row>
    <row r="768" ht="14.45" customHeight="1" thickBot="1">
      <c r="A768" s="1" t="inlineStr">
        <is>
          <t>18Alimentos</t>
        </is>
      </c>
      <c r="B768" s="81" t="inlineStr">
        <is>
          <t>9.0</t>
        </is>
      </c>
      <c r="C768" s="42" t="inlineStr">
        <is>
          <t>17.009.00</t>
        </is>
      </c>
      <c r="D768" s="42" t="inlineStr">
        <is>
          <t>1806.90.00</t>
        </is>
      </c>
      <c r="E768" s="42" t="n">
        <v>53.23</v>
      </c>
      <c r="F768" s="42" t="n">
        <v>77.23</v>
      </c>
      <c r="G768" s="42" t="n">
        <v>71.69</v>
      </c>
      <c r="H768" s="42" t="n">
        <v>62.46</v>
      </c>
      <c r="I768" s="42" t="inlineStr">
        <is>
          <t xml:space="preserve">Bombons, balas, caramelos, confeitos, pastilhas e outros produtos de confeitaria, contendo cacau </t>
        </is>
      </c>
      <c r="J768" s="38" t="inlineStr">
        <is>
          <t>Lei nº 1.810, art. 49, § 1º, XXIX</t>
        </is>
      </c>
      <c r="K768" s="43" t="inlineStr">
        <is>
          <t>(Item 1.0: nova redação dada pelo Decreto nº 14.645/2016. Efeitos a partir de 1º.01.2017.)</t>
        </is>
      </c>
      <c r="L768" s="29">
        <f>IF(D768="NCM/SH","",COUNTIF($D$5:$D$1506,D768))</f>
        <v/>
      </c>
    </row>
    <row r="769" ht="15.75" customHeight="1" thickBot="1">
      <c r="A769" s="1" t="inlineStr">
        <is>
          <t>18Alimentos</t>
        </is>
      </c>
      <c r="B769" s="165" t="inlineStr">
        <is>
          <t>10.0</t>
        </is>
      </c>
      <c r="C769" s="35" t="inlineStr">
        <is>
          <t>17.010.00</t>
        </is>
      </c>
      <c r="D769" s="35" t="n">
        <v>2009</v>
      </c>
      <c r="E769" s="35" t="n">
        <v>45.65</v>
      </c>
      <c r="F769" s="35" t="n">
        <v>68.45999999999999</v>
      </c>
      <c r="G769" s="35" t="n">
        <v>63.2</v>
      </c>
      <c r="H769" s="35" t="n">
        <v>54.42</v>
      </c>
      <c r="I769" s="35" t="inlineStr">
        <is>
          <t>Sucos de frutas ou de produtos hortícolas; mistura de sucos</t>
        </is>
      </c>
      <c r="J769" s="44" t="inlineStr">
        <is>
          <t>Lei nº 1.810, art. 49, § 1º, XXIX</t>
        </is>
      </c>
      <c r="L769" s="29">
        <f>IF(D769="NCM/SH","",COUNTIF($D$5:$D$1506,D769))</f>
        <v/>
      </c>
    </row>
    <row r="770" ht="15.75" customHeight="1" thickBot="1">
      <c r="A770" s="1" t="inlineStr">
        <is>
          <t>18Alimentos</t>
        </is>
      </c>
      <c r="B770" s="165" t="inlineStr">
        <is>
          <t>11.0</t>
        </is>
      </c>
      <c r="C770" s="35" t="inlineStr">
        <is>
          <t>17.011.00</t>
        </is>
      </c>
      <c r="D770" s="35" t="inlineStr">
        <is>
          <t>2009.8</t>
        </is>
      </c>
      <c r="E770" s="35" t="n">
        <v>45.65</v>
      </c>
      <c r="F770" s="35" t="n">
        <v>68.45999999999999</v>
      </c>
      <c r="G770" s="35" t="n">
        <v>63.2</v>
      </c>
      <c r="H770" s="35" t="n">
        <v>54.42</v>
      </c>
      <c r="I770" s="35" t="inlineStr">
        <is>
          <t xml:space="preserve">Água de coco </t>
        </is>
      </c>
      <c r="J770" s="44" t="inlineStr">
        <is>
          <t>Lei nº 1.810, art. 49, § 1º, XXIX</t>
        </is>
      </c>
      <c r="L770" s="29">
        <f>IF(D770="NCM/SH","",COUNTIF($D$5:$D$1506,D770))</f>
        <v/>
      </c>
    </row>
    <row r="771" ht="14.45" customHeight="1">
      <c r="A771" s="1" t="inlineStr">
        <is>
          <t>18Alimentos</t>
        </is>
      </c>
      <c r="B771" s="98" t="inlineStr">
        <is>
          <t>12.0</t>
        </is>
      </c>
      <c r="C771" s="163" t="inlineStr">
        <is>
          <t>17.012.00</t>
        </is>
      </c>
      <c r="D771" s="37" t="inlineStr">
        <is>
          <t>0402.1</t>
        </is>
      </c>
      <c r="E771" s="163" t="n">
        <v>45.58</v>
      </c>
      <c r="F771" s="163" t="n">
        <v>68.38</v>
      </c>
      <c r="G771" s="163" t="n">
        <v>63.12</v>
      </c>
      <c r="H771" s="163" t="n">
        <v>54.35</v>
      </c>
      <c r="I771" s="163" t="inlineStr">
        <is>
          <t>Leite em pó, blocos ou grânulos, exceto creme de leite</t>
        </is>
      </c>
      <c r="J771" s="44" t="inlineStr">
        <is>
          <t>Lei nº 1.810, art. 49, § 1º, XXIX</t>
        </is>
      </c>
      <c r="L771" s="29">
        <f>IF(D771="NCM/SH","",COUNTIF($D$5:$D$1506,D771))</f>
        <v/>
      </c>
    </row>
    <row r="772">
      <c r="A772" s="1" t="inlineStr">
        <is>
          <t>18Alimentos</t>
        </is>
      </c>
      <c r="B772" s="101" t="n">
        <v>12</v>
      </c>
      <c r="C772" s="44" t="inlineStr">
        <is>
          <t>17.012.00</t>
        </is>
      </c>
      <c r="D772" s="37" t="inlineStr">
        <is>
          <t>0402.2</t>
        </is>
      </c>
      <c r="E772" s="44" t="n">
        <v>45.58</v>
      </c>
      <c r="F772" s="44" t="n">
        <v>68.38</v>
      </c>
      <c r="G772" s="44" t="n">
        <v>63.12</v>
      </c>
      <c r="H772" s="44" t="n">
        <v>54.35</v>
      </c>
      <c r="I772" s="44" t="inlineStr">
        <is>
          <t>Leite em pó, blocos ou grânulos, exceto creme de leite</t>
        </is>
      </c>
      <c r="J772" s="44" t="inlineStr">
        <is>
          <t>Lei nº 1.810, art. 49, § 1º, XXIX</t>
        </is>
      </c>
      <c r="L772" s="29">
        <f>IF(D772="NCM/SH","",COUNTIF($D$5:$D$1506,D772))</f>
        <v/>
      </c>
    </row>
    <row r="773" ht="15.75" customHeight="1" thickBot="1">
      <c r="A773" s="1" t="inlineStr">
        <is>
          <t>18Alimentos</t>
        </is>
      </c>
      <c r="B773" s="99" t="n">
        <v>12</v>
      </c>
      <c r="C773" s="164" t="inlineStr">
        <is>
          <t>17.012.00</t>
        </is>
      </c>
      <c r="D773" s="35" t="inlineStr">
        <is>
          <t>0402.9</t>
        </is>
      </c>
      <c r="E773" s="164" t="n">
        <v>45.58</v>
      </c>
      <c r="F773" s="164" t="n">
        <v>68.38</v>
      </c>
      <c r="G773" s="164" t="n">
        <v>63.12</v>
      </c>
      <c r="H773" s="164" t="n">
        <v>54.35</v>
      </c>
      <c r="I773" s="164" t="inlineStr">
        <is>
          <t>Leite em pó, blocos ou grânulos, exceto creme de leite</t>
        </is>
      </c>
      <c r="J773" s="44" t="inlineStr">
        <is>
          <t>Lei nº 1.810, art. 49, § 1º, XXIX</t>
        </is>
      </c>
      <c r="L773" s="29">
        <f>IF(D773="NCM/SH","",COUNTIF($D$5:$D$1506,D773))</f>
        <v/>
      </c>
    </row>
    <row r="774" ht="15.75" customHeight="1" thickBot="1">
      <c r="A774" s="1" t="inlineStr">
        <is>
          <t>18Alimentos</t>
        </is>
      </c>
      <c r="B774" s="165" t="inlineStr">
        <is>
          <t>13.0</t>
        </is>
      </c>
      <c r="C774" s="35" t="inlineStr">
        <is>
          <t>17.013.00</t>
        </is>
      </c>
      <c r="D774" s="35" t="inlineStr">
        <is>
          <t>1901.10.20</t>
        </is>
      </c>
      <c r="E774" s="35" t="n">
        <v>45.58</v>
      </c>
      <c r="F774" s="35" t="n">
        <v>68.38</v>
      </c>
      <c r="G774" s="35" t="n">
        <v>63.12</v>
      </c>
      <c r="H774" s="35" t="n">
        <v>54.35</v>
      </c>
      <c r="I774" s="35" t="inlineStr">
        <is>
          <t xml:space="preserve">Farinha láctea </t>
        </is>
      </c>
      <c r="J774" s="44" t="inlineStr">
        <is>
          <t>Lei nº 1.810, art. 49, § 1º, XXIX</t>
        </is>
      </c>
      <c r="L774" s="29">
        <f>IF(D774="NCM/SH","",COUNTIF($D$5:$D$1506,D774))</f>
        <v/>
      </c>
    </row>
    <row r="775" ht="15.75" customHeight="1" thickBot="1">
      <c r="A775" s="1" t="inlineStr">
        <is>
          <t>18Alimentos</t>
        </is>
      </c>
      <c r="B775" s="165" t="inlineStr">
        <is>
          <t>14.0</t>
        </is>
      </c>
      <c r="C775" s="35" t="inlineStr">
        <is>
          <t>17.014.00</t>
        </is>
      </c>
      <c r="D775" s="35" t="inlineStr">
        <is>
          <t>1901.10.10</t>
        </is>
      </c>
      <c r="E775" s="35" t="n">
        <v>45.58</v>
      </c>
      <c r="F775" s="35" t="n">
        <v>68.38</v>
      </c>
      <c r="G775" s="35" t="n">
        <v>63.12</v>
      </c>
      <c r="H775" s="35" t="n">
        <v>54.35</v>
      </c>
      <c r="I775" s="35" t="inlineStr">
        <is>
          <t>Leite modificado para alimentação de crianças</t>
        </is>
      </c>
      <c r="J775" s="44" t="inlineStr">
        <is>
          <t>Lei nº 1.810, art. 49, § 1º, XXIX</t>
        </is>
      </c>
      <c r="L775" s="29">
        <f>IF(D775="NCM/SH","",COUNTIF($D$5:$D$1506,D775))</f>
        <v/>
      </c>
    </row>
    <row r="776" ht="14.45" customHeight="1">
      <c r="A776" s="1" t="inlineStr">
        <is>
          <t>18Alimentos</t>
        </is>
      </c>
      <c r="B776" s="98" t="inlineStr">
        <is>
          <t>15.0</t>
        </is>
      </c>
      <c r="C776" s="163" t="inlineStr">
        <is>
          <t>17.015.00</t>
        </is>
      </c>
      <c r="D776" s="37" t="inlineStr">
        <is>
          <t>1901.10.90</t>
        </is>
      </c>
      <c r="E776" s="163" t="n">
        <v>45.58</v>
      </c>
      <c r="F776" s="163" t="n">
        <v>68.38</v>
      </c>
      <c r="G776" s="163" t="n">
        <v>63.12</v>
      </c>
      <c r="H776" s="163" t="n">
        <v>54.35</v>
      </c>
      <c r="I776" s="163" t="inlineStr">
        <is>
          <t xml:space="preserve">Preparações para alimentação infantil à base de farinhas, grumos, sêmolas ou amidos e outros </t>
        </is>
      </c>
      <c r="J776" s="44" t="inlineStr">
        <is>
          <t>Lei nº 1.810, art. 49, § 1º, XXIX</t>
        </is>
      </c>
      <c r="L776" s="29">
        <f>IF(D776="NCM/SH","",COUNTIF($D$5:$D$1506,D776))</f>
        <v/>
      </c>
    </row>
    <row r="777" ht="15.75" customHeight="1" thickBot="1">
      <c r="A777" s="1" t="inlineStr">
        <is>
          <t>18Alimentos</t>
        </is>
      </c>
      <c r="B777" s="99" t="n">
        <v>15</v>
      </c>
      <c r="C777" s="164" t="inlineStr">
        <is>
          <t>17.015.00</t>
        </is>
      </c>
      <c r="D777" s="35" t="inlineStr">
        <is>
          <t>1901.10.30</t>
        </is>
      </c>
      <c r="E777" s="164" t="n">
        <v>45.58</v>
      </c>
      <c r="F777" s="164" t="n">
        <v>68.38</v>
      </c>
      <c r="G777" s="164" t="n">
        <v>63.12</v>
      </c>
      <c r="H777" s="164" t="n">
        <v>54.35</v>
      </c>
      <c r="I777" s="164" t="inlineStr">
        <is>
          <t xml:space="preserve">Preparações para alimentação infantil à base de farinhas, grumos, sêmolas ou amidos e outros </t>
        </is>
      </c>
      <c r="J777" s="164" t="inlineStr">
        <is>
          <t>Lei nº 1.810, art. 49, § 1º, XXIX</t>
        </is>
      </c>
      <c r="L777" s="29">
        <f>IF(D777="NCM/SH","",COUNTIF($D$5:$D$1506,D777))</f>
        <v/>
      </c>
    </row>
    <row r="778" ht="14.45" customHeight="1">
      <c r="A778" s="1" t="inlineStr">
        <is>
          <t>18Alimentos</t>
        </is>
      </c>
      <c r="B778" s="98" t="inlineStr">
        <is>
          <t>16.0</t>
        </is>
      </c>
      <c r="C778" s="163" t="inlineStr">
        <is>
          <t>17.016.00</t>
        </is>
      </c>
      <c r="D778" s="37" t="inlineStr">
        <is>
          <t>0401.10.10</t>
        </is>
      </c>
      <c r="E778" s="163" t="n">
        <v>18</v>
      </c>
      <c r="F778" s="163" t="n">
        <v>36.48</v>
      </c>
      <c r="G778" s="163" t="n">
        <v>32.22</v>
      </c>
      <c r="H778" s="163" t="n">
        <v>25.11</v>
      </c>
      <c r="I778" s="163" t="inlineStr">
        <is>
          <t>Leite “longa vida” (UHT - “Ultra High Temperature”), em recipiente de conteúdo inferior ou igual a 2 litros</t>
        </is>
      </c>
      <c r="J778" s="163" t="inlineStr">
        <is>
          <t>Lei 1.810, art. 49, § 1º, XVIII</t>
        </is>
      </c>
      <c r="L778" s="29">
        <f>IF(D778="NCM/SH","",COUNTIF($D$5:$D$1506,D778))</f>
        <v/>
      </c>
    </row>
    <row r="779" ht="15.75" customHeight="1" thickBot="1">
      <c r="A779" s="1" t="inlineStr">
        <is>
          <t>18Alimentos</t>
        </is>
      </c>
      <c r="B779" s="99" t="n">
        <v>16</v>
      </c>
      <c r="C779" s="164" t="inlineStr">
        <is>
          <t>17.016.00</t>
        </is>
      </c>
      <c r="D779" s="35" t="inlineStr">
        <is>
          <t>0401.20.10</t>
        </is>
      </c>
      <c r="E779" s="164" t="n">
        <v>18</v>
      </c>
      <c r="F779" s="164" t="n">
        <v>36.48</v>
      </c>
      <c r="G779" s="164" t="n">
        <v>32.22</v>
      </c>
      <c r="H779" s="164" t="n">
        <v>25.11</v>
      </c>
      <c r="I779" s="164" t="inlineStr">
        <is>
          <t>Leite “longa vida” (UHT - “Ultra High Temperature”), em recipiente de conteúdo inferior ou igual a 2 litros</t>
        </is>
      </c>
      <c r="J779" s="44" t="inlineStr">
        <is>
          <t>Lei 1.810, art. 49, § 1º, XVIII</t>
        </is>
      </c>
      <c r="L779" s="29">
        <f>IF(D779="NCM/SH","",COUNTIF($D$5:$D$1506,D779))</f>
        <v/>
      </c>
    </row>
    <row r="780" ht="14.45" customHeight="1">
      <c r="A780" s="1" t="inlineStr">
        <is>
          <t>18Alimentos</t>
        </is>
      </c>
      <c r="B780" s="98" t="inlineStr">
        <is>
          <t>16.1</t>
        </is>
      </c>
      <c r="C780" s="163" t="inlineStr">
        <is>
          <t>17.016.01</t>
        </is>
      </c>
      <c r="D780" s="37" t="inlineStr">
        <is>
          <t>0401.10.10</t>
        </is>
      </c>
      <c r="E780" s="163" t="n">
        <v>18</v>
      </c>
      <c r="F780" s="163" t="n">
        <v>36.48</v>
      </c>
      <c r="G780" s="163" t="n">
        <v>32.22</v>
      </c>
      <c r="H780" s="163" t="n">
        <v>25.11</v>
      </c>
      <c r="I780" s="163" t="inlineStr">
        <is>
          <t>Leite “longa vida” (UHT - “Ultra High Temperature”), em recipiente de conteúdo superior a 2 litros e inferior ou igual a 5 litros</t>
        </is>
      </c>
      <c r="J780" s="44" t="inlineStr">
        <is>
          <t>Lei 1.810, art. 49, § 1º, XVIII</t>
        </is>
      </c>
      <c r="L780" s="29">
        <f>IF(D780="NCM/SH","",COUNTIF($D$5:$D$1506,D780))</f>
        <v/>
      </c>
    </row>
    <row r="781" ht="15.75" customHeight="1" thickBot="1">
      <c r="A781" s="1" t="inlineStr">
        <is>
          <t>18Alimentos</t>
        </is>
      </c>
      <c r="B781" s="99" t="n">
        <v>16.1</v>
      </c>
      <c r="C781" s="164" t="inlineStr">
        <is>
          <t>17.016.01</t>
        </is>
      </c>
      <c r="D781" s="35" t="inlineStr">
        <is>
          <t>0401.20.10</t>
        </is>
      </c>
      <c r="E781" s="164" t="n">
        <v>18</v>
      </c>
      <c r="F781" s="164" t="n">
        <v>36.48</v>
      </c>
      <c r="G781" s="164" t="n">
        <v>32.22</v>
      </c>
      <c r="H781" s="164" t="n">
        <v>25.11</v>
      </c>
      <c r="I781" s="164" t="inlineStr">
        <is>
          <t>Leite “longa vida” (UHT - “Ultra High Temperature”), em recipiente de conteúdo superior a 2 litros e inferior ou igual a 5 litros</t>
        </is>
      </c>
      <c r="J781" s="164" t="inlineStr">
        <is>
          <t>Lei 1.810, art. 49, § 1º, XVIII</t>
        </is>
      </c>
      <c r="L781" s="29">
        <f>IF(D781="NCM/SH","",COUNTIF($D$5:$D$1506,D781))</f>
        <v/>
      </c>
    </row>
    <row r="782" ht="14.45" customHeight="1">
      <c r="A782" s="1" t="inlineStr">
        <is>
          <t>18Alimentos</t>
        </is>
      </c>
      <c r="B782" s="98" t="inlineStr">
        <is>
          <t>17.0</t>
        </is>
      </c>
      <c r="C782" s="163" t="inlineStr">
        <is>
          <t>17.017.00</t>
        </is>
      </c>
      <c r="D782" s="37" t="inlineStr">
        <is>
          <t>0401.40.10</t>
        </is>
      </c>
      <c r="E782" s="163" t="n">
        <v>18</v>
      </c>
      <c r="F782" s="163" t="n">
        <v>36.48</v>
      </c>
      <c r="G782" s="163" t="n">
        <v>32.22</v>
      </c>
      <c r="H782" s="163" t="n">
        <v>25.11</v>
      </c>
      <c r="I782" s="163" t="inlineStr">
        <is>
          <t>Leite em recipiente de conteúdo inferior ou igual a 1 litro</t>
        </is>
      </c>
      <c r="J782" s="38" t="inlineStr">
        <is>
          <t>Lei nº 1.810, art. 49, § 1º, XXIX</t>
        </is>
      </c>
      <c r="L782" s="29">
        <f>IF(D782="NCM/SH","",COUNTIF($D$5:$D$1506,D782))</f>
        <v/>
      </c>
    </row>
    <row r="783" ht="15.75" customHeight="1" thickBot="1">
      <c r="A783" s="1" t="inlineStr">
        <is>
          <t>18Alimentos</t>
        </is>
      </c>
      <c r="B783" s="99" t="n">
        <v>17</v>
      </c>
      <c r="C783" s="164" t="inlineStr">
        <is>
          <t>17.017.00</t>
        </is>
      </c>
      <c r="D783" s="35" t="inlineStr">
        <is>
          <t>0401.50.10</t>
        </is>
      </c>
      <c r="E783" s="164" t="n">
        <v>18</v>
      </c>
      <c r="F783" s="164" t="n">
        <v>36.48</v>
      </c>
      <c r="G783" s="164" t="n">
        <v>32.22</v>
      </c>
      <c r="H783" s="164" t="n">
        <v>25.11</v>
      </c>
      <c r="I783" s="164" t="inlineStr">
        <is>
          <t>Leite em recipiente de conteúdo inferior ou igual a 1 litro</t>
        </is>
      </c>
      <c r="J783" s="38" t="inlineStr">
        <is>
          <t>Lei nº 1.810, art. 49, § 1º, XXIX</t>
        </is>
      </c>
      <c r="L783" s="29">
        <f>IF(D783="NCM/SH","",COUNTIF($D$5:$D$1506,D783))</f>
        <v/>
      </c>
    </row>
    <row r="784" ht="14.45" customHeight="1">
      <c r="A784" s="1" t="inlineStr">
        <is>
          <t>18Alimentos</t>
        </is>
      </c>
      <c r="B784" s="98" t="inlineStr">
        <is>
          <t>17.1</t>
        </is>
      </c>
      <c r="C784" s="163" t="inlineStr">
        <is>
          <t>17.017.01</t>
        </is>
      </c>
      <c r="D784" s="37" t="inlineStr">
        <is>
          <t>0401.40.10</t>
        </is>
      </c>
      <c r="E784" s="163" t="n">
        <v>18</v>
      </c>
      <c r="F784" s="163" t="n">
        <v>36.48</v>
      </c>
      <c r="G784" s="163" t="n">
        <v>32.22</v>
      </c>
      <c r="H784" s="163" t="n">
        <v>25.11</v>
      </c>
      <c r="I784" s="163" t="inlineStr">
        <is>
          <t>Leite em recipiente de conteúdo superior a 1 litro e inferior ou igual a 5 litros</t>
        </is>
      </c>
      <c r="J784" s="44" t="inlineStr">
        <is>
          <t>Lei nº 1.810, art. 49, § 1º, XXIX</t>
        </is>
      </c>
      <c r="L784" s="29">
        <f>IF(D784="NCM/SH","",COUNTIF($D$5:$D$1506,D784))</f>
        <v/>
      </c>
    </row>
    <row r="785" ht="15.75" customHeight="1" thickBot="1">
      <c r="A785" s="1" t="inlineStr">
        <is>
          <t>18Alimentos</t>
        </is>
      </c>
      <c r="B785" s="99" t="n">
        <v>17.1</v>
      </c>
      <c r="C785" s="164" t="inlineStr">
        <is>
          <t>17.017.01</t>
        </is>
      </c>
      <c r="D785" s="35" t="inlineStr">
        <is>
          <t>0401.50.10</t>
        </is>
      </c>
      <c r="E785" s="164" t="n">
        <v>18</v>
      </c>
      <c r="F785" s="164" t="n">
        <v>36.48</v>
      </c>
      <c r="G785" s="164" t="n">
        <v>32.22</v>
      </c>
      <c r="H785" s="164" t="n">
        <v>25.11</v>
      </c>
      <c r="I785" s="164" t="inlineStr">
        <is>
          <t>Leite em recipiente de conteúdo superior a 1 litro e inferior ou igual a 5 litros</t>
        </is>
      </c>
      <c r="J785" s="44" t="inlineStr">
        <is>
          <t>Lei nº 1.810, art. 49, § 1º, XXIX</t>
        </is>
      </c>
      <c r="L785" s="29">
        <f>IF(D785="NCM/SH","",COUNTIF($D$5:$D$1506,D785))</f>
        <v/>
      </c>
    </row>
    <row r="786" ht="14.45" customHeight="1">
      <c r="A786" s="1" t="inlineStr">
        <is>
          <t>18Alimentos</t>
        </is>
      </c>
      <c r="B786" s="98" t="inlineStr">
        <is>
          <t>18.0</t>
        </is>
      </c>
      <c r="C786" s="163" t="inlineStr">
        <is>
          <t>17.018.00</t>
        </is>
      </c>
      <c r="D786" s="37" t="inlineStr">
        <is>
          <t>0401.10.90</t>
        </is>
      </c>
      <c r="E786" s="163" t="n">
        <v>18</v>
      </c>
      <c r="F786" s="163" t="n">
        <v>36.48</v>
      </c>
      <c r="G786" s="163" t="n">
        <v>32.22</v>
      </c>
      <c r="H786" s="163" t="n">
        <v>25.11</v>
      </c>
      <c r="I786" s="163" t="inlineStr">
        <is>
          <t>Leite do tipo pasteurizado em recipiente de conteúdo inferior ou igual a 1 litro</t>
        </is>
      </c>
      <c r="J786" s="44" t="inlineStr">
        <is>
          <t>Lei nº 1.810, art. 49, § 1º, XXIX</t>
        </is>
      </c>
      <c r="L786" s="29">
        <f>IF(D786="NCM/SH","",COUNTIF($D$5:$D$1506,D786))</f>
        <v/>
      </c>
    </row>
    <row r="787" ht="15.75" customHeight="1" thickBot="1">
      <c r="A787" s="1" t="inlineStr">
        <is>
          <t>18Alimentos</t>
        </is>
      </c>
      <c r="B787" s="99" t="n">
        <v>18</v>
      </c>
      <c r="C787" s="164" t="inlineStr">
        <is>
          <t>17.018.00</t>
        </is>
      </c>
      <c r="D787" s="35" t="inlineStr">
        <is>
          <t>0401.20.90</t>
        </is>
      </c>
      <c r="E787" s="164" t="n">
        <v>18</v>
      </c>
      <c r="F787" s="164" t="n">
        <v>36.48</v>
      </c>
      <c r="G787" s="164" t="n">
        <v>32.22</v>
      </c>
      <c r="H787" s="164" t="n">
        <v>25.11</v>
      </c>
      <c r="I787" s="164" t="inlineStr">
        <is>
          <t>Leite do tipo pasteurizado em recipiente de conteúdo inferior ou igual a 1 litro</t>
        </is>
      </c>
      <c r="J787" s="44" t="inlineStr">
        <is>
          <t>Lei nº 1.810, art. 49, § 1º, XXIX</t>
        </is>
      </c>
      <c r="L787" s="29">
        <f>IF(D787="NCM/SH","",COUNTIF($D$5:$D$1506,D787))</f>
        <v/>
      </c>
    </row>
    <row r="788" ht="14.45" customHeight="1">
      <c r="A788" s="1" t="inlineStr">
        <is>
          <t>18Alimentos</t>
        </is>
      </c>
      <c r="B788" s="98" t="inlineStr">
        <is>
          <t>18.1</t>
        </is>
      </c>
      <c r="C788" s="163" t="inlineStr">
        <is>
          <t>17.018.01</t>
        </is>
      </c>
      <c r="D788" s="37" t="inlineStr">
        <is>
          <t>0401.10.90</t>
        </is>
      </c>
      <c r="E788" s="163" t="n">
        <v>18</v>
      </c>
      <c r="F788" s="163" t="n">
        <v>36.48</v>
      </c>
      <c r="G788" s="163" t="n">
        <v>32.22</v>
      </c>
      <c r="H788" s="163" t="n">
        <v>25.11</v>
      </c>
      <c r="I788" s="163" t="inlineStr">
        <is>
          <t>Leite do tipo pasteurizado em recipiente de conteúdo superior a 1 litro e inferior ou igual a 5 litros</t>
        </is>
      </c>
      <c r="J788" s="44" t="inlineStr">
        <is>
          <t>Lei nº 1.810, art. 49, § 1º, XXIX</t>
        </is>
      </c>
      <c r="L788" s="29">
        <f>IF(D788="NCM/SH","",COUNTIF($D$5:$D$1506,D788))</f>
        <v/>
      </c>
    </row>
    <row r="789" ht="15.75" customHeight="1" thickBot="1">
      <c r="A789" s="1" t="inlineStr">
        <is>
          <t>18Alimentos</t>
        </is>
      </c>
      <c r="B789" s="99" t="n">
        <v>18.1</v>
      </c>
      <c r="C789" s="164" t="inlineStr">
        <is>
          <t>17.018.01</t>
        </is>
      </c>
      <c r="D789" s="35" t="inlineStr">
        <is>
          <t>0401.20.90</t>
        </is>
      </c>
      <c r="E789" s="164" t="n">
        <v>18</v>
      </c>
      <c r="F789" s="164" t="n">
        <v>36.48</v>
      </c>
      <c r="G789" s="164" t="n">
        <v>32.22</v>
      </c>
      <c r="H789" s="164" t="n">
        <v>25.11</v>
      </c>
      <c r="I789" s="164" t="inlineStr">
        <is>
          <t>Leite do tipo pasteurizado em recipiente de conteúdo superior a 1 litro e inferior ou igual a 5 litros</t>
        </is>
      </c>
      <c r="J789" s="44" t="inlineStr">
        <is>
          <t>Lei nº 1.810, art. 49, § 1º, XXIX</t>
        </is>
      </c>
      <c r="L789" s="29">
        <f>IF(D789="NCM/SH","",COUNTIF($D$5:$D$1506,D789))</f>
        <v/>
      </c>
    </row>
    <row r="790" ht="14.45" customHeight="1">
      <c r="A790" s="1" t="inlineStr">
        <is>
          <t>18Alimentos</t>
        </is>
      </c>
      <c r="B790" s="98" t="inlineStr">
        <is>
          <t>19.0</t>
        </is>
      </c>
      <c r="C790" s="163" t="inlineStr">
        <is>
          <t>17.019.00</t>
        </is>
      </c>
      <c r="D790" s="37" t="inlineStr">
        <is>
          <t>0401.40.2</t>
        </is>
      </c>
      <c r="E790" s="163" t="n">
        <v>45.4</v>
      </c>
      <c r="F790" s="163" t="n">
        <v>68.17</v>
      </c>
      <c r="G790" s="163" t="n">
        <v>62.92</v>
      </c>
      <c r="H790" s="163" t="n">
        <v>54.16</v>
      </c>
      <c r="I790" s="163" t="inlineStr">
        <is>
          <t>Creme de leite, em recipiente de conteúdo inferior ou igual a 1 kg</t>
        </is>
      </c>
      <c r="J790" s="44" t="inlineStr">
        <is>
          <t>Lei nº 1.810, art. 49, § 1º, XXIX</t>
        </is>
      </c>
      <c r="L790" s="29">
        <f>IF(D790="NCM/SH","",COUNTIF($D$5:$D$1506,D790))</f>
        <v/>
      </c>
    </row>
    <row r="791">
      <c r="A791" s="1" t="inlineStr">
        <is>
          <t>18Alimentos</t>
        </is>
      </c>
      <c r="B791" s="101" t="n">
        <v>19</v>
      </c>
      <c r="C791" s="44" t="inlineStr">
        <is>
          <t>17.019.00</t>
        </is>
      </c>
      <c r="D791" s="37" t="inlineStr">
        <is>
          <t>0402.21.30</t>
        </is>
      </c>
      <c r="E791" s="44" t="n">
        <v>45.4</v>
      </c>
      <c r="F791" s="44" t="n">
        <v>68.17</v>
      </c>
      <c r="G791" s="44" t="n">
        <v>62.92</v>
      </c>
      <c r="H791" s="44" t="n">
        <v>54.16</v>
      </c>
      <c r="I791" s="44" t="inlineStr">
        <is>
          <t>Creme de leite, em recipiente de conteúdo inferior ou igual a 1 kg</t>
        </is>
      </c>
      <c r="J791" s="44" t="inlineStr">
        <is>
          <t>Lei nº 1.810, art. 49, § 1º, XXIX</t>
        </is>
      </c>
      <c r="L791" s="29">
        <f>IF(D791="NCM/SH","",COUNTIF($D$5:$D$1506,D791))</f>
        <v/>
      </c>
    </row>
    <row r="792">
      <c r="A792" s="1" t="inlineStr">
        <is>
          <t>18Alimentos</t>
        </is>
      </c>
      <c r="B792" s="101" t="n">
        <v>19</v>
      </c>
      <c r="C792" s="44" t="inlineStr">
        <is>
          <t>17.019.00</t>
        </is>
      </c>
      <c r="D792" s="37" t="inlineStr">
        <is>
          <t>0402.29.30</t>
        </is>
      </c>
      <c r="E792" s="44" t="n">
        <v>45.4</v>
      </c>
      <c r="F792" s="44" t="n">
        <v>68.17</v>
      </c>
      <c r="G792" s="44" t="n">
        <v>62.92</v>
      </c>
      <c r="H792" s="44" t="n">
        <v>54.16</v>
      </c>
      <c r="I792" s="44" t="inlineStr">
        <is>
          <t>Creme de leite, em recipiente de conteúdo inferior ou igual a 1 kg</t>
        </is>
      </c>
      <c r="J792" s="44" t="inlineStr">
        <is>
          <t>Lei nº 1.810, art. 49, § 1º, XXIX</t>
        </is>
      </c>
      <c r="L792" s="29">
        <f>IF(D792="NCM/SH","",COUNTIF($D$5:$D$1506,D792))</f>
        <v/>
      </c>
    </row>
    <row r="793" ht="15.75" customHeight="1" thickBot="1">
      <c r="A793" s="1" t="inlineStr">
        <is>
          <t>18Alimentos</t>
        </is>
      </c>
      <c r="B793" s="99" t="n">
        <v>19</v>
      </c>
      <c r="C793" s="164" t="inlineStr">
        <is>
          <t>17.019.00</t>
        </is>
      </c>
      <c r="D793" s="35" t="inlineStr">
        <is>
          <t>0402.9</t>
        </is>
      </c>
      <c r="E793" s="164" t="n">
        <v>45.4</v>
      </c>
      <c r="F793" s="164" t="n">
        <v>68.17</v>
      </c>
      <c r="G793" s="164" t="n">
        <v>62.92</v>
      </c>
      <c r="H793" s="164" t="n">
        <v>54.16</v>
      </c>
      <c r="I793" s="164" t="inlineStr">
        <is>
          <t>Creme de leite, em recipiente de conteúdo inferior ou igual a 1 kg</t>
        </is>
      </c>
      <c r="J793" s="44" t="inlineStr">
        <is>
          <t>Lei nº 1.810, art. 49, § 1º, XXIX</t>
        </is>
      </c>
      <c r="L793" s="29">
        <f>IF(D793="NCM/SH","",COUNTIF($D$5:$D$1506,D793))</f>
        <v/>
      </c>
    </row>
    <row r="794" ht="14.45" customHeight="1">
      <c r="A794" s="1" t="inlineStr">
        <is>
          <t>18Alimentos</t>
        </is>
      </c>
      <c r="B794" s="98" t="inlineStr">
        <is>
          <t>19.1</t>
        </is>
      </c>
      <c r="C794" s="163" t="inlineStr">
        <is>
          <t>17.019.01</t>
        </is>
      </c>
      <c r="D794" s="37" t="inlineStr">
        <is>
          <t>0401.40.2</t>
        </is>
      </c>
      <c r="E794" s="163" t="n">
        <v>45.4</v>
      </c>
      <c r="F794" s="163" t="n">
        <v>68.17</v>
      </c>
      <c r="G794" s="163" t="n">
        <v>62.92</v>
      </c>
      <c r="H794" s="163" t="n">
        <v>54.16</v>
      </c>
      <c r="I794" s="163" t="inlineStr">
        <is>
          <t>Creme de leite, em recipiente de conteúdo superior a 1 kg</t>
        </is>
      </c>
      <c r="J794" s="44" t="inlineStr">
        <is>
          <t>Lei nº 1.810, art. 49, § 1º, XXIX</t>
        </is>
      </c>
      <c r="L794" s="29">
        <f>IF(D794="NCM/SH","",COUNTIF($D$5:$D$1506,D794))</f>
        <v/>
      </c>
    </row>
    <row r="795">
      <c r="A795" s="1" t="inlineStr">
        <is>
          <t>18Alimentos</t>
        </is>
      </c>
      <c r="B795" s="101" t="n">
        <v>19.1</v>
      </c>
      <c r="C795" s="44" t="inlineStr">
        <is>
          <t>17.019.01</t>
        </is>
      </c>
      <c r="D795" s="37" t="inlineStr">
        <is>
          <t>0402.21.30</t>
        </is>
      </c>
      <c r="E795" s="44" t="n">
        <v>45.4</v>
      </c>
      <c r="F795" s="44" t="n">
        <v>68.17</v>
      </c>
      <c r="G795" s="44" t="n">
        <v>62.92</v>
      </c>
      <c r="H795" s="44" t="n">
        <v>54.16</v>
      </c>
      <c r="I795" s="44" t="inlineStr">
        <is>
          <t>Creme de leite, em recipiente de conteúdo superior a 1 kg</t>
        </is>
      </c>
      <c r="J795" s="44" t="inlineStr">
        <is>
          <t>Lei nº 1.810, art. 49, § 1º, XXIX</t>
        </is>
      </c>
      <c r="L795" s="29">
        <f>IF(D795="NCM/SH","",COUNTIF($D$5:$D$1506,D795))</f>
        <v/>
      </c>
    </row>
    <row r="796">
      <c r="A796" s="1" t="inlineStr">
        <is>
          <t>18Alimentos</t>
        </is>
      </c>
      <c r="B796" s="101" t="n">
        <v>19.1</v>
      </c>
      <c r="C796" s="44" t="inlineStr">
        <is>
          <t>17.019.01</t>
        </is>
      </c>
      <c r="D796" s="37" t="inlineStr">
        <is>
          <t>0402.29.30</t>
        </is>
      </c>
      <c r="E796" s="44" t="n">
        <v>45.4</v>
      </c>
      <c r="F796" s="44" t="n">
        <v>68.17</v>
      </c>
      <c r="G796" s="44" t="n">
        <v>62.92</v>
      </c>
      <c r="H796" s="44" t="n">
        <v>54.16</v>
      </c>
      <c r="I796" s="44" t="inlineStr">
        <is>
          <t>Creme de leite, em recipiente de conteúdo superior a 1 kg</t>
        </is>
      </c>
      <c r="J796" s="44" t="inlineStr">
        <is>
          <t>Lei nº 1.810, art. 49, § 1º, XXIX</t>
        </is>
      </c>
      <c r="L796" s="29">
        <f>IF(D796="NCM/SH","",COUNTIF($D$5:$D$1506,D796))</f>
        <v/>
      </c>
    </row>
    <row r="797" ht="15.75" customHeight="1" thickBot="1">
      <c r="A797" s="1" t="inlineStr">
        <is>
          <t>18Alimentos</t>
        </is>
      </c>
      <c r="B797" s="99" t="n">
        <v>19.1</v>
      </c>
      <c r="C797" s="164" t="inlineStr">
        <is>
          <t>17.019.01</t>
        </is>
      </c>
      <c r="D797" s="35" t="inlineStr">
        <is>
          <t>0402.9</t>
        </is>
      </c>
      <c r="E797" s="164" t="n">
        <v>45.4</v>
      </c>
      <c r="F797" s="164" t="n">
        <v>68.17</v>
      </c>
      <c r="G797" s="164" t="n">
        <v>62.92</v>
      </c>
      <c r="H797" s="164" t="n">
        <v>54.16</v>
      </c>
      <c r="I797" s="164" t="inlineStr">
        <is>
          <t>Creme de leite, em recipiente de conteúdo superior a 1 kg</t>
        </is>
      </c>
      <c r="J797" s="44" t="inlineStr">
        <is>
          <t>Lei nº 1.810, art. 49, § 1º, XXIX</t>
        </is>
      </c>
      <c r="L797" s="29">
        <f>IF(D797="NCM/SH","",COUNTIF($D$5:$D$1506,D797))</f>
        <v/>
      </c>
    </row>
    <row r="798" ht="14.45" customHeight="1">
      <c r="A798" s="1" t="inlineStr">
        <is>
          <t>18Alimentos</t>
        </is>
      </c>
      <c r="B798" s="98" t="inlineStr">
        <is>
          <t>19.2</t>
        </is>
      </c>
      <c r="C798" s="163" t="inlineStr">
        <is>
          <t>17.019.02</t>
        </is>
      </c>
      <c r="D798" s="37" t="inlineStr">
        <is>
          <t>0401.10</t>
        </is>
      </c>
      <c r="E798" s="163" t="n">
        <v>45.4</v>
      </c>
      <c r="F798" s="163" t="n">
        <v>68.17</v>
      </c>
      <c r="G798" s="163" t="n">
        <v>62.92</v>
      </c>
      <c r="H798" s="163" t="n">
        <v>54.16</v>
      </c>
      <c r="I798" s="163" t="inlineStr">
        <is>
          <t>Outros cremes de leite, em recipiente de conteúdo inferior ou igual a 1kg</t>
        </is>
      </c>
      <c r="J798" s="44" t="inlineStr">
        <is>
          <t>Lei nº 1.810, art. 49, § 1º, XXIX</t>
        </is>
      </c>
      <c r="L798" s="29">
        <f>IF(D798="NCM/SH","",COUNTIF($D$5:$D$1506,D798))</f>
        <v/>
      </c>
    </row>
    <row r="799">
      <c r="A799" s="1" t="inlineStr">
        <is>
          <t>18Alimentos</t>
        </is>
      </c>
      <c r="B799" s="101" t="n">
        <v>19.2</v>
      </c>
      <c r="C799" s="44" t="inlineStr">
        <is>
          <t>17.019.02</t>
        </is>
      </c>
      <c r="D799" s="37" t="inlineStr">
        <is>
          <t>0401.20</t>
        </is>
      </c>
      <c r="E799" s="44" t="n">
        <v>45.4</v>
      </c>
      <c r="F799" s="44" t="n">
        <v>68.17</v>
      </c>
      <c r="G799" s="44" t="n">
        <v>62.92</v>
      </c>
      <c r="H799" s="44" t="n">
        <v>54.16</v>
      </c>
      <c r="I799" s="44" t="inlineStr">
        <is>
          <t>Outros cremes de leite, em recipiente de conteúdo inferior ou igual a 1kg</t>
        </is>
      </c>
      <c r="J799" s="44" t="inlineStr">
        <is>
          <t>Lei nº 1.810, art. 49, § 1º, XXIX</t>
        </is>
      </c>
      <c r="L799" s="29">
        <f>IF(D799="NCM/SH","",COUNTIF($D$5:$D$1506,D799))</f>
        <v/>
      </c>
    </row>
    <row r="800">
      <c r="A800" s="1" t="inlineStr">
        <is>
          <t>18Alimentos</t>
        </is>
      </c>
      <c r="B800" s="101" t="n">
        <v>19.2</v>
      </c>
      <c r="C800" s="44" t="inlineStr">
        <is>
          <t>17.019.02</t>
        </is>
      </c>
      <c r="D800" s="37" t="inlineStr">
        <is>
          <t>0401.50</t>
        </is>
      </c>
      <c r="E800" s="44" t="n">
        <v>45.4</v>
      </c>
      <c r="F800" s="44" t="n">
        <v>68.17</v>
      </c>
      <c r="G800" s="44" t="n">
        <v>62.92</v>
      </c>
      <c r="H800" s="44" t="n">
        <v>54.16</v>
      </c>
      <c r="I800" s="44" t="inlineStr">
        <is>
          <t>Outros cremes de leite, em recipiente de conteúdo inferior ou igual a 1kg</t>
        </is>
      </c>
      <c r="J800" s="44" t="inlineStr">
        <is>
          <t>Lei nº 1.810, art. 49, § 1º, XXIX</t>
        </is>
      </c>
      <c r="L800" s="29">
        <f>IF(D800="NCM/SH","",COUNTIF($D$5:$D$1506,D800))</f>
        <v/>
      </c>
    </row>
    <row r="801">
      <c r="A801" s="1" t="inlineStr">
        <is>
          <t>18Alimentos</t>
        </is>
      </c>
      <c r="B801" s="101" t="n">
        <v>19.2</v>
      </c>
      <c r="C801" s="44" t="inlineStr">
        <is>
          <t>17.019.02</t>
        </is>
      </c>
      <c r="D801" s="37" t="inlineStr">
        <is>
          <t>0402.10</t>
        </is>
      </c>
      <c r="E801" s="44" t="n">
        <v>45.4</v>
      </c>
      <c r="F801" s="44" t="n">
        <v>68.17</v>
      </c>
      <c r="G801" s="44" t="n">
        <v>62.92</v>
      </c>
      <c r="H801" s="44" t="n">
        <v>54.16</v>
      </c>
      <c r="I801" s="44" t="inlineStr">
        <is>
          <t>Outros cremes de leite, em recipiente de conteúdo inferior ou igual a 1kg</t>
        </is>
      </c>
      <c r="J801" s="44" t="inlineStr">
        <is>
          <t>Lei nº 1.810, art. 49, § 1º, XXIX</t>
        </is>
      </c>
      <c r="L801" s="29">
        <f>IF(D801="NCM/SH","",COUNTIF($D$5:$D$1506,D801))</f>
        <v/>
      </c>
    </row>
    <row r="802" ht="15.75" customHeight="1" thickBot="1">
      <c r="A802" s="1" t="inlineStr">
        <is>
          <t>18Alimentos</t>
        </is>
      </c>
      <c r="B802" s="99" t="n">
        <v>19.2</v>
      </c>
      <c r="C802" s="164" t="inlineStr">
        <is>
          <t>17.019.02</t>
        </is>
      </c>
      <c r="D802" s="35" t="inlineStr">
        <is>
          <t>0402.29.20</t>
        </is>
      </c>
      <c r="E802" s="164" t="n">
        <v>45.4</v>
      </c>
      <c r="F802" s="164" t="n">
        <v>68.17</v>
      </c>
      <c r="G802" s="164" t="n">
        <v>62.92</v>
      </c>
      <c r="H802" s="164" t="n">
        <v>54.16</v>
      </c>
      <c r="I802" s="164" t="inlineStr">
        <is>
          <t>Outros cremes de leite, em recipiente de conteúdo inferior ou igual a 1kg</t>
        </is>
      </c>
      <c r="J802" s="164" t="inlineStr">
        <is>
          <t>Lei nº 1.810, art. 49, § 1º, XXIX</t>
        </is>
      </c>
      <c r="L802" s="29">
        <f>IF(D802="NCM/SH","",COUNTIF($D$5:$D$1506,D802))</f>
        <v/>
      </c>
    </row>
    <row r="803" ht="14.45" customHeight="1" thickBot="1">
      <c r="A803" s="1" t="inlineStr">
        <is>
          <t>18Alimentos</t>
        </is>
      </c>
      <c r="B803" s="98" t="inlineStr">
        <is>
          <t>19.3</t>
        </is>
      </c>
      <c r="C803" s="163" t="inlineStr">
        <is>
          <t>17.019.03</t>
        </is>
      </c>
      <c r="D803" s="37" t="inlineStr">
        <is>
          <t>0401.10</t>
        </is>
      </c>
      <c r="E803" s="163" t="n">
        <v>45.4</v>
      </c>
      <c r="F803" s="163" t="n">
        <v>68.17</v>
      </c>
      <c r="G803" s="163" t="n">
        <v>62.92</v>
      </c>
      <c r="H803" s="163" t="n">
        <v>54.16</v>
      </c>
      <c r="I803" s="163" t="inlineStr">
        <is>
          <t>Outros cremes de leite, em recipiente de conteúdo superior a 1kg</t>
        </is>
      </c>
      <c r="J803" s="38" t="inlineStr">
        <is>
          <t>Lei nº 1.810, art. 49, § 1º, III</t>
        </is>
      </c>
      <c r="K803" s="43" t="inlineStr">
        <is>
          <t>(Item 19.3: acrescentado pelo Decreto nº 15.520/2020. Efeitos a contar de 1º.09.2020.)</t>
        </is>
      </c>
      <c r="L803" s="29">
        <f>IF(D803="NCM/SH","",COUNTIF($D$5:$D$1506,D803))</f>
        <v/>
      </c>
    </row>
    <row r="804" ht="15.75" customHeight="1" thickBot="1">
      <c r="A804" s="1" t="inlineStr">
        <is>
          <t>18Alimentos</t>
        </is>
      </c>
      <c r="B804" s="101" t="n">
        <v>19.3</v>
      </c>
      <c r="C804" s="44" t="inlineStr">
        <is>
          <t>17.019.03</t>
        </is>
      </c>
      <c r="D804" s="37" t="inlineStr">
        <is>
          <t>0401.20</t>
        </is>
      </c>
      <c r="E804" s="44" t="n">
        <v>45.4</v>
      </c>
      <c r="F804" s="44" t="n">
        <v>68.17</v>
      </c>
      <c r="G804" s="44" t="n">
        <v>62.92</v>
      </c>
      <c r="H804" s="44" t="n">
        <v>54.16</v>
      </c>
      <c r="I804" s="44" t="inlineStr">
        <is>
          <t>Outros cremes de leite, em recipiente de conteúdo superior a 1kg</t>
        </is>
      </c>
      <c r="J804" s="38" t="inlineStr">
        <is>
          <t>Lei nº 1.810, art. 49, § 1º, III</t>
        </is>
      </c>
      <c r="K804" s="43" t="inlineStr">
        <is>
          <t>(Item 19.3: acrescentado pelo Decreto nº 15.520/2020. Efeitos a contar de 1º.09.2020.)</t>
        </is>
      </c>
      <c r="L804" s="29">
        <f>IF(D804="NCM/SH","",COUNTIF($D$5:$D$1506,D804))</f>
        <v/>
      </c>
    </row>
    <row r="805" ht="15.75" customHeight="1" thickBot="1">
      <c r="A805" s="1" t="inlineStr">
        <is>
          <t>18Alimentos</t>
        </is>
      </c>
      <c r="B805" s="101" t="n">
        <v>19.3</v>
      </c>
      <c r="C805" s="44" t="inlineStr">
        <is>
          <t>17.019.03</t>
        </is>
      </c>
      <c r="D805" s="37" t="inlineStr">
        <is>
          <t>0401.50</t>
        </is>
      </c>
      <c r="E805" s="44" t="n">
        <v>45.4</v>
      </c>
      <c r="F805" s="44" t="n">
        <v>68.17</v>
      </c>
      <c r="G805" s="44" t="n">
        <v>62.92</v>
      </c>
      <c r="H805" s="44" t="n">
        <v>54.16</v>
      </c>
      <c r="I805" s="44" t="inlineStr">
        <is>
          <t>Outros cremes de leite, em recipiente de conteúdo superior a 1kg</t>
        </is>
      </c>
      <c r="J805" s="40" t="inlineStr">
        <is>
          <t>Lei nº 1.810, art. 49, § 1º, III</t>
        </is>
      </c>
      <c r="K805" s="43" t="inlineStr">
        <is>
          <t>(Item 19.3: acrescentado pelo Decreto nº 15.520/2020. Efeitos a contar de 1º.09.2020.)</t>
        </is>
      </c>
      <c r="L805" s="29">
        <f>IF(D805="NCM/SH","",COUNTIF($D$5:$D$1506,D805))</f>
        <v/>
      </c>
    </row>
    <row r="806" ht="15.75" customHeight="1" thickBot="1">
      <c r="A806" s="1" t="inlineStr">
        <is>
          <t>18Alimentos</t>
        </is>
      </c>
      <c r="B806" s="101" t="n">
        <v>19.3</v>
      </c>
      <c r="C806" s="44" t="inlineStr">
        <is>
          <t>17.019.03</t>
        </is>
      </c>
      <c r="D806" s="37" t="inlineStr">
        <is>
          <t>0402.10</t>
        </is>
      </c>
      <c r="E806" s="44" t="n">
        <v>45.4</v>
      </c>
      <c r="F806" s="44" t="n">
        <v>68.17</v>
      </c>
      <c r="G806" s="44" t="n">
        <v>62.92</v>
      </c>
      <c r="H806" s="44" t="n">
        <v>54.16</v>
      </c>
      <c r="I806" s="44" t="inlineStr">
        <is>
          <t>Outros cremes de leite, em recipiente de conteúdo superior a 1kg</t>
        </is>
      </c>
      <c r="J806" s="40" t="inlineStr">
        <is>
          <t>Lei nº 1.810, art. 49, § 1º, III</t>
        </is>
      </c>
      <c r="K806" s="43" t="inlineStr">
        <is>
          <t>(Item 19.3: acrescentado pelo Decreto nº 15.520/2020. Efeitos a contar de 1º.09.2020.)</t>
        </is>
      </c>
      <c r="L806" s="29">
        <f>IF(D806="NCM/SH","",COUNTIF($D$5:$D$1506,D806))</f>
        <v/>
      </c>
    </row>
    <row r="807" ht="15.75" customHeight="1" thickBot="1">
      <c r="A807" s="1" t="inlineStr">
        <is>
          <t>18Alimentos</t>
        </is>
      </c>
      <c r="B807" s="99" t="n">
        <v>19.3</v>
      </c>
      <c r="C807" s="164" t="inlineStr">
        <is>
          <t>17.019.03</t>
        </is>
      </c>
      <c r="D807" s="35" t="inlineStr">
        <is>
          <t>0402.29.20</t>
        </is>
      </c>
      <c r="E807" s="164" t="n">
        <v>45.4</v>
      </c>
      <c r="F807" s="164" t="n">
        <v>68.17</v>
      </c>
      <c r="G807" s="164" t="n">
        <v>62.92</v>
      </c>
      <c r="H807" s="164" t="n">
        <v>54.16</v>
      </c>
      <c r="I807" s="164" t="inlineStr">
        <is>
          <t>Outros cremes de leite, em recipiente de conteúdo superior a 1kg</t>
        </is>
      </c>
      <c r="J807" s="40" t="inlineStr">
        <is>
          <t>Lei nº 1.810, art. 49, § 1º, III</t>
        </is>
      </c>
      <c r="K807" s="43" t="inlineStr">
        <is>
          <t>(Item 19.3: acrescentado pelo Decreto nº 15.520/2020. Efeitos a contar de 1º.09.2020.)</t>
        </is>
      </c>
      <c r="L807" s="29">
        <f>IF(D807="NCM/SH","",COUNTIF($D$5:$D$1506,D807))</f>
        <v/>
      </c>
    </row>
    <row r="808" ht="14.45" customHeight="1" thickBot="1">
      <c r="A808" s="1" t="inlineStr">
        <is>
          <t>18Alimentos</t>
        </is>
      </c>
      <c r="B808" s="98" t="inlineStr">
        <is>
          <t>20.0</t>
        </is>
      </c>
      <c r="C808" s="163" t="inlineStr">
        <is>
          <t>17.020.00</t>
        </is>
      </c>
      <c r="D808" s="163" t="inlineStr">
        <is>
          <t>0402.9</t>
        </is>
      </c>
      <c r="E808" s="163" t="n">
        <v>45.4</v>
      </c>
      <c r="F808" s="163" t="n">
        <v>68.17</v>
      </c>
      <c r="G808" s="163" t="n">
        <v>62.92</v>
      </c>
      <c r="H808" s="163" t="n">
        <v>54.16</v>
      </c>
      <c r="I808" s="163" t="inlineStr">
        <is>
          <t xml:space="preserve">Leite condensado, em recipiente de conteúdo inferior ou igual a 1 kg </t>
        </is>
      </c>
      <c r="J808" s="38" t="inlineStr">
        <is>
          <t>Lei nº 1.810, art. 49, § 1º, III</t>
        </is>
      </c>
      <c r="L808" s="29">
        <f>IF(D808="NCM/SH","",COUNTIF($D$5:$D$1506,D808))</f>
        <v/>
      </c>
    </row>
    <row r="809" ht="15.75" customHeight="1" thickBot="1">
      <c r="A809" s="1" t="inlineStr">
        <is>
          <t>18Alimentos</t>
        </is>
      </c>
      <c r="B809" s="165" t="inlineStr">
        <is>
          <t>20.1</t>
        </is>
      </c>
      <c r="C809" s="35" t="inlineStr">
        <is>
          <t>17.020.01</t>
        </is>
      </c>
      <c r="D809" s="35" t="inlineStr">
        <is>
          <t>0402.9</t>
        </is>
      </c>
      <c r="E809" s="35" t="n">
        <v>45.4</v>
      </c>
      <c r="F809" s="35" t="n">
        <v>68.17</v>
      </c>
      <c r="G809" s="35" t="n">
        <v>62.92</v>
      </c>
      <c r="H809" s="35" t="n">
        <v>54.16</v>
      </c>
      <c r="I809" s="35" t="inlineStr">
        <is>
          <t xml:space="preserve">Leite condensado, em recipiente de conteúdo superior a 1 kg </t>
        </is>
      </c>
      <c r="J809" s="35" t="inlineStr">
        <is>
          <t>Lei nº 1.810, art. 49, § 1º, III</t>
        </is>
      </c>
      <c r="L809" s="29">
        <f>IF(D809="NCM/SH","",COUNTIF($D$5:$D$1506,D809))</f>
        <v/>
      </c>
    </row>
    <row r="810" ht="14.45" customHeight="1" thickBot="1">
      <c r="A810" s="1" t="inlineStr">
        <is>
          <t>18Alimentos</t>
        </is>
      </c>
      <c r="B810" s="98" t="inlineStr">
        <is>
          <t>21.0</t>
        </is>
      </c>
      <c r="C810" s="163" t="inlineStr">
        <is>
          <t>17.021.00</t>
        </is>
      </c>
      <c r="D810" s="163" t="n">
        <v>403</v>
      </c>
      <c r="E810" s="163" t="n">
        <v>45.4</v>
      </c>
      <c r="F810" s="163" t="n">
        <v>68.17</v>
      </c>
      <c r="G810" s="163" t="n">
        <v>62.92</v>
      </c>
      <c r="H810" s="163" t="n">
        <v>54.16</v>
      </c>
      <c r="I810" s="163" t="inlineStr">
        <is>
          <t>Iogurte e leite fermentado em recipiente de conteúdo inferior ou igual a 2 litros, exceto o item classificado no CEST 17.022.00</t>
        </is>
      </c>
      <c r="J810" s="38" t="inlineStr">
        <is>
          <t>Lei nº 1.810, art. 49, § 1º, III</t>
        </is>
      </c>
      <c r="K810" s="43" t="inlineStr">
        <is>
          <t>(Itens 21.0 e 21.1: novas redações dadas pelo Decreto nº 15.295/2019. Efeitos a partir de 09.10.2019.)</t>
        </is>
      </c>
      <c r="L810" s="29">
        <f>IF(D810="NCM/SH","",COUNTIF($D$5:$D$1506,D810))</f>
        <v/>
      </c>
    </row>
    <row r="811" ht="15.75" customHeight="1" thickBot="1">
      <c r="A811" s="1" t="inlineStr">
        <is>
          <t>18Alimentos</t>
        </is>
      </c>
      <c r="B811" s="165" t="inlineStr">
        <is>
          <t>21.1</t>
        </is>
      </c>
      <c r="C811" s="35" t="inlineStr">
        <is>
          <t>17.021.01</t>
        </is>
      </c>
      <c r="D811" s="35" t="n">
        <v>403</v>
      </c>
      <c r="E811" s="35" t="n">
        <v>45.4</v>
      </c>
      <c r="F811" s="35" t="n">
        <v>68.17</v>
      </c>
      <c r="G811" s="35" t="n">
        <v>62.92</v>
      </c>
      <c r="H811" s="35" t="n">
        <v>54.16</v>
      </c>
      <c r="I811" s="35" t="inlineStr">
        <is>
          <t>Iogurte e leite fermentado em recipiente de conteúdo superior a 2 litros, exceto o item classificado no CEST 17.022.00</t>
        </is>
      </c>
      <c r="J811" s="38" t="inlineStr">
        <is>
          <t>Lei nº 1.810, art. 49, § 1º, III</t>
        </is>
      </c>
      <c r="K811" s="43" t="inlineStr">
        <is>
          <t>(Itens 21.0 e 21.1: novas redações dadas pelo Decreto nº 15.295/2019. Efeitos a partir de 09.10.2019.)</t>
        </is>
      </c>
      <c r="L811" s="29">
        <f>IF(D811="NCM/SH","",COUNTIF($D$5:$D$1506,D811))</f>
        <v/>
      </c>
    </row>
    <row r="812" ht="15.75" customHeight="1" thickBot="1">
      <c r="A812" s="1" t="inlineStr">
        <is>
          <t>18Alimentos</t>
        </is>
      </c>
      <c r="B812" s="165" t="inlineStr">
        <is>
          <t>22.0</t>
        </is>
      </c>
      <c r="C812" s="35" t="inlineStr">
        <is>
          <t>17.022.00</t>
        </is>
      </c>
      <c r="D812" s="35" t="inlineStr">
        <is>
          <t>0403.90.00</t>
        </is>
      </c>
      <c r="E812" s="35" t="n">
        <v>45.4</v>
      </c>
      <c r="F812" s="35" t="n">
        <v>68.17</v>
      </c>
      <c r="G812" s="35" t="n">
        <v>62.92</v>
      </c>
      <c r="H812" s="35" t="n">
        <v>54.16</v>
      </c>
      <c r="I812" s="35" t="inlineStr">
        <is>
          <t xml:space="preserve">Coalhada </t>
        </is>
      </c>
      <c r="J812" s="38" t="inlineStr">
        <is>
          <t>Lei nº 1.810, art. 49, § 1º, XXIX</t>
        </is>
      </c>
      <c r="L812" s="29">
        <f>IF(D812="NCM/SH","",COUNTIF($D$5:$D$1506,D812))</f>
        <v/>
      </c>
    </row>
    <row r="813" ht="15.75" customHeight="1" thickBot="1">
      <c r="A813" s="1" t="inlineStr">
        <is>
          <t>18Alimentos</t>
        </is>
      </c>
      <c r="B813" s="165" t="inlineStr">
        <is>
          <t>23.0</t>
        </is>
      </c>
      <c r="C813" s="35" t="inlineStr">
        <is>
          <t>17.023.00</t>
        </is>
      </c>
      <c r="D813" s="35" t="n">
        <v>406</v>
      </c>
      <c r="E813" s="35" t="n">
        <v>45.4</v>
      </c>
      <c r="F813" s="35" t="n">
        <v>68.17</v>
      </c>
      <c r="G813" s="35" t="n">
        <v>62.92</v>
      </c>
      <c r="H813" s="35" t="n">
        <v>54.16</v>
      </c>
      <c r="I813" s="35" t="inlineStr">
        <is>
          <t>Requeijão e similares, em recipiente de conteúdo inferior ou igual a 1 kg, exceto as embalagens individuais de conteúdo inferior ou igual a 10 g</t>
        </is>
      </c>
      <c r="J813" s="38" t="inlineStr">
        <is>
          <t>Lei nº 1.810, art. 49, § 1º, XXIX</t>
        </is>
      </c>
      <c r="L813" s="29">
        <f>IF(D813="NCM/SH","",COUNTIF($D$5:$D$1506,D813))</f>
        <v/>
      </c>
    </row>
    <row r="814" ht="15.75" customHeight="1" thickBot="1">
      <c r="A814" s="1" t="inlineStr">
        <is>
          <t>18Alimentos</t>
        </is>
      </c>
      <c r="B814" s="165" t="inlineStr">
        <is>
          <t>23.1</t>
        </is>
      </c>
      <c r="C814" s="35" t="inlineStr">
        <is>
          <t>17.023.01</t>
        </is>
      </c>
      <c r="D814" s="35" t="n">
        <v>406</v>
      </c>
      <c r="E814" s="35" t="n">
        <v>45.4</v>
      </c>
      <c r="F814" s="35" t="n">
        <v>68.17</v>
      </c>
      <c r="G814" s="35" t="n">
        <v>62.92</v>
      </c>
      <c r="H814" s="35" t="n">
        <v>54.16</v>
      </c>
      <c r="I814" s="35" t="inlineStr">
        <is>
          <t>Requeijão e similares, em recipiente de conteúdo superior a 1 kg</t>
        </is>
      </c>
      <c r="J814" s="40" t="inlineStr">
        <is>
          <t>Lei nº 1.810, art. 49, § 1º, XXIX</t>
        </is>
      </c>
      <c r="L814" s="29">
        <f>IF(D814="NCM/SH","",COUNTIF($D$5:$D$1506,D814))</f>
        <v/>
      </c>
    </row>
    <row r="815" ht="15.75" customHeight="1" thickBot="1">
      <c r="A815" s="1" t="inlineStr">
        <is>
          <t>18Alimentos</t>
        </is>
      </c>
      <c r="B815" s="78" t="inlineStr">
        <is>
          <t>24.0</t>
        </is>
      </c>
      <c r="C815" s="48" t="inlineStr">
        <is>
          <t>17.024.00</t>
        </is>
      </c>
      <c r="D815" s="48" t="n">
        <v>406</v>
      </c>
      <c r="E815" s="48" t="n">
        <v>45.4</v>
      </c>
      <c r="F815" s="48" t="n">
        <v>68.17</v>
      </c>
      <c r="G815" s="48" t="n">
        <v>62.92</v>
      </c>
      <c r="H815" s="48" t="n">
        <v>54.16</v>
      </c>
      <c r="I815" s="48" t="inlineStr">
        <is>
          <t>Queijos, exceto os dos CEST 17.024.01, 17.024.02, 17.024.03, 17.024.04 e 17.024.05</t>
        </is>
      </c>
      <c r="J815" s="40" t="inlineStr">
        <is>
          <t>Lei nº 1.810, art. 49, § 1º, XXIX</t>
        </is>
      </c>
      <c r="K815" s="47" t="inlineStr">
        <is>
          <t>(Item 24.0: nova redação pelo Decreto nº 16.048/2022. Efeitos a partir de 1º.9.2022.)</t>
        </is>
      </c>
      <c r="L815" s="29">
        <f>IF(D815="NCM/SH","",COUNTIF($D$5:$D$1506,D815))</f>
        <v/>
      </c>
    </row>
    <row r="816" ht="15.75" customHeight="1" thickBot="1">
      <c r="A816" s="1" t="inlineStr">
        <is>
          <t>18Alimentos</t>
        </is>
      </c>
      <c r="B816" s="78" t="inlineStr">
        <is>
          <t>24.1</t>
        </is>
      </c>
      <c r="C816" s="48" t="inlineStr">
        <is>
          <t>17.024.01</t>
        </is>
      </c>
      <c r="D816" s="48" t="inlineStr">
        <is>
          <t>0406.10.10</t>
        </is>
      </c>
      <c r="E816" s="48" t="n">
        <v>45.4</v>
      </c>
      <c r="F816" s="48" t="n">
        <v>68.17</v>
      </c>
      <c r="G816" s="48" t="n">
        <v>62.92</v>
      </c>
      <c r="H816" s="48" t="n">
        <v>54.16</v>
      </c>
      <c r="I816" s="48" t="inlineStr">
        <is>
          <t>Queijo muçarela</t>
        </is>
      </c>
      <c r="J816" s="37" t="inlineStr">
        <is>
          <t>Lei nº 1.810, art. 49, § 1º, XXIX</t>
        </is>
      </c>
      <c r="K816" s="43" t="inlineStr">
        <is>
          <t>(Item 24.1: acrescentado Decreto nº 14.645/2016. Efeitos a partir de 1º.01.2017.)</t>
        </is>
      </c>
      <c r="L816" s="29">
        <f>IF(D816="NCM/SH","",COUNTIF($D$5:$D$1506,D816))</f>
        <v/>
      </c>
    </row>
    <row r="817" ht="15.75" customHeight="1" thickBot="1">
      <c r="A817" s="1" t="inlineStr">
        <is>
          <t>18Alimentos</t>
        </is>
      </c>
      <c r="B817" s="78" t="inlineStr">
        <is>
          <t>24.2</t>
        </is>
      </c>
      <c r="C817" s="48" t="inlineStr">
        <is>
          <t>17. 024.02</t>
        </is>
      </c>
      <c r="D817" s="48" t="inlineStr">
        <is>
          <t>0406.10.90</t>
        </is>
      </c>
      <c r="E817" s="48" t="n">
        <v>45.4</v>
      </c>
      <c r="F817" s="48" t="n">
        <v>68.17</v>
      </c>
      <c r="G817" s="48" t="n">
        <v>62.92</v>
      </c>
      <c r="H817" s="48" t="n">
        <v>54.16</v>
      </c>
      <c r="I817" s="48" t="inlineStr">
        <is>
          <t>Queijo minas frescal</t>
        </is>
      </c>
      <c r="J817" s="37" t="inlineStr">
        <is>
          <t>Lei nº 1.810, art. 49, § 1º, XXIX</t>
        </is>
      </c>
      <c r="K817" s="43" t="inlineStr">
        <is>
          <t>(Item 24.2: acrescentado Decreto nº 14.645/2016. Efeitos a partir de 1º.01.2017.)</t>
        </is>
      </c>
      <c r="L817" s="29">
        <f>IF(D817="NCM/SH","",COUNTIF($D$5:$D$1506,D817))</f>
        <v/>
      </c>
    </row>
    <row r="818" ht="15.75" customHeight="1" thickBot="1">
      <c r="A818" s="1" t="inlineStr">
        <is>
          <t>18Alimentos</t>
        </is>
      </c>
      <c r="B818" s="78" t="inlineStr">
        <is>
          <t>24.3</t>
        </is>
      </c>
      <c r="C818" s="48" t="inlineStr">
        <is>
          <t>17. 024.03</t>
        </is>
      </c>
      <c r="D818" s="48" t="inlineStr">
        <is>
          <t>0406.10.90</t>
        </is>
      </c>
      <c r="E818" s="48" t="n">
        <v>45.4</v>
      </c>
      <c r="F818" s="48" t="n">
        <v>68.17</v>
      </c>
      <c r="G818" s="48" t="n">
        <v>62.92</v>
      </c>
      <c r="H818" s="48" t="n">
        <v>54.16</v>
      </c>
      <c r="I818" s="48" t="inlineStr">
        <is>
          <t>Queijo ricota</t>
        </is>
      </c>
      <c r="J818" s="37" t="inlineStr">
        <is>
          <t>Lei nº 1.810, art. 49, § 1º, XXIX</t>
        </is>
      </c>
      <c r="K818" s="43" t="inlineStr">
        <is>
          <t>(Item 24.3: acrescentado Decreto nº 14.645/2016. Efeitos a partir de 1º.01.2017.)</t>
        </is>
      </c>
      <c r="L818" s="29">
        <f>IF(D818="NCM/SH","",COUNTIF($D$5:$D$1506,D818))</f>
        <v/>
      </c>
    </row>
    <row r="819" ht="15.75" customHeight="1" thickBot="1">
      <c r="A819" s="1" t="inlineStr">
        <is>
          <t>18Alimentos</t>
        </is>
      </c>
      <c r="B819" s="78" t="inlineStr">
        <is>
          <t>24.4</t>
        </is>
      </c>
      <c r="C819" s="48" t="inlineStr">
        <is>
          <t>17. 024.04</t>
        </is>
      </c>
      <c r="D819" s="48" t="inlineStr">
        <is>
          <t>0406.10.90</t>
        </is>
      </c>
      <c r="E819" s="48" t="n">
        <v>45.4</v>
      </c>
      <c r="F819" s="48" t="n">
        <v>68.17</v>
      </c>
      <c r="G819" s="48" t="n">
        <v>62.92</v>
      </c>
      <c r="H819" s="48" t="n">
        <v>54.16</v>
      </c>
      <c r="I819" s="48" t="inlineStr">
        <is>
          <t>Queijo petit suisse</t>
        </is>
      </c>
      <c r="J819" s="37" t="inlineStr">
        <is>
          <t>Lei nº 1.810, art. 49, § 1º, XXIX</t>
        </is>
      </c>
      <c r="K819" s="43" t="inlineStr">
        <is>
          <t>(Item 24.4: acrescentado Decreto nº 14.645/2016. Efeitos a partir de 1º.01.2017.)</t>
        </is>
      </c>
      <c r="L819" s="29">
        <f>IF(D819="NCM/SH","",COUNTIF($D$5:$D$1506,D819))</f>
        <v/>
      </c>
    </row>
    <row r="820" ht="15.75" customHeight="1" thickBot="1">
      <c r="A820" s="1" t="inlineStr">
        <is>
          <t>18Alimentos</t>
        </is>
      </c>
      <c r="B820" s="165" t="inlineStr">
        <is>
          <t>24.5</t>
        </is>
      </c>
      <c r="C820" s="35" t="inlineStr">
        <is>
          <t>17.024.05</t>
        </is>
      </c>
      <c r="D820" s="35" t="inlineStr">
        <is>
          <t>0406.10.90</t>
        </is>
      </c>
      <c r="E820" s="48" t="n">
        <v>45.4</v>
      </c>
      <c r="F820" s="48" t="n">
        <v>68.17</v>
      </c>
      <c r="G820" s="48" t="n">
        <v>62.92</v>
      </c>
      <c r="H820" s="48" t="n">
        <v>54.16</v>
      </c>
      <c r="I820" s="35" t="inlineStr">
        <is>
          <t>Queijo cremoso (“cream cheese”)</t>
        </is>
      </c>
      <c r="J820" s="37" t="inlineStr">
        <is>
          <t>Lei nº 1.810, art. 49, § 1º, XXIX</t>
        </is>
      </c>
      <c r="K820" s="47" t="inlineStr">
        <is>
          <t>(Item 24.5: nova redação dada pelo Decreto nº 16.104/2023. Efeitos a partir de 1º.5.2023.)</t>
        </is>
      </c>
      <c r="L820" s="29">
        <f>IF(D820="NCM/SH","",COUNTIF($D$5:$D$1506,D820))</f>
        <v/>
      </c>
    </row>
    <row r="821" ht="15.75" customHeight="1" thickBot="1">
      <c r="A821" s="1" t="inlineStr">
        <is>
          <t>18Alimentos</t>
        </is>
      </c>
      <c r="B821" s="165" t="inlineStr">
        <is>
          <t>25.0</t>
        </is>
      </c>
      <c r="C821" s="35" t="inlineStr">
        <is>
          <t>17.025.00</t>
        </is>
      </c>
      <c r="D821" s="35" t="inlineStr">
        <is>
          <t>0405.10.00</t>
        </is>
      </c>
      <c r="E821" s="35" t="n">
        <v>45.42</v>
      </c>
      <c r="F821" s="35" t="n">
        <v>68.2</v>
      </c>
      <c r="G821" s="35" t="n">
        <v>62.94</v>
      </c>
      <c r="H821" s="35" t="n">
        <v>54.18</v>
      </c>
      <c r="I821" s="35" t="inlineStr">
        <is>
          <t xml:space="preserve">Manteiga, em embalagem de conteúdo inferior ou igual a 1 kg, exceto as embalagens individuais de conteúdo inferior ou igual a 10 g </t>
        </is>
      </c>
      <c r="J821" s="163" t="inlineStr">
        <is>
          <t>Lei nº 1.810, art. 49, § 1º, XXIX</t>
        </is>
      </c>
      <c r="L821" s="29">
        <f>IF(D821="NCM/SH","",COUNTIF($D$5:$D$1506,D821))</f>
        <v/>
      </c>
    </row>
    <row r="822" ht="15.75" customHeight="1" thickBot="1">
      <c r="A822" s="1" t="inlineStr">
        <is>
          <t>18Alimentos</t>
        </is>
      </c>
      <c r="B822" s="165" t="inlineStr">
        <is>
          <t>25.1</t>
        </is>
      </c>
      <c r="C822" s="35" t="inlineStr">
        <is>
          <t>17.025.01</t>
        </is>
      </c>
      <c r="D822" s="35" t="inlineStr">
        <is>
          <t>0405.10.00</t>
        </is>
      </c>
      <c r="E822" s="35" t="n">
        <v>45.42</v>
      </c>
      <c r="F822" s="35" t="n">
        <v>68.2</v>
      </c>
      <c r="G822" s="35" t="n">
        <v>62.94</v>
      </c>
      <c r="H822" s="35" t="n">
        <v>54.18</v>
      </c>
      <c r="I822" s="35" t="inlineStr">
        <is>
          <t xml:space="preserve">Manteiga, em embalagem de conteúdo superior a 1 kg </t>
        </is>
      </c>
      <c r="J822" s="44" t="inlineStr">
        <is>
          <t>Lei nº 1.810, art. 49, § 1º, XXIX</t>
        </is>
      </c>
      <c r="L822" s="29">
        <f>IF(D822="NCM/SH","",COUNTIF($D$5:$D$1506,D822))</f>
        <v/>
      </c>
    </row>
    <row r="823" ht="15.75" customHeight="1" thickBot="1">
      <c r="A823" s="1" t="inlineStr">
        <is>
          <t>18Alimentos</t>
        </is>
      </c>
      <c r="B823" s="78" t="inlineStr">
        <is>
          <t>25.2</t>
        </is>
      </c>
      <c r="C823" s="48" t="inlineStr">
        <is>
          <t>17.025.02</t>
        </is>
      </c>
      <c r="D823" s="48" t="inlineStr">
        <is>
          <t>0405.90.90</t>
        </is>
      </c>
      <c r="E823" s="48" t="n">
        <v>45.42</v>
      </c>
      <c r="F823" s="48" t="n">
        <v>68.2</v>
      </c>
      <c r="G823" s="48" t="n">
        <v>62.94</v>
      </c>
      <c r="H823" s="48" t="n">
        <v>54.18</v>
      </c>
      <c r="I823" s="48" t="inlineStr">
        <is>
          <t>Manteiga de garrafa</t>
        </is>
      </c>
      <c r="J823" s="44" t="inlineStr">
        <is>
          <t>Lei nº 1.810, art. 49, § 1º, XXIX</t>
        </is>
      </c>
      <c r="K823" s="43" t="inlineStr">
        <is>
          <t>(Item 25.2: acrescentado pelo Decreto nº 14.645/2016. Efeitos a partir de 1º.01.2017.)</t>
        </is>
      </c>
      <c r="L823" s="29">
        <f>IF(D823="NCM/SH","",COUNTIF($D$5:$D$1506,D823))</f>
        <v/>
      </c>
    </row>
    <row r="824" ht="15.75" customHeight="1" thickBot="1">
      <c r="A824" s="1" t="inlineStr">
        <is>
          <t>18Alimentos</t>
        </is>
      </c>
      <c r="B824" s="78" t="inlineStr">
        <is>
          <t>26.0</t>
        </is>
      </c>
      <c r="C824" s="48" t="inlineStr">
        <is>
          <t>17.026.00</t>
        </is>
      </c>
      <c r="D824" s="48" t="inlineStr">
        <is>
          <t>1517.10.00</t>
        </is>
      </c>
      <c r="E824" s="48" t="n">
        <v>45.42</v>
      </c>
      <c r="F824" s="48" t="n">
        <v>68.2</v>
      </c>
      <c r="G824" s="48" t="n">
        <v>62.94</v>
      </c>
      <c r="H824" s="48" t="n">
        <v>54.18</v>
      </c>
      <c r="I824" s="48" t="inlineStr">
        <is>
          <t>Margarina e creme vegetal, em recipiente de conteúdo inferior ou igual a 500 g, exceto as embalagens individuais de conteúdo inferior ou igual a 10 g</t>
        </is>
      </c>
      <c r="J824" s="163" t="inlineStr">
        <is>
          <t>Lei nº 1.810, art. 49, § 1º, XXIX</t>
        </is>
      </c>
      <c r="L824" s="29">
        <f>IF(D824="NCM/SH","",COUNTIF($D$5:$D$1506,D824))</f>
        <v/>
      </c>
    </row>
    <row r="825" ht="15.75" customHeight="1" thickBot="1">
      <c r="A825" s="1" t="inlineStr">
        <is>
          <t>18Alimentos</t>
        </is>
      </c>
      <c r="B825" s="78" t="inlineStr">
        <is>
          <t>27.0</t>
        </is>
      </c>
      <c r="C825" s="48" t="inlineStr">
        <is>
          <t>17.027.00</t>
        </is>
      </c>
      <c r="D825" s="48" t="inlineStr">
        <is>
          <t>1517.10.00</t>
        </is>
      </c>
      <c r="E825" s="48" t="n">
        <v>45.42</v>
      </c>
      <c r="F825" s="48" t="n">
        <v>68.2</v>
      </c>
      <c r="G825" s="48" t="n">
        <v>62.94</v>
      </c>
      <c r="H825" s="48" t="n">
        <v>54.18</v>
      </c>
      <c r="I825" s="48" t="inlineStr">
        <is>
          <t>Margarina e creme vegetal, em recipiente de conteúdo superior a 500 g e inferior ou igual a 1 kg, exceto as embalagens individuais de conteúdo inferior ou igual a   10 g</t>
        </is>
      </c>
      <c r="J825" s="44" t="inlineStr">
        <is>
          <t>Lei nº 1.810, art. 49, § 1º, XXIX</t>
        </is>
      </c>
      <c r="L825" s="29">
        <f>IF(D825="NCM/SH","",COUNTIF($D$5:$D$1506,D825))</f>
        <v/>
      </c>
    </row>
    <row r="826" ht="15.75" customHeight="1" thickBot="1">
      <c r="A826" s="1" t="inlineStr">
        <is>
          <t>18Alimentos</t>
        </is>
      </c>
      <c r="B826" s="78" t="inlineStr">
        <is>
          <t>27.1</t>
        </is>
      </c>
      <c r="C826" s="48" t="inlineStr">
        <is>
          <t>17.027.01</t>
        </is>
      </c>
      <c r="D826" s="48" t="inlineStr">
        <is>
          <t>1517.10.00</t>
        </is>
      </c>
      <c r="E826" s="48" t="n">
        <v>45.42</v>
      </c>
      <c r="F826" s="48" t="n">
        <v>68.2</v>
      </c>
      <c r="G826" s="48" t="n">
        <v>62.94</v>
      </c>
      <c r="H826" s="48" t="n">
        <v>54.18</v>
      </c>
      <c r="I826" s="48" t="inlineStr">
        <is>
          <t>Margarina e creme vegetal, em recipiente de conteúdo superior a de 1 kg</t>
        </is>
      </c>
      <c r="J826" s="164" t="inlineStr">
        <is>
          <t>Lei nº 1.810, art. 49, § 1º, XXIX</t>
        </is>
      </c>
      <c r="K826" s="43" t="inlineStr">
        <is>
          <t>(Itens 26.0, 27.0 e 27.1: nova redação dada pelo Decreto nº 14.645/2016. Efeitos a partir de 1º.01.2017.)</t>
        </is>
      </c>
      <c r="L826" s="29">
        <f>IF(D826="NCM/SH","",COUNTIF($D$5:$D$1506,D826))</f>
        <v/>
      </c>
    </row>
    <row r="827" ht="15.75" customHeight="1" thickBot="1">
      <c r="A827" s="1" t="inlineStr">
        <is>
          <t>18Alimentos</t>
        </is>
      </c>
      <c r="B827" s="165" t="inlineStr">
        <is>
          <t>27.2</t>
        </is>
      </c>
      <c r="C827" s="35" t="inlineStr">
        <is>
          <t>17.027.02</t>
        </is>
      </c>
      <c r="D827" s="35" t="inlineStr">
        <is>
          <t>1517.90</t>
        </is>
      </c>
      <c r="E827" s="35" t="n">
        <v>45.42</v>
      </c>
      <c r="F827" s="35" t="n">
        <v>68.2</v>
      </c>
      <c r="G827" s="35" t="n">
        <v>62.94</v>
      </c>
      <c r="H827" s="35" t="n">
        <v>54.18</v>
      </c>
      <c r="I827" s="35" t="inlineStr">
        <is>
          <t>Outras margarinas e cremes vegetais em recipiente de conteúdo inferior a 1 kg, exceto as embalagens individuais de conteúdo inferior ou igual a 10 g</t>
        </is>
      </c>
      <c r="J827" s="35" t="inlineStr">
        <is>
          <t>Lei nº 1.810, art. 49, § 1º, XXIX</t>
        </is>
      </c>
      <c r="L827" s="29">
        <f>IF(D827="NCM/SH","",COUNTIF($D$5:$D$1506,D827))</f>
        <v/>
      </c>
    </row>
    <row r="828" ht="15.75" customHeight="1" thickBot="1">
      <c r="A828" s="1" t="inlineStr">
        <is>
          <t>18Alimentos</t>
        </is>
      </c>
      <c r="B828" s="165" t="inlineStr">
        <is>
          <t>28.0</t>
        </is>
      </c>
      <c r="C828" s="35" t="inlineStr">
        <is>
          <t>17.028.00</t>
        </is>
      </c>
      <c r="D828" s="35" t="inlineStr">
        <is>
          <t>1516.20.00</t>
        </is>
      </c>
      <c r="E828" s="35" t="n">
        <v>45.42</v>
      </c>
      <c r="F828" s="35" t="n">
        <v>68.2</v>
      </c>
      <c r="G828" s="35" t="n">
        <v>62.94</v>
      </c>
      <c r="H828" s="35" t="n">
        <v>54.18</v>
      </c>
      <c r="I828" s="35" t="inlineStr">
        <is>
          <t>Gorduras e óleos vegetais e respectivas frações, parcial ou totalmente hidrogenados, interesterificados, reesterificados ou elaidinizados, mesmo refinados, mas não preparados de outro modo, em recipiente de conteúdo inferior ou igual a 1 kg, exceto as embalagens individuais de conteúdo inferior ou igual a 10 g</t>
        </is>
      </c>
      <c r="J828" s="38" t="inlineStr">
        <is>
          <t>Lei nº 1.810, art. 49, § 1º, XXIX</t>
        </is>
      </c>
      <c r="L828" s="29">
        <f>IF(D828="NCM/SH","",COUNTIF($D$5:$D$1506,D828))</f>
        <v/>
      </c>
    </row>
    <row r="829" ht="15.75" customHeight="1" thickBot="1">
      <c r="A829" s="1" t="inlineStr">
        <is>
          <t>18Alimentos</t>
        </is>
      </c>
      <c r="B829" s="165" t="inlineStr">
        <is>
          <t>28.1</t>
        </is>
      </c>
      <c r="C829" s="35" t="inlineStr">
        <is>
          <t>17.028.01</t>
        </is>
      </c>
      <c r="D829" s="35" t="inlineStr">
        <is>
          <t>1516.20.00</t>
        </is>
      </c>
      <c r="E829" s="35" t="n">
        <v>45.42</v>
      </c>
      <c r="F829" s="35" t="n">
        <v>68.2</v>
      </c>
      <c r="G829" s="35" t="n">
        <v>62.94</v>
      </c>
      <c r="H829" s="35" t="n">
        <v>54.18</v>
      </c>
      <c r="I829" s="35" t="inlineStr">
        <is>
          <t>Gorduras e óleos vegetais e respectivas frações, parcial ou totalmente hidrogenados, interesterificados, reesterificados ou elaidinizados, mesmo refinados, mas não preparados de outro modo, em recipiente de conteúdo superior a 1 kg, exceto as embalagens individuais de conteúdo inferior ou igual a 10 g</t>
        </is>
      </c>
      <c r="J829" s="38" t="inlineStr">
        <is>
          <t>Lei nº 1.810, art. 49, § 1º, XXIX</t>
        </is>
      </c>
      <c r="L829" s="29">
        <f>IF(D829="NCM/SH","",COUNTIF($D$5:$D$1506,D829))</f>
        <v/>
      </c>
    </row>
    <row r="830" ht="15.75" customHeight="1" thickBot="1">
      <c r="A830" s="1" t="inlineStr">
        <is>
          <t>18Alimentos</t>
        </is>
      </c>
      <c r="B830" s="165" t="inlineStr">
        <is>
          <t>29.0</t>
        </is>
      </c>
      <c r="C830" s="35" t="inlineStr">
        <is>
          <t>17.029.00</t>
        </is>
      </c>
      <c r="D830" s="35" t="inlineStr">
        <is>
          <t>1901.90.20</t>
        </is>
      </c>
      <c r="E830" s="35" t="n">
        <v>45.4</v>
      </c>
      <c r="F830" s="35" t="n">
        <v>68.17</v>
      </c>
      <c r="G830" s="35" t="n">
        <v>62.92</v>
      </c>
      <c r="H830" s="35" t="n">
        <v>54.16</v>
      </c>
      <c r="I830" s="48" t="inlineStr">
        <is>
          <t>Doces de leite</t>
        </is>
      </c>
      <c r="J830" s="37" t="inlineStr">
        <is>
          <t>Lei nº 1.810, art. 49, § 1º, XXIX</t>
        </is>
      </c>
      <c r="L830" s="29">
        <f>IF(D830="NCM/SH","",COUNTIF($D$5:$D$1506,D830))</f>
        <v/>
      </c>
    </row>
    <row r="831" ht="14.45" customHeight="1">
      <c r="A831" s="1" t="inlineStr">
        <is>
          <t>18Alimentos</t>
        </is>
      </c>
      <c r="B831" s="98" t="inlineStr">
        <is>
          <t>30.0</t>
        </is>
      </c>
      <c r="C831" s="163" t="inlineStr">
        <is>
          <t>17.030.00</t>
        </is>
      </c>
      <c r="D831" s="37" t="inlineStr">
        <is>
          <t>1904.10.00</t>
        </is>
      </c>
      <c r="E831" s="163" t="n">
        <v>58.72</v>
      </c>
      <c r="F831" s="163" t="n">
        <v>83.58</v>
      </c>
      <c r="G831" s="163" t="n">
        <v>77.84</v>
      </c>
      <c r="H831" s="163" t="n">
        <v>68.28</v>
      </c>
      <c r="I831" s="163" t="inlineStr">
        <is>
          <t>Produtos à base de cereais, obtidos por expansão ou torrefação</t>
        </is>
      </c>
      <c r="J831" s="40" t="inlineStr">
        <is>
          <t>Lei nº 1.810, art. 49, § 1º, XXIX</t>
        </is>
      </c>
      <c r="L831" s="29">
        <f>IF(D831="NCM/SH","",COUNTIF($D$5:$D$1506,D831))</f>
        <v/>
      </c>
    </row>
    <row r="832" ht="15.75" customHeight="1" thickBot="1">
      <c r="A832" s="1" t="inlineStr">
        <is>
          <t>18Alimentos</t>
        </is>
      </c>
      <c r="B832" s="99" t="n">
        <v>30</v>
      </c>
      <c r="C832" s="164" t="inlineStr">
        <is>
          <t>17.030.00</t>
        </is>
      </c>
      <c r="D832" s="35" t="inlineStr">
        <is>
          <t>1904.90.00</t>
        </is>
      </c>
      <c r="E832" s="164" t="n">
        <v>58.72</v>
      </c>
      <c r="F832" s="164" t="n">
        <v>83.58</v>
      </c>
      <c r="G832" s="164" t="n">
        <v>77.84</v>
      </c>
      <c r="H832" s="164" t="n">
        <v>68.28</v>
      </c>
      <c r="I832" s="164" t="inlineStr">
        <is>
          <t>Produtos à base de cereais, obtidos por expansão ou torrefação</t>
        </is>
      </c>
      <c r="J832" s="41" t="inlineStr">
        <is>
          <t>Lei nº 1.810, art. 49, § 1º, XXIX</t>
        </is>
      </c>
      <c r="L832" s="29">
        <f>IF(D832="NCM/SH","",COUNTIF($D$5:$D$1506,D832))</f>
        <v/>
      </c>
    </row>
    <row r="833" ht="15.75" customHeight="1" thickBot="1">
      <c r="A833" s="1" t="inlineStr">
        <is>
          <t>18Alimentos</t>
        </is>
      </c>
      <c r="B833" s="165" t="inlineStr">
        <is>
          <t>31.0</t>
        </is>
      </c>
      <c r="C833" s="35" t="inlineStr">
        <is>
          <t>17.031.00</t>
        </is>
      </c>
      <c r="D833" s="35" t="inlineStr">
        <is>
          <t>1905.90.90</t>
        </is>
      </c>
      <c r="E833" s="35" t="n">
        <v>58.72</v>
      </c>
      <c r="F833" s="35" t="n">
        <v>83.58</v>
      </c>
      <c r="G833" s="35" t="n">
        <v>77.84</v>
      </c>
      <c r="H833" s="35" t="n">
        <v>68.28</v>
      </c>
      <c r="I833" s="35" t="inlineStr">
        <is>
          <t>Salgadinhos diversos, exceto os classificados no CEST 17.031.01 e 17.031.02</t>
        </is>
      </c>
      <c r="J833" s="38" t="inlineStr">
        <is>
          <t>Lei nº 1.810, art. 49, § 1º, III</t>
        </is>
      </c>
      <c r="K833" s="43" t="inlineStr">
        <is>
          <t>(Item 31.0: nova redação dada pelo Decreto nº 15.520/2020. Efeitos a contar de 1º.03.2020.)</t>
        </is>
      </c>
      <c r="L833" s="29">
        <f>IF(D833="NCM/SH","",COUNTIF($D$5:$D$1506,D833))</f>
        <v/>
      </c>
    </row>
    <row r="834" ht="15.75" customHeight="1" thickBot="1">
      <c r="A834" s="1" t="inlineStr">
        <is>
          <t>18Alimentos</t>
        </is>
      </c>
      <c r="B834" s="165" t="inlineStr">
        <is>
          <t>31.1</t>
        </is>
      </c>
      <c r="C834" s="35" t="inlineStr">
        <is>
          <t>17.031.01</t>
        </is>
      </c>
      <c r="D834" s="35" t="inlineStr">
        <is>
          <t>1905.90.90</t>
        </is>
      </c>
      <c r="E834" s="35" t="n">
        <v>58.72</v>
      </c>
      <c r="F834" s="35" t="n">
        <v>83.58</v>
      </c>
      <c r="G834" s="35" t="n">
        <v>77.84</v>
      </c>
      <c r="H834" s="35" t="n">
        <v>68.28</v>
      </c>
      <c r="I834" s="35" t="inlineStr">
        <is>
          <t>Salgadinhos diversos, derivados de farinha de trigo</t>
        </is>
      </c>
      <c r="J834" s="40" t="inlineStr">
        <is>
          <t>Lei nº 1.810, art. 49, § 1º, III</t>
        </is>
      </c>
      <c r="K834" s="43" t="inlineStr">
        <is>
          <t>(Item 31.1: acrescentado pelo Decreto nº 15.295/2019. Efeitos a partir de 09.10.2019.)</t>
        </is>
      </c>
      <c r="L834" s="29">
        <f>IF(D834="NCM/SH","",COUNTIF($D$5:$D$1506,D834))</f>
        <v/>
      </c>
    </row>
    <row r="835" ht="15.75" customHeight="1" thickBot="1">
      <c r="A835" s="1" t="inlineStr">
        <is>
          <t>18Alimentos</t>
        </is>
      </c>
      <c r="B835" s="165" t="inlineStr">
        <is>
          <t>31.2</t>
        </is>
      </c>
      <c r="C835" s="35" t="inlineStr">
        <is>
          <t>17.031.02</t>
        </is>
      </c>
      <c r="D835" s="35" t="inlineStr">
        <is>
          <t>1905.90.90</t>
        </is>
      </c>
      <c r="E835" s="35" t="n">
        <v>58.72</v>
      </c>
      <c r="F835" s="35" t="n">
        <v>83.58</v>
      </c>
      <c r="G835" s="35" t="n">
        <v>77.84</v>
      </c>
      <c r="H835" s="35" t="n">
        <v>68.28</v>
      </c>
      <c r="I835" s="35" t="inlineStr">
        <is>
          <t>Biscoitos de polvilho</t>
        </is>
      </c>
      <c r="J835" s="38" t="inlineStr">
        <is>
          <t>Lei nº 1.810, art. 49, § 1º, III</t>
        </is>
      </c>
      <c r="K835" s="43" t="inlineStr">
        <is>
          <t>(Item 31.2: acrescentado pelo Decreto nº 15.520/2020. Efeitos a contar de 1º.09.2020.)</t>
        </is>
      </c>
      <c r="L835" s="29">
        <f>IF(D835="NCM/SH","",COUNTIF($D$5:$D$1506,D835))</f>
        <v/>
      </c>
    </row>
    <row r="836">
      <c r="A836" s="1" t="inlineStr">
        <is>
          <t>18Alimentos</t>
        </is>
      </c>
      <c r="B836" s="98" t="inlineStr">
        <is>
          <t>32.0</t>
        </is>
      </c>
      <c r="C836" s="163" t="inlineStr">
        <is>
          <t>17.032.00</t>
        </is>
      </c>
      <c r="D836" s="37" t="inlineStr">
        <is>
          <t>2005.20.00</t>
        </is>
      </c>
      <c r="E836" s="163" t="n">
        <v>58.72</v>
      </c>
      <c r="F836" s="163" t="n">
        <v>83.58</v>
      </c>
      <c r="G836" s="163" t="n">
        <v>77.84</v>
      </c>
      <c r="H836" s="163" t="n">
        <v>68.28</v>
      </c>
      <c r="I836" s="163" t="inlineStr">
        <is>
          <t>Batata frita, inhame e mandioca fritos</t>
        </is>
      </c>
      <c r="J836" s="38" t="inlineStr">
        <is>
          <t>Lei nº 1.810, art. 49, § 1º, XXIX</t>
        </is>
      </c>
      <c r="L836" s="29">
        <f>IF(D836="NCM/SH","",COUNTIF($D$5:$D$1506,D836))</f>
        <v/>
      </c>
    </row>
    <row r="837" ht="15.75" customHeight="1" thickBot="1">
      <c r="A837" s="1" t="inlineStr">
        <is>
          <t>18Alimentos</t>
        </is>
      </c>
      <c r="B837" s="99" t="n">
        <v>32</v>
      </c>
      <c r="C837" s="164" t="inlineStr">
        <is>
          <t>17.032.00</t>
        </is>
      </c>
      <c r="D837" s="35" t="inlineStr">
        <is>
          <t>2005.9</t>
        </is>
      </c>
      <c r="E837" s="164" t="n">
        <v>58.72</v>
      </c>
      <c r="F837" s="164" t="n">
        <v>83.58</v>
      </c>
      <c r="G837" s="164" t="n">
        <v>77.84</v>
      </c>
      <c r="H837" s="164" t="n">
        <v>68.28</v>
      </c>
      <c r="I837" s="164" t="inlineStr">
        <is>
          <t>Batata frita, inhame e mandioca fritos</t>
        </is>
      </c>
      <c r="J837" s="38" t="inlineStr">
        <is>
          <t>Lei nº 1.810, art. 49, § 1º, XXIX</t>
        </is>
      </c>
      <c r="L837" s="29">
        <f>IF(D837="NCM/SH","",COUNTIF($D$5:$D$1506,D837))</f>
        <v/>
      </c>
    </row>
    <row r="838" ht="15.75" customHeight="1" thickBot="1">
      <c r="A838" s="1" t="inlineStr">
        <is>
          <t>18Alimentos</t>
        </is>
      </c>
      <c r="B838" s="165" t="inlineStr">
        <is>
          <t>33.0</t>
        </is>
      </c>
      <c r="C838" s="35" t="inlineStr">
        <is>
          <t>17.033.00</t>
        </is>
      </c>
      <c r="D838" s="35" t="inlineStr">
        <is>
          <t>2008.1</t>
        </is>
      </c>
      <c r="E838" s="35" t="n">
        <v>58.72</v>
      </c>
      <c r="F838" s="35" t="n">
        <v>83.58</v>
      </c>
      <c r="G838" s="35" t="n">
        <v>77.84</v>
      </c>
      <c r="H838" s="35" t="n">
        <v>68.28</v>
      </c>
      <c r="I838" s="35" t="inlineStr">
        <is>
          <t xml:space="preserve">Amendoim e castanhas tipo aperitivo, em embalagem de conteúdo inferior ou igual a 1 kg </t>
        </is>
      </c>
      <c r="J838" s="40" t="inlineStr">
        <is>
          <t>Lei nº 1.810, art. 49, § 1º, XXIX</t>
        </is>
      </c>
      <c r="L838" s="29">
        <f>IF(D838="NCM/SH","",COUNTIF($D$5:$D$1506,D838))</f>
        <v/>
      </c>
    </row>
    <row r="839" ht="15.75" customHeight="1" thickBot="1">
      <c r="A839" s="1" t="inlineStr">
        <is>
          <t>18Alimentos</t>
        </is>
      </c>
      <c r="B839" s="165" t="inlineStr">
        <is>
          <t>33.1</t>
        </is>
      </c>
      <c r="C839" s="35" t="inlineStr">
        <is>
          <t>17.033.01</t>
        </is>
      </c>
      <c r="D839" s="35" t="inlineStr">
        <is>
          <t>2008.1</t>
        </is>
      </c>
      <c r="E839" s="35" t="n">
        <v>58.72</v>
      </c>
      <c r="F839" s="35" t="n">
        <v>83.58</v>
      </c>
      <c r="G839" s="35" t="n">
        <v>77.84</v>
      </c>
      <c r="H839" s="35" t="n">
        <v>68.28</v>
      </c>
      <c r="I839" s="35" t="inlineStr">
        <is>
          <t>Amendoim e castanhas tipo aperitivo, em embalagem de conteúdo superior a 1 kg</t>
        </is>
      </c>
      <c r="J839" s="40" t="inlineStr">
        <is>
          <t>Lei nº 1.810, art. 49, § 1º, XXIX</t>
        </is>
      </c>
      <c r="L839" s="29">
        <f>IF(D839="NCM/SH","",COUNTIF($D$5:$D$1506,D839))</f>
        <v/>
      </c>
    </row>
    <row r="840" ht="15.75" customHeight="1" thickBot="1">
      <c r="A840" s="1" t="inlineStr">
        <is>
          <t>18Alimentos</t>
        </is>
      </c>
      <c r="B840" s="165" t="inlineStr">
        <is>
          <t>34.0</t>
        </is>
      </c>
      <c r="C840" s="35" t="inlineStr">
        <is>
          <t>17.034.00</t>
        </is>
      </c>
      <c r="D840" s="35" t="inlineStr">
        <is>
          <t>2103.20.10</t>
        </is>
      </c>
      <c r="E840" s="35" t="n">
        <v>52.43</v>
      </c>
      <c r="F840" s="35" t="n">
        <v>76.3</v>
      </c>
      <c r="G840" s="35" t="n">
        <v>70.8</v>
      </c>
      <c r="H840" s="35" t="n">
        <v>61.61</v>
      </c>
      <c r="I840" s="35" t="inlineStr">
        <is>
          <t xml:space="preserve">Catchup em embalagens imediatas de conteúdo inferior ou igual a 650 g, exceto as embalagens contendo envelopes individualizados (sachês) de conteúdo inferior ou igual a 10 g </t>
        </is>
      </c>
      <c r="J840" s="40" t="inlineStr">
        <is>
          <t>Lei nº 1.810, art. 49, § 1º, XXIX</t>
        </is>
      </c>
      <c r="L840" s="29">
        <f>IF(D840="NCM/SH","",COUNTIF($D$5:$D$1506,D840))</f>
        <v/>
      </c>
    </row>
    <row r="841" ht="14.45" customHeight="1">
      <c r="A841" s="1" t="inlineStr">
        <is>
          <t>18Alimentos</t>
        </is>
      </c>
      <c r="B841" s="98" t="inlineStr">
        <is>
          <t>35.0</t>
        </is>
      </c>
      <c r="C841" s="163" t="inlineStr">
        <is>
          <t>17.035.00</t>
        </is>
      </c>
      <c r="D841" s="37" t="inlineStr">
        <is>
          <t>2103.90.21</t>
        </is>
      </c>
      <c r="E841" s="163" t="n">
        <v>52.43</v>
      </c>
      <c r="F841" s="163" t="n">
        <v>76.3</v>
      </c>
      <c r="G841" s="163" t="n">
        <v>70.8</v>
      </c>
      <c r="H841" s="163" t="n">
        <v>61.61</v>
      </c>
      <c r="I841" s="163" t="inlineStr">
        <is>
          <t>Condimentos e temperos compostos, incluindo molho de pimenta e outros molhos, em embalagens imediatas de conteúdo inferior ou igual a 1 kg, exceto as embalagens contendo envelopes individualizados (sachês) de conteúdo inferior ou igual a 3 g</t>
        </is>
      </c>
      <c r="J841" s="40" t="inlineStr">
        <is>
          <t>Lei nº 1.810, art. 49, § 1º, XXIX</t>
        </is>
      </c>
      <c r="L841" s="29">
        <f>IF(D841="NCM/SH","",COUNTIF($D$5:$D$1506,D841))</f>
        <v/>
      </c>
    </row>
    <row r="842" ht="15.75" customHeight="1" thickBot="1">
      <c r="A842" s="1" t="inlineStr">
        <is>
          <t>18Alimentos</t>
        </is>
      </c>
      <c r="B842" s="99" t="n">
        <v>35</v>
      </c>
      <c r="C842" s="164" t="inlineStr">
        <is>
          <t>17.035.00</t>
        </is>
      </c>
      <c r="D842" s="35" t="inlineStr">
        <is>
          <t>2103.90.91</t>
        </is>
      </c>
      <c r="E842" s="164" t="n">
        <v>52.43</v>
      </c>
      <c r="F842" s="164" t="n">
        <v>76.3</v>
      </c>
      <c r="G842" s="164" t="n">
        <v>70.8</v>
      </c>
      <c r="H842" s="164" t="n">
        <v>61.61</v>
      </c>
      <c r="I842" s="164" t="inlineStr">
        <is>
          <t>Condimentos e temperos compostos, incluindo molho de pimenta e outros molhos, em embalagens imediatas de conteúdo inferior ou igual a 1 kg, exceto as embalagens contendo envelopes individualizados (sachês) de conteúdo inferior ou igual a 3 g</t>
        </is>
      </c>
      <c r="J842" s="40" t="inlineStr">
        <is>
          <t>Lei nº 1.810, art. 49, § 1º, XXIX</t>
        </is>
      </c>
      <c r="L842" s="29">
        <f>IF(D842="NCM/SH","",COUNTIF($D$5:$D$1506,D842))</f>
        <v/>
      </c>
    </row>
    <row r="843" ht="15.75" customHeight="1" thickBot="1">
      <c r="A843" s="1" t="inlineStr">
        <is>
          <t>18Alimentos</t>
        </is>
      </c>
      <c r="B843" s="165" t="inlineStr">
        <is>
          <t>36.0</t>
        </is>
      </c>
      <c r="C843" s="35" t="inlineStr">
        <is>
          <t>17.036.00</t>
        </is>
      </c>
      <c r="D843" s="35" t="inlineStr">
        <is>
          <t>2103.10.10</t>
        </is>
      </c>
      <c r="E843" s="35" t="n">
        <v>52.43</v>
      </c>
      <c r="F843" s="35" t="n">
        <v>76.3</v>
      </c>
      <c r="G843" s="35" t="n">
        <v>70.8</v>
      </c>
      <c r="H843" s="35" t="n">
        <v>61.61</v>
      </c>
      <c r="I843" s="35" t="inlineStr">
        <is>
          <t xml:space="preserve">Molhos de soja preparados em embalagens imediatas de conteúdo inferior ou igual a 650 g, exceto as embalagens contendo envelopes individualizados (sachês) de conteúdo inferior ou igual a 10 g </t>
        </is>
      </c>
      <c r="J843" s="40" t="inlineStr">
        <is>
          <t>Lei nº 1.810, art. 49, § 1º, XXIX</t>
        </is>
      </c>
      <c r="L843" s="29">
        <f>IF(D843="NCM/SH","",COUNTIF($D$5:$D$1506,D843))</f>
        <v/>
      </c>
    </row>
    <row r="844" ht="15.75" customHeight="1" thickBot="1">
      <c r="A844" s="1" t="inlineStr">
        <is>
          <t>18Alimentos</t>
        </is>
      </c>
      <c r="B844" s="165" t="inlineStr">
        <is>
          <t>37.0</t>
        </is>
      </c>
      <c r="C844" s="35" t="inlineStr">
        <is>
          <t>17.037.00</t>
        </is>
      </c>
      <c r="D844" s="35" t="inlineStr">
        <is>
          <t>2103.30.10</t>
        </is>
      </c>
      <c r="E844" s="35" t="n">
        <v>52.43</v>
      </c>
      <c r="F844" s="35" t="n">
        <v>76.3</v>
      </c>
      <c r="G844" s="35" t="n">
        <v>70.8</v>
      </c>
      <c r="H844" s="35" t="n">
        <v>61.61</v>
      </c>
      <c r="I844" s="48" t="inlineStr">
        <is>
          <t xml:space="preserve">Farinha de mostarda em embalagens de conteúdo inferior ou igual a 1 kg </t>
        </is>
      </c>
      <c r="J844" s="40" t="inlineStr">
        <is>
          <t>Lei nº 1.810, art. 49, § 1º, XXIX</t>
        </is>
      </c>
      <c r="L844" s="29">
        <f>IF(D844="NCM/SH","",COUNTIF($D$5:$D$1506,D844))</f>
        <v/>
      </c>
    </row>
    <row r="845" ht="15.75" customHeight="1" thickBot="1">
      <c r="A845" s="1" t="inlineStr">
        <is>
          <t>18Alimentos</t>
        </is>
      </c>
      <c r="B845" s="165" t="inlineStr">
        <is>
          <t>38.0</t>
        </is>
      </c>
      <c r="C845" s="35" t="inlineStr">
        <is>
          <t>17.038.00</t>
        </is>
      </c>
      <c r="D845" s="35" t="inlineStr">
        <is>
          <t>2103.30.21</t>
        </is>
      </c>
      <c r="E845" s="35" t="n">
        <v>52.43</v>
      </c>
      <c r="F845" s="35" t="n">
        <v>76.3</v>
      </c>
      <c r="G845" s="35" t="n">
        <v>70.8</v>
      </c>
      <c r="H845" s="35" t="n">
        <v>61.61</v>
      </c>
      <c r="I845" s="35" t="inlineStr">
        <is>
          <t>Mostarda preparada em embalagens imediatas de conteúdo inferior ou igual a 650 g, exceto as embalagens contendo envelopes individualizados (sachês) de conteúdo inferior ou igual a 10 g</t>
        </is>
      </c>
      <c r="J845" s="40" t="inlineStr">
        <is>
          <t>Lei nº 1.810, art. 49, § 1º, XXIX</t>
        </is>
      </c>
      <c r="L845" s="29">
        <f>IF(D845="NCM/SH","",COUNTIF($D$5:$D$1506,D845))</f>
        <v/>
      </c>
    </row>
    <row r="846" ht="15.75" customHeight="1" thickBot="1">
      <c r="A846" s="1" t="inlineStr">
        <is>
          <t>18Alimentos</t>
        </is>
      </c>
      <c r="B846" s="165" t="inlineStr">
        <is>
          <t>39.0</t>
        </is>
      </c>
      <c r="C846" s="35" t="inlineStr">
        <is>
          <t>17.039.00</t>
        </is>
      </c>
      <c r="D846" s="35" t="inlineStr">
        <is>
          <t>2103.90.11</t>
        </is>
      </c>
      <c r="E846" s="35" t="n">
        <v>52.43</v>
      </c>
      <c r="F846" s="35" t="n">
        <v>76.3</v>
      </c>
      <c r="G846" s="35" t="n">
        <v>70.8</v>
      </c>
      <c r="H846" s="35" t="n">
        <v>61.61</v>
      </c>
      <c r="I846" s="35" t="inlineStr">
        <is>
          <t xml:space="preserve">Maionese em embalagens imediatas de conteúdo inferior ou igual a 650 g, exceto as embalagens contendo envelopes individualizados (sachês) de conteúdo inferior ou igual a 10 g </t>
        </is>
      </c>
      <c r="J846" s="40" t="inlineStr">
        <is>
          <t>Lei nº 1.810, art. 49, § 1º, XXIX</t>
        </is>
      </c>
      <c r="L846" s="29">
        <f>IF(D846="NCM/SH","",COUNTIF($D$5:$D$1506,D846))</f>
        <v/>
      </c>
    </row>
    <row r="847" ht="15.75" customHeight="1" thickBot="1">
      <c r="A847" s="1" t="inlineStr">
        <is>
          <t>18Alimentos</t>
        </is>
      </c>
      <c r="B847" s="165" t="inlineStr">
        <is>
          <t>40.0</t>
        </is>
      </c>
      <c r="C847" s="35" t="inlineStr">
        <is>
          <t>17.040.00</t>
        </is>
      </c>
      <c r="D847" s="35" t="n">
        <v>2002</v>
      </c>
      <c r="E847" s="35" t="n">
        <v>52.43</v>
      </c>
      <c r="F847" s="35" t="n">
        <v>76.3</v>
      </c>
      <c r="G847" s="35" t="n">
        <v>70.8</v>
      </c>
      <c r="H847" s="35" t="n">
        <v>61.61</v>
      </c>
      <c r="I847" s="35" t="inlineStr">
        <is>
          <t xml:space="preserve">Tomates preparados ou conservados, exceto em vinagre ou em ácido acético, em embalagens de conteúdo inferior ou igual a 1 kg </t>
        </is>
      </c>
      <c r="J847" s="40" t="inlineStr">
        <is>
          <t>Lei nº 1.810, art. 49, § 1º, XXIX</t>
        </is>
      </c>
      <c r="L847" s="29">
        <f>IF(D847="NCM/SH","",COUNTIF($D$5:$D$1506,D847))</f>
        <v/>
      </c>
    </row>
    <row r="848" ht="15.75" customHeight="1" thickBot="1">
      <c r="A848" s="1" t="inlineStr">
        <is>
          <t>18Alimentos</t>
        </is>
      </c>
      <c r="B848" s="165" t="inlineStr">
        <is>
          <t>41.0</t>
        </is>
      </c>
      <c r="C848" s="35" t="inlineStr">
        <is>
          <t>17.041.00</t>
        </is>
      </c>
      <c r="D848" s="35" t="inlineStr">
        <is>
          <t>2103.20.10</t>
        </is>
      </c>
      <c r="E848" s="35" t="n">
        <v>52.43</v>
      </c>
      <c r="F848" s="35" t="n">
        <v>76.3</v>
      </c>
      <c r="G848" s="35" t="n">
        <v>70.8</v>
      </c>
      <c r="H848" s="35" t="n">
        <v>61.61</v>
      </c>
      <c r="I848" s="35" t="inlineStr">
        <is>
          <t xml:space="preserve">Molhos de tomate em embalagens imediatas de conteúdo inferior ou igual a 1 kg </t>
        </is>
      </c>
      <c r="J848" s="40" t="inlineStr">
        <is>
          <t>Lei nº 1.810, art. 49, § 1º, XXIX</t>
        </is>
      </c>
      <c r="L848" s="29">
        <f>IF(D848="NCM/SH","",COUNTIF($D$5:$D$1506,D848))</f>
        <v/>
      </c>
    </row>
    <row r="849">
      <c r="A849" s="1" t="inlineStr">
        <is>
          <t>18Alimentos</t>
        </is>
      </c>
      <c r="B849" s="98" t="inlineStr">
        <is>
          <t>42.0</t>
        </is>
      </c>
      <c r="C849" s="163" t="inlineStr">
        <is>
          <t>17.042.00</t>
        </is>
      </c>
      <c r="D849" s="37" t="inlineStr">
        <is>
          <t>1704.90.90</t>
        </is>
      </c>
      <c r="E849" s="163" t="n">
        <v>107.43</v>
      </c>
      <c r="F849" s="163" t="n">
        <v>139.92</v>
      </c>
      <c r="G849" s="163" t="n">
        <v>132.42</v>
      </c>
      <c r="H849" s="163" t="n">
        <v>119.93</v>
      </c>
      <c r="I849" s="163" t="inlineStr">
        <is>
          <t>Barra de cereais</t>
        </is>
      </c>
      <c r="J849" s="40" t="inlineStr">
        <is>
          <t>Lei nº 1.810, art. 49, § 1º, XXIX</t>
        </is>
      </c>
      <c r="L849" s="29">
        <f>IF(D849="NCM/SH","",COUNTIF($D$5:$D$1506,D849))</f>
        <v/>
      </c>
    </row>
    <row r="850">
      <c r="A850" s="1" t="inlineStr">
        <is>
          <t>18Alimentos</t>
        </is>
      </c>
      <c r="B850" s="101" t="n">
        <v>42</v>
      </c>
      <c r="C850" s="44" t="inlineStr">
        <is>
          <t>17.042.00</t>
        </is>
      </c>
      <c r="D850" s="37" t="inlineStr">
        <is>
          <t>1904.20.00</t>
        </is>
      </c>
      <c r="E850" s="44" t="n">
        <v>107.43</v>
      </c>
      <c r="F850" s="44" t="n">
        <v>139.92</v>
      </c>
      <c r="G850" s="44" t="n">
        <v>132.42</v>
      </c>
      <c r="H850" s="44" t="n">
        <v>119.93</v>
      </c>
      <c r="I850" s="44" t="inlineStr">
        <is>
          <t>Barra de cereais</t>
        </is>
      </c>
      <c r="J850" s="40" t="inlineStr">
        <is>
          <t>Lei nº 1.810, art. 49, § 1º, XXIX</t>
        </is>
      </c>
      <c r="L850" s="29">
        <f>IF(D850="NCM/SH","",COUNTIF($D$5:$D$1506,D850))</f>
        <v/>
      </c>
    </row>
    <row r="851" ht="15.75" customHeight="1" thickBot="1">
      <c r="A851" s="1" t="inlineStr">
        <is>
          <t>18Alimentos</t>
        </is>
      </c>
      <c r="B851" s="99" t="n">
        <v>42</v>
      </c>
      <c r="C851" s="164" t="inlineStr">
        <is>
          <t>17.042.00</t>
        </is>
      </c>
      <c r="D851" s="35" t="inlineStr">
        <is>
          <t>1904.90.00</t>
        </is>
      </c>
      <c r="E851" s="164" t="n">
        <v>107.43</v>
      </c>
      <c r="F851" s="164" t="n">
        <v>139.92</v>
      </c>
      <c r="G851" s="164" t="n">
        <v>132.42</v>
      </c>
      <c r="H851" s="164" t="n">
        <v>119.93</v>
      </c>
      <c r="I851" s="164" t="inlineStr">
        <is>
          <t>Barra de cereais</t>
        </is>
      </c>
      <c r="J851" s="40" t="inlineStr">
        <is>
          <t>Lei nº 1.810, art. 49, § 1º, XXIX</t>
        </is>
      </c>
      <c r="L851" s="29">
        <f>IF(D851="NCM/SH","",COUNTIF($D$5:$D$1506,D851))</f>
        <v/>
      </c>
    </row>
    <row r="852">
      <c r="A852" s="1" t="inlineStr">
        <is>
          <t>18Alimentos</t>
        </is>
      </c>
      <c r="B852" s="98" t="inlineStr">
        <is>
          <t>43.0</t>
        </is>
      </c>
      <c r="C852" s="163" t="inlineStr">
        <is>
          <t>17.043.00</t>
        </is>
      </c>
      <c r="D852" s="37" t="inlineStr">
        <is>
          <t>1806.31.20</t>
        </is>
      </c>
      <c r="E852" s="163" t="n">
        <v>107.43</v>
      </c>
      <c r="F852" s="163" t="n">
        <v>139.92</v>
      </c>
      <c r="G852" s="163" t="n">
        <v>132.42</v>
      </c>
      <c r="H852" s="163" t="n">
        <v>119.93</v>
      </c>
      <c r="I852" s="163" t="inlineStr">
        <is>
          <t xml:space="preserve">Barra de cereais contendo cacau </t>
        </is>
      </c>
      <c r="J852" s="40" t="inlineStr">
        <is>
          <t>Lei nº 1.810, art. 49, § 1º, XXIX</t>
        </is>
      </c>
      <c r="L852" s="29">
        <f>IF(D852="NCM/SH","",COUNTIF($D$5:$D$1506,D852))</f>
        <v/>
      </c>
    </row>
    <row r="853">
      <c r="A853" s="1" t="inlineStr">
        <is>
          <t>18Alimentos</t>
        </is>
      </c>
      <c r="B853" s="101" t="n">
        <v>43</v>
      </c>
      <c r="C853" s="44" t="inlineStr">
        <is>
          <t>17.043.00</t>
        </is>
      </c>
      <c r="D853" s="37" t="inlineStr">
        <is>
          <t>1806.32.20</t>
        </is>
      </c>
      <c r="E853" s="44" t="n">
        <v>107.43</v>
      </c>
      <c r="F853" s="44" t="n">
        <v>139.92</v>
      </c>
      <c r="G853" s="44" t="n">
        <v>132.42</v>
      </c>
      <c r="H853" s="44" t="n">
        <v>119.93</v>
      </c>
      <c r="I853" s="44" t="inlineStr">
        <is>
          <t xml:space="preserve">Barra de cereais contendo cacau </t>
        </is>
      </c>
      <c r="J853" s="40" t="inlineStr">
        <is>
          <t>Lei nº 1.810, art. 49, § 1º, XXIX</t>
        </is>
      </c>
      <c r="L853" s="29">
        <f>IF(D853="NCM/SH","",COUNTIF($D$5:$D$1506,D853))</f>
        <v/>
      </c>
    </row>
    <row r="854" ht="15.75" customHeight="1" thickBot="1">
      <c r="A854" s="1" t="inlineStr">
        <is>
          <t>18Alimentos</t>
        </is>
      </c>
      <c r="B854" s="99" t="n">
        <v>43</v>
      </c>
      <c r="C854" s="164" t="inlineStr">
        <is>
          <t>17.043.00</t>
        </is>
      </c>
      <c r="D854" s="35" t="inlineStr">
        <is>
          <t>1806.90.00</t>
        </is>
      </c>
      <c r="E854" s="164" t="n">
        <v>107.43</v>
      </c>
      <c r="F854" s="164" t="n">
        <v>139.92</v>
      </c>
      <c r="G854" s="164" t="n">
        <v>132.42</v>
      </c>
      <c r="H854" s="164" t="n">
        <v>119.93</v>
      </c>
      <c r="I854" s="164" t="inlineStr">
        <is>
          <t xml:space="preserve">Barra de cereais contendo cacau </t>
        </is>
      </c>
      <c r="J854" s="41" t="inlineStr">
        <is>
          <t>Lei nº 1.810, art. 49, § 1º, XXIX</t>
        </is>
      </c>
      <c r="L854" s="29">
        <f>IF(D854="NCM/SH","",COUNTIF($D$5:$D$1506,D854))</f>
        <v/>
      </c>
    </row>
    <row r="855" ht="15.75" customHeight="1" thickBot="1">
      <c r="A855" s="1" t="inlineStr">
        <is>
          <t>18Alimentos</t>
        </is>
      </c>
      <c r="B855" s="78" t="inlineStr">
        <is>
          <t>44.0</t>
        </is>
      </c>
      <c r="C855" s="48" t="inlineStr">
        <is>
          <t>17.044.00</t>
        </is>
      </c>
      <c r="D855" s="48" t="inlineStr">
        <is>
          <t>1101.00.10</t>
        </is>
      </c>
      <c r="E855" s="48" t="n">
        <v>65</v>
      </c>
      <c r="F855" s="48" t="n">
        <v>90.84</v>
      </c>
      <c r="G855" s="48" t="n">
        <v>84.88</v>
      </c>
      <c r="H855" s="48" t="n">
        <v>74.94</v>
      </c>
      <c r="I855" s="48" t="inlineStr">
        <is>
          <t>Farinha de trigo especial, em embalagem inferior ou igual a 1 kg</t>
        </is>
      </c>
      <c r="J855" s="163" t="inlineStr">
        <is>
          <t>Lei 1.810, art. 49, § 1º, XIII</t>
        </is>
      </c>
      <c r="K855" s="43" t="inlineStr">
        <is>
          <t>(Item 44.0: nova redação dada pelo Decreto nº 14.748/2017. Efeitos a partir de 1º.06.2017.)</t>
        </is>
      </c>
      <c r="L855" s="29">
        <f>IF(D855="NCM/SH","",COUNTIF($D$5:$D$1506,D855))</f>
        <v/>
      </c>
    </row>
    <row r="856" ht="15.75" customHeight="1" thickBot="1">
      <c r="A856" s="1" t="inlineStr">
        <is>
          <t>18Alimentos</t>
        </is>
      </c>
      <c r="B856" s="78" t="inlineStr">
        <is>
          <t>44.1</t>
        </is>
      </c>
      <c r="C856" s="48" t="inlineStr">
        <is>
          <t>17.044.01</t>
        </is>
      </c>
      <c r="D856" s="48" t="inlineStr">
        <is>
          <t>1101.00.10</t>
        </is>
      </c>
      <c r="E856" s="48" t="n">
        <v>65</v>
      </c>
      <c r="F856" s="48" t="n">
        <v>90.84</v>
      </c>
      <c r="G856" s="48" t="n">
        <v>84.88</v>
      </c>
      <c r="H856" s="48" t="n">
        <v>74.94</v>
      </c>
      <c r="I856" s="48" t="inlineStr">
        <is>
          <t>Farinha de trigo especial, em embalagem superior a 1 kg e inferior a 5 kg</t>
        </is>
      </c>
      <c r="J856" s="44" t="inlineStr">
        <is>
          <t>Lei 1.810, art. 49, § 1º, XIII</t>
        </is>
      </c>
      <c r="K856" s="43" t="inlineStr">
        <is>
          <t>(Item 44.1: nova redação dada pelo Decreto nº 14.748/2017. Efeitos a partir de 1º.06.2017.)</t>
        </is>
      </c>
      <c r="L856" s="29">
        <f>IF(D856="NCM/SH","",COUNTIF($D$5:$D$1506,D856))</f>
        <v/>
      </c>
    </row>
    <row r="857" ht="15.75" customHeight="1" thickBot="1">
      <c r="A857" s="1" t="inlineStr">
        <is>
          <t>18Alimentos</t>
        </is>
      </c>
      <c r="B857" s="78" t="inlineStr">
        <is>
          <t>44.2</t>
        </is>
      </c>
      <c r="C857" s="48" t="inlineStr">
        <is>
          <t>17.044.02</t>
        </is>
      </c>
      <c r="D857" s="48" t="inlineStr">
        <is>
          <t>1101.00.10</t>
        </is>
      </c>
      <c r="E857" s="48" t="n">
        <v>65</v>
      </c>
      <c r="F857" s="48" t="n">
        <v>90.84</v>
      </c>
      <c r="G857" s="48" t="n">
        <v>84.88</v>
      </c>
      <c r="H857" s="48" t="n">
        <v>74.94</v>
      </c>
      <c r="I857" s="48" t="inlineStr">
        <is>
          <t>Farinha de trigo especial, em embalagem igual a 5 kg</t>
        </is>
      </c>
      <c r="J857" s="37" t="inlineStr">
        <is>
          <t>Lei 1.810, art. 49, § 1º, XIII</t>
        </is>
      </c>
      <c r="K857" s="43" t="inlineStr">
        <is>
          <t>(Item 44.2: acrescentado pelo Decreto nº 14.645/2016. Efeitos a partir de 1º.01.2016.)</t>
        </is>
      </c>
      <c r="L857" s="29">
        <f>IF(D857="NCM/SH","",COUNTIF($D$5:$D$1506,D857))</f>
        <v/>
      </c>
    </row>
    <row r="858" ht="15.75" customHeight="1" thickBot="1">
      <c r="A858" s="1" t="inlineStr">
        <is>
          <t>18Alimentos</t>
        </is>
      </c>
      <c r="B858" s="78" t="inlineStr">
        <is>
          <t>44.3</t>
        </is>
      </c>
      <c r="C858" s="48" t="inlineStr">
        <is>
          <t>17.044.03</t>
        </is>
      </c>
      <c r="D858" s="48" t="inlineStr">
        <is>
          <t>1101.00.10</t>
        </is>
      </c>
      <c r="E858" s="48" t="n">
        <v>65</v>
      </c>
      <c r="F858" s="48" t="n">
        <v>90.84</v>
      </c>
      <c r="G858" s="48" t="n">
        <v>84.88</v>
      </c>
      <c r="H858" s="48" t="n">
        <v>74.94</v>
      </c>
      <c r="I858" s="48" t="inlineStr">
        <is>
          <t>Farinha de trigo especial, em embalagem superior a 5 kg e inferior ou igual a 25 Kg</t>
        </is>
      </c>
      <c r="J858" s="37" t="inlineStr">
        <is>
          <t>Lei 1.810, art. 49, § 1º, XIII</t>
        </is>
      </c>
      <c r="K858" s="43" t="inlineStr">
        <is>
          <t>(Item 44.3: acrescentado pelo Decreto nº 14.645/2016. Efeitos a partir de 1º.01.2016.)</t>
        </is>
      </c>
      <c r="L858" s="29">
        <f>IF(D858="NCM/SH","",COUNTIF($D$5:$D$1506,D858))</f>
        <v/>
      </c>
    </row>
    <row r="859" ht="15.75" customHeight="1" thickBot="1">
      <c r="A859" s="1" t="inlineStr">
        <is>
          <t>18Alimentos</t>
        </is>
      </c>
      <c r="B859" s="78" t="inlineStr">
        <is>
          <t>44.4</t>
        </is>
      </c>
      <c r="C859" s="48" t="inlineStr">
        <is>
          <t>17.044.04</t>
        </is>
      </c>
      <c r="D859" s="48" t="inlineStr">
        <is>
          <t>1101.00.10</t>
        </is>
      </c>
      <c r="E859" s="48" t="n">
        <v>65</v>
      </c>
      <c r="F859" s="48" t="n">
        <v>90.84</v>
      </c>
      <c r="G859" s="48" t="n">
        <v>84.88</v>
      </c>
      <c r="H859" s="48" t="n">
        <v>74.94</v>
      </c>
      <c r="I859" s="48" t="inlineStr">
        <is>
          <t>Farinha de trigo especial, em embalagem superior a 25 kg e inferior ou igual a 50 Kg</t>
        </is>
      </c>
      <c r="J859" s="37" t="inlineStr">
        <is>
          <t>Lei 1.810, art. 49, § 1º, XIII</t>
        </is>
      </c>
      <c r="K859" s="43" t="inlineStr">
        <is>
          <t>(Item 44.4: acrescentado pelo Decreto nº 14.645/2016. Efeitos a partir de 1º.01.2016.)</t>
        </is>
      </c>
      <c r="L859" s="29">
        <f>IF(D859="NCM/SH","",COUNTIF($D$5:$D$1506,D859))</f>
        <v/>
      </c>
    </row>
    <row r="860" ht="15.75" customHeight="1" thickBot="1">
      <c r="A860" s="1" t="inlineStr">
        <is>
          <t>18Alimentos</t>
        </is>
      </c>
      <c r="B860" s="78" t="inlineStr">
        <is>
          <t>44.5</t>
        </is>
      </c>
      <c r="C860" s="48" t="inlineStr">
        <is>
          <t>17.044.05</t>
        </is>
      </c>
      <c r="D860" s="48" t="inlineStr">
        <is>
          <t>1101.00.10</t>
        </is>
      </c>
      <c r="E860" s="48" t="n">
        <v>65</v>
      </c>
      <c r="F860" s="48" t="n">
        <v>90.84</v>
      </c>
      <c r="G860" s="48" t="n">
        <v>84.88</v>
      </c>
      <c r="H860" s="48" t="n">
        <v>74.94</v>
      </c>
      <c r="I860" s="48" t="inlineStr">
        <is>
          <t>Farinha de trigo comum, em embalagem igual a 5 kg</t>
        </is>
      </c>
      <c r="J860" s="37" t="inlineStr">
        <is>
          <t>Lei 1.810, art. 49, § 1º, XIII</t>
        </is>
      </c>
      <c r="K860" s="43" t="inlineStr">
        <is>
          <t>(Item 44.5: acrescentado pelo Decreto nº 14.645/2016. Efeitos a partir de 1º.01.2016.)</t>
        </is>
      </c>
      <c r="L860" s="29">
        <f>IF(D860="NCM/SH","",COUNTIF($D$5:$D$1506,D860))</f>
        <v/>
      </c>
    </row>
    <row r="861" ht="15.75" customHeight="1" thickBot="1">
      <c r="A861" s="1" t="inlineStr">
        <is>
          <t>18Alimentos</t>
        </is>
      </c>
      <c r="B861" s="78" t="inlineStr">
        <is>
          <t>44.6</t>
        </is>
      </c>
      <c r="C861" s="48" t="inlineStr">
        <is>
          <t>17.044.06</t>
        </is>
      </c>
      <c r="D861" s="48" t="inlineStr">
        <is>
          <t>1101.00.10</t>
        </is>
      </c>
      <c r="E861" s="48" t="n">
        <v>65</v>
      </c>
      <c r="F861" s="48" t="n">
        <v>90.84</v>
      </c>
      <c r="G861" s="48" t="n">
        <v>84.88</v>
      </c>
      <c r="H861" s="48" t="n">
        <v>74.94</v>
      </c>
      <c r="I861" s="48" t="inlineStr">
        <is>
          <t>Farinha de trigo comum, em embalagem superior a 5 kg e inferior ou igual a 25 Kg</t>
        </is>
      </c>
      <c r="J861" s="37" t="inlineStr">
        <is>
          <t>Lei 1.810, art. 49, § 1º, XIII</t>
        </is>
      </c>
      <c r="K861" s="43" t="inlineStr">
        <is>
          <t>(Item 44.6: acrescentado pelo Decreto nº 14.645/2016. Efeitos a partir de 1º.01.2016.)</t>
        </is>
      </c>
      <c r="L861" s="29">
        <f>IF(D861="NCM/SH","",COUNTIF($D$5:$D$1506,D861))</f>
        <v/>
      </c>
    </row>
    <row r="862" ht="15.75" customHeight="1" thickBot="1">
      <c r="A862" s="1" t="inlineStr">
        <is>
          <t>18Alimentos</t>
        </is>
      </c>
      <c r="B862" s="78" t="inlineStr">
        <is>
          <t>44.7</t>
        </is>
      </c>
      <c r="C862" s="48" t="inlineStr">
        <is>
          <t>17.044.07</t>
        </is>
      </c>
      <c r="D862" s="48" t="inlineStr">
        <is>
          <t>1101.00.10</t>
        </is>
      </c>
      <c r="E862" s="48" t="n">
        <v>65</v>
      </c>
      <c r="F862" s="48" t="n">
        <v>90.84</v>
      </c>
      <c r="G862" s="48" t="n">
        <v>84.88</v>
      </c>
      <c r="H862" s="48" t="n">
        <v>74.94</v>
      </c>
      <c r="I862" s="48" t="inlineStr">
        <is>
          <t>Farinha de trigo comum, em embalagem superior a 25 kg e inferior ou igual a 50 Kg</t>
        </is>
      </c>
      <c r="J862" s="37" t="inlineStr">
        <is>
          <t>Lei 1.810, art. 49, § 1º, XIII</t>
        </is>
      </c>
      <c r="K862" s="43" t="inlineStr">
        <is>
          <t>(Item 44.7: acrescentado pelo Decreto nº 14.645/2016. Efeitos a partir de 1º.01.2016.)</t>
        </is>
      </c>
      <c r="L862" s="29">
        <f>IF(D862="NCM/SH","",COUNTIF($D$5:$D$1506,D862))</f>
        <v/>
      </c>
    </row>
    <row r="863" ht="15.75" customHeight="1" thickBot="1">
      <c r="A863" s="1" t="inlineStr">
        <is>
          <t>18Alimentos</t>
        </is>
      </c>
      <c r="B863" s="78" t="inlineStr">
        <is>
          <t>44.8</t>
        </is>
      </c>
      <c r="C863" s="48" t="inlineStr">
        <is>
          <t>17.044.08</t>
        </is>
      </c>
      <c r="D863" s="48" t="inlineStr">
        <is>
          <t>1101.00.10</t>
        </is>
      </c>
      <c r="E863" s="48" t="n">
        <v>65</v>
      </c>
      <c r="F863" s="48" t="n">
        <v>90.84</v>
      </c>
      <c r="G863" s="48" t="n">
        <v>84.88</v>
      </c>
      <c r="H863" s="48" t="n">
        <v>74.94</v>
      </c>
      <c r="I863" s="48" t="inlineStr">
        <is>
          <t>Farinha de trigo doméstica especial, em embalagem superior a 5 Kg e inferior e igual a 10 Kg</t>
        </is>
      </c>
      <c r="J863" s="37" t="inlineStr">
        <is>
          <t>Lei 1.810, art. 49, § 1º, XIII</t>
        </is>
      </c>
      <c r="K863" s="43" t="inlineStr">
        <is>
          <t>(Item 44.8: nova redação dada pelo Decreto nº 14.748/2017. Efeitos a partir de 1º.06.2017.)</t>
        </is>
      </c>
      <c r="L863" s="29">
        <f>IF(D863="NCM/SH","",COUNTIF($D$5:$D$1506,D863))</f>
        <v/>
      </c>
    </row>
    <row r="864" ht="15.75" customHeight="1" thickBot="1">
      <c r="A864" s="1" t="inlineStr">
        <is>
          <t>18Alimentos</t>
        </is>
      </c>
      <c r="B864" s="78" t="inlineStr">
        <is>
          <t>44.9</t>
        </is>
      </c>
      <c r="C864" s="48" t="inlineStr">
        <is>
          <t>17.044.09</t>
        </is>
      </c>
      <c r="D864" s="48" t="inlineStr">
        <is>
          <t>1101.00.10</t>
        </is>
      </c>
      <c r="E864" s="48" t="n">
        <v>65</v>
      </c>
      <c r="F864" s="48" t="n">
        <v>90.84</v>
      </c>
      <c r="G864" s="48" t="n">
        <v>84.88</v>
      </c>
      <c r="H864" s="48" t="n">
        <v>74.94</v>
      </c>
      <c r="I864" s="48" t="inlineStr">
        <is>
          <t>Farinha de trigo doméstica com fermento, em embalagem superior a 5 Kg e inferior e igual a 10 kg</t>
        </is>
      </c>
      <c r="J864" s="37" t="inlineStr">
        <is>
          <t>Lei 1.810, art. 49, § 1º, XIII</t>
        </is>
      </c>
      <c r="K864" s="43" t="inlineStr">
        <is>
          <t>(Item 44.9: nova redação dada pelo Decreto nº 14.748/2017. Efeitos a partir de 1º.06.2017.)</t>
        </is>
      </c>
      <c r="L864" s="29">
        <f>IF(D864="NCM/SH","",COUNTIF($D$5:$D$1506,D864))</f>
        <v/>
      </c>
    </row>
    <row r="865" ht="14.45" customHeight="1" thickBot="1">
      <c r="A865" s="1" t="inlineStr">
        <is>
          <t>18Alimentos</t>
        </is>
      </c>
      <c r="B865" s="81" t="inlineStr">
        <is>
          <t>44.10</t>
        </is>
      </c>
      <c r="C865" s="42" t="inlineStr">
        <is>
          <t>17.044.10</t>
        </is>
      </c>
      <c r="D865" s="42" t="inlineStr">
        <is>
          <t>1101.00.10</t>
        </is>
      </c>
      <c r="E865" s="42" t="n">
        <v>65</v>
      </c>
      <c r="F865" s="42" t="n">
        <v>90.84</v>
      </c>
      <c r="G865" s="42" t="n">
        <v>84.88</v>
      </c>
      <c r="H865" s="42" t="n">
        <v>74.94</v>
      </c>
      <c r="I865" s="42" t="inlineStr">
        <is>
          <t xml:space="preserve">Farinha de trigo especial, em embalagem superior a 50 Kg </t>
        </is>
      </c>
      <c r="J865" s="38" t="inlineStr">
        <is>
          <t>Lei nº 1.810, art. 49, § 1º, XIII</t>
        </is>
      </c>
      <c r="K865" s="90" t="inlineStr">
        <is>
          <t>(Item 44.10: acrescentado pelo Decreto n° 14.748/2017. Efeitos a partir de 1°.06.2017.)</t>
        </is>
      </c>
      <c r="L865" s="29">
        <f>IF(D865="NCM/SH","",COUNTIF($D$5:$D$1506,D865))</f>
        <v/>
      </c>
    </row>
    <row r="866" ht="14.45" customHeight="1" thickBot="1">
      <c r="A866" s="1" t="inlineStr">
        <is>
          <t>18Alimentos</t>
        </is>
      </c>
      <c r="B866" s="81" t="inlineStr">
        <is>
          <t>44.11</t>
        </is>
      </c>
      <c r="C866" s="42" t="inlineStr">
        <is>
          <t>17.044.11</t>
        </is>
      </c>
      <c r="D866" s="42" t="inlineStr">
        <is>
          <t>1101.00.10</t>
        </is>
      </c>
      <c r="E866" s="42" t="n">
        <v>65</v>
      </c>
      <c r="F866" s="42" t="n">
        <v>90.84</v>
      </c>
      <c r="G866" s="42" t="n">
        <v>84.88</v>
      </c>
      <c r="H866" s="42" t="n">
        <v>74.94</v>
      </c>
      <c r="I866" s="42" t="inlineStr">
        <is>
          <t>Farinha de trigo comum, em embalagem inferior ou igual a 1 kg</t>
        </is>
      </c>
      <c r="J866" s="38" t="inlineStr">
        <is>
          <t>Lei nº 1.810, art. 49, § 1º, XIII</t>
        </is>
      </c>
      <c r="K866" s="90" t="inlineStr">
        <is>
          <t>(Item 44.11: acrescentado pelo Decreto n° 14.748/2017. Efeitos a partir de 1°.06.2017.)</t>
        </is>
      </c>
      <c r="L866" s="29">
        <f>IF(D866="NCM/SH","",COUNTIF($D$5:$D$1506,D866))</f>
        <v/>
      </c>
    </row>
    <row r="867" ht="14.45" customHeight="1" thickBot="1">
      <c r="A867" s="1" t="inlineStr">
        <is>
          <t>18Alimentos</t>
        </is>
      </c>
      <c r="B867" s="81" t="inlineStr">
        <is>
          <t>44.12</t>
        </is>
      </c>
      <c r="C867" s="42" t="inlineStr">
        <is>
          <t>17.044.12</t>
        </is>
      </c>
      <c r="D867" s="42" t="inlineStr">
        <is>
          <t>1101.00.10</t>
        </is>
      </c>
      <c r="E867" s="42" t="n">
        <v>65</v>
      </c>
      <c r="F867" s="42" t="n">
        <v>90.84</v>
      </c>
      <c r="G867" s="42" t="n">
        <v>84.88</v>
      </c>
      <c r="H867" s="42" t="n">
        <v>74.94</v>
      </c>
      <c r="I867" s="42" t="inlineStr">
        <is>
          <t>Farinha de trigo comum, em embalagem superior a 1 kg e inferior a 5 Kg</t>
        </is>
      </c>
      <c r="J867" s="38" t="inlineStr">
        <is>
          <t>Lei nº 1.810, art. 49, § 1º, XIII</t>
        </is>
      </c>
      <c r="K867" s="90" t="inlineStr">
        <is>
          <t>(Item 44.12: acrescentado pelo Decreto n° 14.748/2017. Efeitos a partir de 1°.06.2017.)</t>
        </is>
      </c>
      <c r="L867" s="29">
        <f>IF(D867="NCM/SH","",COUNTIF($D$5:$D$1506,D867))</f>
        <v/>
      </c>
    </row>
    <row r="868" ht="14.45" customHeight="1" thickBot="1">
      <c r="A868" s="1" t="inlineStr">
        <is>
          <t>18Alimentos</t>
        </is>
      </c>
      <c r="B868" s="81" t="inlineStr">
        <is>
          <t>44.13</t>
        </is>
      </c>
      <c r="C868" s="42" t="inlineStr">
        <is>
          <t>17.044.13</t>
        </is>
      </c>
      <c r="D868" s="42" t="inlineStr">
        <is>
          <t>1101.00.10</t>
        </is>
      </c>
      <c r="E868" s="42" t="n">
        <v>65</v>
      </c>
      <c r="F868" s="42" t="n">
        <v>90.84</v>
      </c>
      <c r="G868" s="42" t="n">
        <v>84.88</v>
      </c>
      <c r="H868" s="42" t="n">
        <v>74.94</v>
      </c>
      <c r="I868" s="42" t="inlineStr">
        <is>
          <t>Farinha de trigo comum, em embalagem superior a 50 kg</t>
        </is>
      </c>
      <c r="J868" s="38" t="inlineStr">
        <is>
          <t>Lei nº 1.810, art. 49, § 1º, XIII</t>
        </is>
      </c>
      <c r="K868" s="90" t="inlineStr">
        <is>
          <t>(Item 44.13: acrescentado pelo Decreto n° 14.748/2017. Efeitos a partir de 1°.06.2017.)</t>
        </is>
      </c>
      <c r="L868" s="29">
        <f>IF(D868="NCM/SH","",COUNTIF($D$5:$D$1506,D868))</f>
        <v/>
      </c>
    </row>
    <row r="869" ht="14.45" customHeight="1" thickBot="1">
      <c r="A869" s="1" t="inlineStr">
        <is>
          <t>18Alimentos</t>
        </is>
      </c>
      <c r="B869" s="81" t="inlineStr">
        <is>
          <t>44.14</t>
        </is>
      </c>
      <c r="C869" s="42" t="inlineStr">
        <is>
          <t>17.044.14</t>
        </is>
      </c>
      <c r="D869" s="42" t="inlineStr">
        <is>
          <t>1101.00.10</t>
        </is>
      </c>
      <c r="E869" s="42" t="n">
        <v>65</v>
      </c>
      <c r="F869" s="42" t="n">
        <v>90.84</v>
      </c>
      <c r="G869" s="42" t="n">
        <v>84.88</v>
      </c>
      <c r="H869" s="42" t="n">
        <v>74.94</v>
      </c>
      <c r="I869" s="42" t="inlineStr">
        <is>
          <t>Farinha de trigo doméstica especial, em embalagem inferior ou igual a 1 kg</t>
        </is>
      </c>
      <c r="J869" s="38" t="inlineStr">
        <is>
          <t>Lei nº 1.810, art. 49, § 1º, XIII</t>
        </is>
      </c>
      <c r="K869" s="90" t="inlineStr">
        <is>
          <t>(Item 44.14: acrescentado pelo Decreto n° 14.748/2017. Efeitos a partir de 1°.06.2017.)</t>
        </is>
      </c>
      <c r="L869" s="29">
        <f>IF(D869="NCM/SH","",COUNTIF($D$5:$D$1506,D869))</f>
        <v/>
      </c>
    </row>
    <row r="870" ht="14.45" customHeight="1" thickBot="1">
      <c r="A870" s="1" t="inlineStr">
        <is>
          <t>18Alimentos</t>
        </is>
      </c>
      <c r="B870" s="81" t="inlineStr">
        <is>
          <t>44.15</t>
        </is>
      </c>
      <c r="C870" s="42" t="inlineStr">
        <is>
          <t>17.044.15</t>
        </is>
      </c>
      <c r="D870" s="42" t="inlineStr">
        <is>
          <t>1101.00.10</t>
        </is>
      </c>
      <c r="E870" s="42" t="n">
        <v>65</v>
      </c>
      <c r="F870" s="42" t="n">
        <v>90.84</v>
      </c>
      <c r="G870" s="42" t="n">
        <v>84.88</v>
      </c>
      <c r="H870" s="42" t="n">
        <v>74.94</v>
      </c>
      <c r="I870" s="42" t="inlineStr">
        <is>
          <t>Farinha de trigo doméstica especial, em embalagem superior a 1 kg e inferior a 5 Kg</t>
        </is>
      </c>
      <c r="J870" s="38" t="inlineStr">
        <is>
          <t>Lei nº 1.810, art. 49, § 1º, XIII</t>
        </is>
      </c>
      <c r="K870" s="90" t="inlineStr">
        <is>
          <t>(Item 44.15: acrescentado pelo Decreto n° 14.748/2017. Efeitos a partir de 1°.06.2017.)</t>
        </is>
      </c>
      <c r="L870" s="29">
        <f>IF(D870="NCM/SH","",COUNTIF($D$5:$D$1506,D870))</f>
        <v/>
      </c>
    </row>
    <row r="871" ht="14.45" customHeight="1" thickBot="1">
      <c r="A871" s="1" t="inlineStr">
        <is>
          <t>18Alimentos</t>
        </is>
      </c>
      <c r="B871" s="81" t="inlineStr">
        <is>
          <t>44.16</t>
        </is>
      </c>
      <c r="C871" s="42" t="inlineStr">
        <is>
          <t>17.044.16</t>
        </is>
      </c>
      <c r="D871" s="42" t="inlineStr">
        <is>
          <t>1101.00.10</t>
        </is>
      </c>
      <c r="E871" s="42" t="n">
        <v>65</v>
      </c>
      <c r="F871" s="42" t="n">
        <v>90.84</v>
      </c>
      <c r="G871" s="42" t="n">
        <v>84.88</v>
      </c>
      <c r="H871" s="42" t="n">
        <v>74.94</v>
      </c>
      <c r="I871" s="42" t="inlineStr">
        <is>
          <t>Farinha de trigo doméstica especial, em embalagem igual a 5 Kg</t>
        </is>
      </c>
      <c r="J871" s="38" t="inlineStr">
        <is>
          <t>Lei nº 1.810, art. 49, § 1º, XIII</t>
        </is>
      </c>
      <c r="K871" s="90" t="inlineStr">
        <is>
          <t>(Item 44.16: acrescentado pelo Decreto n° 14.748/2017. Efeitos a partir de 1°.06.2017.)</t>
        </is>
      </c>
      <c r="L871" s="29">
        <f>IF(D871="NCM/SH","",COUNTIF($D$5:$D$1506,D871))</f>
        <v/>
      </c>
    </row>
    <row r="872" ht="14.45" customHeight="1" thickBot="1">
      <c r="A872" s="1" t="inlineStr">
        <is>
          <t>18Alimentos</t>
        </is>
      </c>
      <c r="B872" s="81" t="inlineStr">
        <is>
          <t>44.17</t>
        </is>
      </c>
      <c r="C872" s="42" t="inlineStr">
        <is>
          <t>17.044.17</t>
        </is>
      </c>
      <c r="D872" s="42" t="inlineStr">
        <is>
          <t>1101.00.10</t>
        </is>
      </c>
      <c r="E872" s="42" t="n">
        <v>65</v>
      </c>
      <c r="F872" s="42" t="n">
        <v>90.84</v>
      </c>
      <c r="G872" s="42" t="n">
        <v>84.88</v>
      </c>
      <c r="H872" s="42" t="n">
        <v>74.94</v>
      </c>
      <c r="I872" s="42" t="inlineStr">
        <is>
          <t>Farinha de trigo doméstica especial, em embalagem superior a 10 Kg</t>
        </is>
      </c>
      <c r="J872" s="38" t="inlineStr">
        <is>
          <t>Lei nº 1.810, art. 49, § 1º, XIII</t>
        </is>
      </c>
      <c r="K872" s="90" t="inlineStr">
        <is>
          <t>(Item 44.17: acrescentado pelo Decreto n° 14.748/2017. Efeitos a partir de 1°.06.2017.)</t>
        </is>
      </c>
      <c r="L872" s="29">
        <f>IF(D872="NCM/SH","",COUNTIF($D$5:$D$1506,D872))</f>
        <v/>
      </c>
    </row>
    <row r="873" ht="14.45" customHeight="1" thickBot="1">
      <c r="A873" s="1" t="inlineStr">
        <is>
          <t>18Alimentos</t>
        </is>
      </c>
      <c r="B873" s="81" t="inlineStr">
        <is>
          <t>44.18</t>
        </is>
      </c>
      <c r="C873" s="42" t="inlineStr">
        <is>
          <t>17.044.18</t>
        </is>
      </c>
      <c r="D873" s="42" t="inlineStr">
        <is>
          <t>1101.00.10</t>
        </is>
      </c>
      <c r="E873" s="42" t="n">
        <v>65</v>
      </c>
      <c r="F873" s="42" t="n">
        <v>90.84</v>
      </c>
      <c r="G873" s="42" t="n">
        <v>84.88</v>
      </c>
      <c r="H873" s="42" t="n">
        <v>74.94</v>
      </c>
      <c r="I873" s="42" t="inlineStr">
        <is>
          <t>Farinha de trigo doméstica com fermento, em embalagem inferior ou igual a 1 kg</t>
        </is>
      </c>
      <c r="J873" s="38" t="inlineStr">
        <is>
          <t>Lei nº 1.810, art. 49, § 1º, XIII</t>
        </is>
      </c>
      <c r="K873" s="90" t="inlineStr">
        <is>
          <t>(Item 44.18: acrescentado pelo Decreto n° 14.748/2017. Efeitos a partir de 1°.06.2017.)</t>
        </is>
      </c>
      <c r="L873" s="29">
        <f>IF(D873="NCM/SH","",COUNTIF($D$5:$D$1506,D873))</f>
        <v/>
      </c>
    </row>
    <row r="874" ht="14.45" customHeight="1" thickBot="1">
      <c r="A874" s="1" t="inlineStr">
        <is>
          <t>18Alimentos</t>
        </is>
      </c>
      <c r="B874" s="81" t="inlineStr">
        <is>
          <t>44.19</t>
        </is>
      </c>
      <c r="C874" s="42" t="inlineStr">
        <is>
          <t>17.044.19</t>
        </is>
      </c>
      <c r="D874" s="42" t="inlineStr">
        <is>
          <t>1101.00.10</t>
        </is>
      </c>
      <c r="E874" s="42" t="n">
        <v>65</v>
      </c>
      <c r="F874" s="42" t="n">
        <v>90.84</v>
      </c>
      <c r="G874" s="42" t="n">
        <v>84.88</v>
      </c>
      <c r="H874" s="42" t="n">
        <v>74.94</v>
      </c>
      <c r="I874" s="42" t="inlineStr">
        <is>
          <t>Farinha de trigo doméstica com fermento, em embalagem superior a 1 kg e inferior a 5 Kg</t>
        </is>
      </c>
      <c r="J874" s="38" t="inlineStr">
        <is>
          <t>Lei nº 1.810, art. 49, § 1º, XIII</t>
        </is>
      </c>
      <c r="K874" s="90" t="inlineStr">
        <is>
          <t>(Item 44.19: acrescentado pelo Decreto n° 14.748/2017. Efeitos a partir de 1°.06.2017.)</t>
        </is>
      </c>
      <c r="L874" s="29">
        <f>IF(D874="NCM/SH","",COUNTIF($D$5:$D$1506,D874))</f>
        <v/>
      </c>
    </row>
    <row r="875" ht="14.45" customHeight="1" thickBot="1">
      <c r="A875" s="1" t="inlineStr">
        <is>
          <t>18Alimentos</t>
        </is>
      </c>
      <c r="B875" s="81" t="inlineStr">
        <is>
          <t>44.20</t>
        </is>
      </c>
      <c r="C875" s="42" t="inlineStr">
        <is>
          <t>17.044.20</t>
        </is>
      </c>
      <c r="D875" s="42" t="inlineStr">
        <is>
          <t>1101.00.10</t>
        </is>
      </c>
      <c r="E875" s="42" t="n">
        <v>65</v>
      </c>
      <c r="F875" s="42" t="n">
        <v>90.84</v>
      </c>
      <c r="G875" s="42" t="n">
        <v>84.88</v>
      </c>
      <c r="H875" s="42" t="n">
        <v>74.94</v>
      </c>
      <c r="I875" s="42" t="inlineStr">
        <is>
          <t>Farinha de trigo doméstica com fermento, em embalagem igual a 5 Kg</t>
        </is>
      </c>
      <c r="J875" s="38" t="inlineStr">
        <is>
          <t>Lei nº 1.810, art. 49, § 1º, XIII</t>
        </is>
      </c>
      <c r="K875" s="90" t="inlineStr">
        <is>
          <t>(Item 44.20: acrescentado pelo Decreto n° 14.748/2017. Efeitos a partir de 1°.06.2017.)</t>
        </is>
      </c>
      <c r="L875" s="29">
        <f>IF(D875="NCM/SH","",COUNTIF($D$5:$D$1506,D875))</f>
        <v/>
      </c>
    </row>
    <row r="876" ht="14.45" customHeight="1" thickBot="1">
      <c r="A876" s="1" t="inlineStr">
        <is>
          <t>18Alimentos</t>
        </is>
      </c>
      <c r="B876" s="81" t="inlineStr">
        <is>
          <t>44.21</t>
        </is>
      </c>
      <c r="C876" s="42" t="inlineStr">
        <is>
          <t>17.044.21</t>
        </is>
      </c>
      <c r="D876" s="42" t="inlineStr">
        <is>
          <t>1101.00.10</t>
        </is>
      </c>
      <c r="E876" s="42" t="n">
        <v>65</v>
      </c>
      <c r="F876" s="42" t="n">
        <v>90.84</v>
      </c>
      <c r="G876" s="42" t="n">
        <v>84.88</v>
      </c>
      <c r="H876" s="42" t="n">
        <v>74.94</v>
      </c>
      <c r="I876" s="42" t="inlineStr">
        <is>
          <t>Farinha de trigo doméstica com fermento, em embalagem superior a 10 Kg</t>
        </is>
      </c>
      <c r="J876" s="38" t="inlineStr">
        <is>
          <t>Lei nº 1.810, art. 49, § 1º, XIII</t>
        </is>
      </c>
      <c r="K876" s="90" t="inlineStr">
        <is>
          <t>(Item 44.21: acrescentado pelo Decreto n° 14.748/2017. Efeitos a partir de 1°.06.2017.)</t>
        </is>
      </c>
      <c r="L876" s="29">
        <f>IF(D876="NCM/SH","",COUNTIF($D$5:$D$1506,D876))</f>
        <v/>
      </c>
    </row>
    <row r="877" ht="14.45" customHeight="1" thickBot="1">
      <c r="A877" s="1" t="inlineStr">
        <is>
          <t>18Alimentos</t>
        </is>
      </c>
      <c r="B877" s="81" t="inlineStr">
        <is>
          <t>44.22</t>
        </is>
      </c>
      <c r="C877" s="42" t="inlineStr">
        <is>
          <t>17.044.22</t>
        </is>
      </c>
      <c r="D877" s="42" t="inlineStr">
        <is>
          <t>1101.00.10</t>
        </is>
      </c>
      <c r="E877" s="42" t="n">
        <v>65</v>
      </c>
      <c r="F877" s="42" t="n">
        <v>90.84</v>
      </c>
      <c r="G877" s="42" t="n">
        <v>84.88</v>
      </c>
      <c r="H877" s="42" t="n">
        <v>74.94</v>
      </c>
      <c r="I877" s="42" t="inlineStr">
        <is>
          <t>Outras farinhas de trigo, em embalagem inferior ou igual a 1 kg</t>
        </is>
      </c>
      <c r="J877" s="38" t="inlineStr">
        <is>
          <t>Lei nº 1.810, art. 49, § 1º, XIII</t>
        </is>
      </c>
      <c r="K877" s="90" t="inlineStr">
        <is>
          <t>(Item 44.22: acrescentado pelo Decreto n° 14.748/2017. Efeitos a partir de 1°.06.2017.)</t>
        </is>
      </c>
      <c r="L877" s="29">
        <f>IF(D877="NCM/SH","",COUNTIF($D$5:$D$1506,D877))</f>
        <v/>
      </c>
    </row>
    <row r="878" ht="14.45" customHeight="1" thickBot="1">
      <c r="A878" s="1" t="inlineStr">
        <is>
          <t>18Alimentos</t>
        </is>
      </c>
      <c r="B878" s="81" t="inlineStr">
        <is>
          <t>44.23</t>
        </is>
      </c>
      <c r="C878" s="42" t="inlineStr">
        <is>
          <t>17.044.23</t>
        </is>
      </c>
      <c r="D878" s="42" t="inlineStr">
        <is>
          <t>1101.00.10</t>
        </is>
      </c>
      <c r="E878" s="42" t="n">
        <v>65</v>
      </c>
      <c r="F878" s="42" t="n">
        <v>90.84</v>
      </c>
      <c r="G878" s="42" t="n">
        <v>84.88</v>
      </c>
      <c r="H878" s="42" t="n">
        <v>74.94</v>
      </c>
      <c r="I878" s="42" t="inlineStr">
        <is>
          <t>Outras farinhas de trigo, em embalagem superior a 1 kg e inferior a 5 Kg</t>
        </is>
      </c>
      <c r="J878" s="38" t="inlineStr">
        <is>
          <t>Lei nº 1.810, art. 49, § 1º, XIII</t>
        </is>
      </c>
      <c r="K878" s="90" t="inlineStr">
        <is>
          <t>(Item 44.23: acrescentado pelo Decreto n° 14.748/2017. Efeitos a partir de 1°.06.2017.)</t>
        </is>
      </c>
      <c r="L878" s="29">
        <f>IF(D878="NCM/SH","",COUNTIF($D$5:$D$1506,D878))</f>
        <v/>
      </c>
    </row>
    <row r="879" ht="14.45" customHeight="1" thickBot="1">
      <c r="A879" s="1" t="inlineStr">
        <is>
          <t>18Alimentos</t>
        </is>
      </c>
      <c r="B879" s="81" t="inlineStr">
        <is>
          <t>44.24</t>
        </is>
      </c>
      <c r="C879" s="42" t="inlineStr">
        <is>
          <t>17.044.24</t>
        </is>
      </c>
      <c r="D879" s="42" t="inlineStr">
        <is>
          <t>1101.00.10</t>
        </is>
      </c>
      <c r="E879" s="42" t="n">
        <v>65</v>
      </c>
      <c r="F879" s="42" t="n">
        <v>90.84</v>
      </c>
      <c r="G879" s="42" t="n">
        <v>84.88</v>
      </c>
      <c r="H879" s="42" t="n">
        <v>74.94</v>
      </c>
      <c r="I879" s="42" t="inlineStr">
        <is>
          <t>Outras farinhas de trigo, em embalagem igual a 5 Kg</t>
        </is>
      </c>
      <c r="J879" s="38" t="inlineStr">
        <is>
          <t>Lei nº 1.810, art. 49, § 1º, XIII</t>
        </is>
      </c>
      <c r="K879" s="90" t="inlineStr">
        <is>
          <t>(Item 44.24: acrescentado pelo Decreto n° 14.748/2017. Efeitos a partir de 1°.06.2017.)</t>
        </is>
      </c>
      <c r="L879" s="29">
        <f>IF(D879="NCM/SH","",COUNTIF($D$5:$D$1506,D879))</f>
        <v/>
      </c>
    </row>
    <row r="880" ht="14.45" customHeight="1" thickBot="1">
      <c r="A880" s="1" t="inlineStr">
        <is>
          <t>18Alimentos</t>
        </is>
      </c>
      <c r="B880" s="81" t="inlineStr">
        <is>
          <t>44.25</t>
        </is>
      </c>
      <c r="C880" s="42" t="inlineStr">
        <is>
          <t>17.044.25</t>
        </is>
      </c>
      <c r="D880" s="42" t="inlineStr">
        <is>
          <t>1101.00.10</t>
        </is>
      </c>
      <c r="E880" s="42" t="n">
        <v>65</v>
      </c>
      <c r="F880" s="42" t="n">
        <v>90.84</v>
      </c>
      <c r="G880" s="42" t="n">
        <v>84.88</v>
      </c>
      <c r="H880" s="42" t="n">
        <v>74.94</v>
      </c>
      <c r="I880" s="42" t="inlineStr">
        <is>
          <t>Outras farinhas de trigo, em embalagem superior a 5 Kg e inferior ou igual a 25 kg</t>
        </is>
      </c>
      <c r="J880" s="38" t="inlineStr">
        <is>
          <t>Lei nº 1.810, art. 49, § 1º, XIII</t>
        </is>
      </c>
      <c r="K880" s="90" t="inlineStr">
        <is>
          <t>(Item 44.25: acrescentado pelo Decreto n° 14.748/2017. Efeitos a partir de 1°.06.2017.)</t>
        </is>
      </c>
      <c r="L880" s="29">
        <f>IF(D880="NCM/SH","",COUNTIF($D$5:$D$1506,D880))</f>
        <v/>
      </c>
    </row>
    <row r="881" ht="14.45" customHeight="1" thickBot="1">
      <c r="A881" s="1" t="inlineStr">
        <is>
          <t>18Alimentos</t>
        </is>
      </c>
      <c r="B881" s="81" t="inlineStr">
        <is>
          <t>44.26</t>
        </is>
      </c>
      <c r="C881" s="42" t="inlineStr">
        <is>
          <t>17.044.26</t>
        </is>
      </c>
      <c r="D881" s="42" t="inlineStr">
        <is>
          <t>1101.00.10</t>
        </is>
      </c>
      <c r="E881" s="42" t="n">
        <v>65</v>
      </c>
      <c r="F881" s="42" t="n">
        <v>90.84</v>
      </c>
      <c r="G881" s="42" t="n">
        <v>84.88</v>
      </c>
      <c r="H881" s="42" t="n">
        <v>74.94</v>
      </c>
      <c r="I881" s="42" t="inlineStr">
        <is>
          <t>Outras farinhas de trigo, em embalagem superior a 25 Kg e inferior ou igual a 50 kg</t>
        </is>
      </c>
      <c r="J881" s="38" t="inlineStr">
        <is>
          <t>Lei nº 1.810, art. 49, § 1º, XIII</t>
        </is>
      </c>
      <c r="K881" s="90" t="inlineStr">
        <is>
          <t>(Item 44.26: acrescentado pelo Decreto n° 14.748/2017. Efeitos a partir de 1°.06.2017.)</t>
        </is>
      </c>
      <c r="L881" s="29">
        <f>IF(D881="NCM/SH","",COUNTIF($D$5:$D$1506,D881))</f>
        <v/>
      </c>
    </row>
    <row r="882" ht="14.45" customHeight="1" thickBot="1">
      <c r="A882" s="1" t="inlineStr">
        <is>
          <t>18Alimentos</t>
        </is>
      </c>
      <c r="B882" s="81" t="inlineStr">
        <is>
          <t>44.27</t>
        </is>
      </c>
      <c r="C882" s="42" t="inlineStr">
        <is>
          <t>17.044.27</t>
        </is>
      </c>
      <c r="D882" s="42" t="inlineStr">
        <is>
          <t>1101.00.10</t>
        </is>
      </c>
      <c r="E882" s="42" t="n">
        <v>65</v>
      </c>
      <c r="F882" s="42" t="n">
        <v>90.84</v>
      </c>
      <c r="G882" s="42" t="n">
        <v>84.88</v>
      </c>
      <c r="H882" s="42" t="n">
        <v>74.94</v>
      </c>
      <c r="I882" s="42" t="inlineStr">
        <is>
          <t>Outras farinhas de trigo, em embalagem superior a 50 Kg</t>
        </is>
      </c>
      <c r="J882" s="38" t="inlineStr">
        <is>
          <t>Lei nº 1.810, art. 49, § 1º, XIII</t>
        </is>
      </c>
      <c r="K882" s="90" t="inlineStr">
        <is>
          <t>(Item 44.27: acrescentado pelo Decreto n° 14.748/2017. Efeitos a partir de 1°.06.2017.)</t>
        </is>
      </c>
      <c r="L882" s="29">
        <f>IF(D882="NCM/SH","",COUNTIF($D$5:$D$1506,D882))</f>
        <v/>
      </c>
    </row>
    <row r="883" ht="15.75" customHeight="1" thickBot="1">
      <c r="A883" s="1" t="inlineStr">
        <is>
          <t>18Alimentos</t>
        </is>
      </c>
      <c r="B883" s="165" t="inlineStr">
        <is>
          <t>45.0</t>
        </is>
      </c>
      <c r="C883" s="35" t="inlineStr">
        <is>
          <t>17.045.00</t>
        </is>
      </c>
      <c r="D883" s="35" t="inlineStr">
        <is>
          <t>1101.00.20</t>
        </is>
      </c>
      <c r="E883" s="35" t="n">
        <v>65</v>
      </c>
      <c r="F883" s="35" t="n">
        <v>90.84</v>
      </c>
      <c r="G883" s="35" t="n">
        <v>84.88</v>
      </c>
      <c r="H883" s="35" t="n">
        <v>74.94</v>
      </c>
      <c r="I883" s="48" t="inlineStr">
        <is>
          <t>Farinha de mistura de trigo com centeio (méteil)</t>
        </is>
      </c>
      <c r="J883" s="163" t="inlineStr">
        <is>
          <t>Lei nº 1.810, art. 49, § 1º, XIII</t>
        </is>
      </c>
      <c r="L883" s="29">
        <f>IF(D883="NCM/SH","",COUNTIF($D$5:$D$1506,D883))</f>
        <v/>
      </c>
    </row>
    <row r="884" ht="14.45" customHeight="1" thickBot="1">
      <c r="A884" s="1" t="inlineStr">
        <is>
          <t>18Alimentos</t>
        </is>
      </c>
      <c r="B884" s="81" t="inlineStr">
        <is>
          <t>46.0</t>
        </is>
      </c>
      <c r="C884" s="42" t="inlineStr">
        <is>
          <t>17.046.00</t>
        </is>
      </c>
      <c r="D884" s="38" t="inlineStr">
        <is>
          <t>1901.20</t>
        </is>
      </c>
      <c r="E884" s="42" t="n">
        <v>65</v>
      </c>
      <c r="F884" s="42" t="n">
        <v>90.84</v>
      </c>
      <c r="G884" s="42" t="n">
        <v>84.88</v>
      </c>
      <c r="H884" s="42" t="n">
        <v>74.94</v>
      </c>
      <c r="I884" s="42" t="inlineStr">
        <is>
          <t>Misturas e preparações para bolos, em embalagem inferior a 5 Kg</t>
        </is>
      </c>
      <c r="J884" s="44" t="inlineStr">
        <is>
          <t>Lei nº 1.810, art. 49, § 1º, XIII</t>
        </is>
      </c>
      <c r="K884" s="47" t="inlineStr">
        <is>
          <t>(Item 46.0: nova redação dada pelo Decreto nº 16.323/2023. Efeitos a partir de 1º.11.2023.)</t>
        </is>
      </c>
      <c r="L884" s="29">
        <f>IF(D884="NCM/SH","",COUNTIF($D$5:$D$1506,D884))</f>
        <v/>
      </c>
    </row>
    <row r="885" ht="15.75" customHeight="1" thickBot="1">
      <c r="A885" s="1" t="inlineStr">
        <is>
          <t>18Alimentos</t>
        </is>
      </c>
      <c r="B885" s="82" t="n">
        <v>46</v>
      </c>
      <c r="C885" s="46" t="inlineStr">
        <is>
          <t>17.046.00</t>
        </is>
      </c>
      <c r="D885" s="48" t="inlineStr">
        <is>
          <t>1901.90.90</t>
        </is>
      </c>
      <c r="E885" s="46" t="n">
        <v>65</v>
      </c>
      <c r="F885" s="46" t="n">
        <v>90.84</v>
      </c>
      <c r="G885" s="46" t="n">
        <v>84.88</v>
      </c>
      <c r="H885" s="46" t="n">
        <v>74.94</v>
      </c>
      <c r="I885" s="46" t="inlineStr">
        <is>
          <t>Misturas e preparações para bolos, em embalagem inferior a 5 Kg</t>
        </is>
      </c>
      <c r="J885" s="44" t="inlineStr">
        <is>
          <t>Lei nº 1.810, art. 49, § 1º, XIII</t>
        </is>
      </c>
      <c r="K885" s="47" t="inlineStr">
        <is>
          <t>(Item 46.0: nova redação dada pelo Decreto nº 16.323/2023. Efeitos a partir de 1º.11.2023.)</t>
        </is>
      </c>
      <c r="L885" s="29">
        <f>IF(D885="NCM/SH","",COUNTIF($D$5:$D$1506,D885))</f>
        <v/>
      </c>
    </row>
    <row r="886" ht="14.45" customHeight="1" thickBot="1">
      <c r="A886" s="1" t="inlineStr">
        <is>
          <t>18Alimentos</t>
        </is>
      </c>
      <c r="B886" s="81" t="inlineStr">
        <is>
          <t>46.1</t>
        </is>
      </c>
      <c r="C886" s="42" t="inlineStr">
        <is>
          <t>17.046.01</t>
        </is>
      </c>
      <c r="D886" s="38" t="inlineStr">
        <is>
          <t>1901.20</t>
        </is>
      </c>
      <c r="E886" s="42" t="n">
        <v>65</v>
      </c>
      <c r="F886" s="42" t="n">
        <v>90.84</v>
      </c>
      <c r="G886" s="42" t="n">
        <v>84.88</v>
      </c>
      <c r="H886" s="42" t="n">
        <v>74.94</v>
      </c>
      <c r="I886" s="86" t="inlineStr">
        <is>
          <t>Misturas e preparações para bolos, em embalagem igual a 5 Kg</t>
        </is>
      </c>
      <c r="J886" s="45" t="inlineStr">
        <is>
          <t>Lei nº 1.810, art. 49, § 1º, XIII</t>
        </is>
      </c>
      <c r="K886" s="47" t="inlineStr">
        <is>
          <t>(Item 46.1: nova redação dada pelo Decreto nº 16.323/2023. Efeitos a partir de 1º.11.2023.)</t>
        </is>
      </c>
      <c r="L886" s="29">
        <f>IF(D886="NCM/SH","",COUNTIF($D$5:$D$1506,D886))</f>
        <v/>
      </c>
    </row>
    <row r="887" ht="15.75" customHeight="1" thickBot="1">
      <c r="A887" s="1" t="inlineStr">
        <is>
          <t>18Alimentos</t>
        </is>
      </c>
      <c r="B887" s="82" t="n">
        <v>46.1</v>
      </c>
      <c r="C887" s="46" t="inlineStr">
        <is>
          <t>17.046.01</t>
        </is>
      </c>
      <c r="D887" s="48" t="inlineStr">
        <is>
          <t>1901.90.90</t>
        </is>
      </c>
      <c r="E887" s="46" t="n">
        <v>65</v>
      </c>
      <c r="F887" s="46" t="n">
        <v>90.84</v>
      </c>
      <c r="G887" s="46" t="n">
        <v>84.88</v>
      </c>
      <c r="H887" s="46" t="n">
        <v>74.94</v>
      </c>
      <c r="I887" s="89" t="inlineStr">
        <is>
          <t>Misturas e preparações para bolos, em embalagem igual a 5 Kg</t>
        </is>
      </c>
      <c r="J887" s="45" t="inlineStr">
        <is>
          <t>Lei nº 1.810, art. 49, § 1º, XIII</t>
        </is>
      </c>
      <c r="K887" s="47" t="inlineStr">
        <is>
          <t>(Item 46.1: nova redação dada pelo Decreto nº 16.323/2023. Efeitos a partir de 1º.11.2023.)</t>
        </is>
      </c>
      <c r="L887" s="29">
        <f>IF(D887="NCM/SH","",COUNTIF($D$5:$D$1506,D887))</f>
        <v/>
      </c>
    </row>
    <row r="888" ht="14.45" customHeight="1" thickBot="1">
      <c r="A888" s="1" t="inlineStr">
        <is>
          <t>18Alimentos</t>
        </is>
      </c>
      <c r="B888" s="81" t="inlineStr">
        <is>
          <t>46.2</t>
        </is>
      </c>
      <c r="C888" s="42" t="inlineStr">
        <is>
          <t>17.046.02</t>
        </is>
      </c>
      <c r="D888" s="38" t="inlineStr">
        <is>
          <t>1901.20</t>
        </is>
      </c>
      <c r="E888" s="42" t="n">
        <v>65</v>
      </c>
      <c r="F888" s="42" t="n">
        <v>90.84</v>
      </c>
      <c r="G888" s="42" t="n">
        <v>84.88</v>
      </c>
      <c r="H888" s="42" t="n">
        <v>74.94</v>
      </c>
      <c r="I888" s="42" t="inlineStr">
        <is>
          <t>Misturas e preparações para bolos, em embalagem superior a 5 kg e inferior ou igual a 25 Kg</t>
        </is>
      </c>
      <c r="J888" s="38" t="inlineStr">
        <is>
          <t xml:space="preserve">Lei nº 1.810, art. 49,§ 1º, XXIX </t>
        </is>
      </c>
      <c r="K888" s="47" t="inlineStr">
        <is>
          <t>(Item 46.2: nova redação dada pelo Decreto nº 16.323/2023. Efeitos a partir de 1º.11.2023.)</t>
        </is>
      </c>
      <c r="L888" s="29">
        <f>IF(D888="NCM/SH","",COUNTIF($D$5:$D$1506,D888))</f>
        <v/>
      </c>
    </row>
    <row r="889" ht="15.75" customHeight="1" thickBot="1">
      <c r="A889" s="1" t="inlineStr">
        <is>
          <t>18Alimentos</t>
        </is>
      </c>
      <c r="B889" s="82" t="n">
        <v>46.2</v>
      </c>
      <c r="C889" s="46" t="inlineStr">
        <is>
          <t>17.046.02</t>
        </is>
      </c>
      <c r="D889" s="48" t="inlineStr">
        <is>
          <t>1901.90.90</t>
        </is>
      </c>
      <c r="E889" s="46" t="n">
        <v>65</v>
      </c>
      <c r="F889" s="46" t="n">
        <v>90.84</v>
      </c>
      <c r="G889" s="46" t="n">
        <v>84.88</v>
      </c>
      <c r="H889" s="46" t="n">
        <v>74.94</v>
      </c>
      <c r="I889" s="46" t="inlineStr">
        <is>
          <t>Misturas e preparações para bolos, em embalagem superior a 5 kg e inferior ou igual a 25 Kg</t>
        </is>
      </c>
      <c r="J889" s="48" t="inlineStr">
        <is>
          <t xml:space="preserve">Lei nº 1.810, art. 49,§ 1º, XXIX </t>
        </is>
      </c>
      <c r="K889" s="47" t="inlineStr">
        <is>
          <t>(Item 46.2: nova redação dada pelo Decreto nº 16.323/2023. Efeitos a partir de 1º.11.2023.)</t>
        </is>
      </c>
      <c r="L889" s="29">
        <f>IF(D889="NCM/SH","",COUNTIF($D$5:$D$1506,D889))</f>
        <v/>
      </c>
    </row>
    <row r="890" ht="14.45" customHeight="1" thickBot="1">
      <c r="A890" s="1" t="inlineStr">
        <is>
          <t>18Alimentos</t>
        </is>
      </c>
      <c r="B890" s="81" t="inlineStr">
        <is>
          <t>46.3</t>
        </is>
      </c>
      <c r="C890" s="42" t="inlineStr">
        <is>
          <t>17.046.03</t>
        </is>
      </c>
      <c r="D890" s="38" t="inlineStr">
        <is>
          <t>1901.20</t>
        </is>
      </c>
      <c r="E890" s="42" t="n">
        <v>65</v>
      </c>
      <c r="F890" s="42" t="n">
        <v>90.84</v>
      </c>
      <c r="G890" s="42" t="n">
        <v>84.88</v>
      </c>
      <c r="H890" s="42" t="n">
        <v>74.94</v>
      </c>
      <c r="I890" s="42" t="inlineStr">
        <is>
          <t>Misturas e preparações para bolos, em embalagem superior a 25 kg e inferior ou igual a 50 Kg</t>
        </is>
      </c>
      <c r="J890" s="38" t="inlineStr">
        <is>
          <t xml:space="preserve">Lei nº 1.810, art. 49,§ 1º, XXIX </t>
        </is>
      </c>
      <c r="K890" s="47" t="inlineStr">
        <is>
          <t>(Item 46.3: nova redação dada pelo Decreto nº 16.323/2023. Efeitos a partir de 1º.11.2023.)</t>
        </is>
      </c>
      <c r="L890" s="29">
        <f>IF(D890="NCM/SH","",COUNTIF($D$5:$D$1506,D890))</f>
        <v/>
      </c>
    </row>
    <row r="891" ht="15.75" customHeight="1" thickBot="1">
      <c r="A891" s="1" t="inlineStr">
        <is>
          <t>18Alimentos</t>
        </is>
      </c>
      <c r="B891" s="82" t="n">
        <v>46.3</v>
      </c>
      <c r="C891" s="46" t="inlineStr">
        <is>
          <t>17.046.03</t>
        </is>
      </c>
      <c r="D891" s="48" t="inlineStr">
        <is>
          <t>1901.90.90</t>
        </is>
      </c>
      <c r="E891" s="46" t="n">
        <v>65</v>
      </c>
      <c r="F891" s="46" t="n">
        <v>90.84</v>
      </c>
      <c r="G891" s="46" t="n">
        <v>84.88</v>
      </c>
      <c r="H891" s="46" t="n">
        <v>74.94</v>
      </c>
      <c r="I891" s="46" t="inlineStr">
        <is>
          <t>Misturas e preparações para bolos, em embalagem superior a 25 kg e inferior ou igual a 50 Kg</t>
        </is>
      </c>
      <c r="J891" s="48" t="inlineStr">
        <is>
          <t xml:space="preserve">Lei nº 1.810, art. 49,§ 1º, XXIX </t>
        </is>
      </c>
      <c r="K891" s="47" t="inlineStr">
        <is>
          <t>(Item 46.3: nova redação dada pelo Decreto nº 16.323/2023. Efeitos a partir de 1º.11.2023.)</t>
        </is>
      </c>
      <c r="L891" s="29">
        <f>IF(D891="NCM/SH","",COUNTIF($D$5:$D$1506,D891))</f>
        <v/>
      </c>
    </row>
    <row r="892" ht="14.45" customHeight="1" thickBot="1">
      <c r="A892" s="1" t="inlineStr">
        <is>
          <t>18Alimentos</t>
        </is>
      </c>
      <c r="B892" s="81" t="inlineStr">
        <is>
          <t>46.4</t>
        </is>
      </c>
      <c r="C892" s="42" t="inlineStr">
        <is>
          <t>17.046.04</t>
        </is>
      </c>
      <c r="D892" s="38" t="inlineStr">
        <is>
          <t>1901.20</t>
        </is>
      </c>
      <c r="E892" s="42" t="n">
        <v>65</v>
      </c>
      <c r="F892" s="42" t="n">
        <v>90.84</v>
      </c>
      <c r="G892" s="42" t="n">
        <v>84.88</v>
      </c>
      <c r="H892" s="42" t="n">
        <v>74.94</v>
      </c>
      <c r="I892" s="42" t="inlineStr">
        <is>
          <t>Misturas e preparações para bolos, em embalagem superior a 50 Kg</t>
        </is>
      </c>
      <c r="J892" s="38" t="inlineStr">
        <is>
          <t xml:space="preserve">Lei nº 1.810, art. 49,§ 1º, XXIX </t>
        </is>
      </c>
      <c r="K892" s="47" t="inlineStr">
        <is>
          <t>(Item 46.4: nova redação dada pelo Decreto nº 16.323/2023. Efeitos a partir de 1º.11.2023.)</t>
        </is>
      </c>
      <c r="L892" s="29">
        <f>IF(D892="NCM/SH","",COUNTIF($D$5:$D$1506,D892))</f>
        <v/>
      </c>
    </row>
    <row r="893" ht="15.75" customHeight="1" thickBot="1">
      <c r="A893" s="1" t="inlineStr">
        <is>
          <t>18Alimentos</t>
        </is>
      </c>
      <c r="B893" s="82" t="n">
        <v>46.4</v>
      </c>
      <c r="C893" s="46" t="inlineStr">
        <is>
          <t>17.046.04</t>
        </is>
      </c>
      <c r="D893" s="48" t="inlineStr">
        <is>
          <t>1901.90.90</t>
        </is>
      </c>
      <c r="E893" s="46" t="n">
        <v>65</v>
      </c>
      <c r="F893" s="46" t="n">
        <v>90.84</v>
      </c>
      <c r="G893" s="46" t="n">
        <v>84.88</v>
      </c>
      <c r="H893" s="46" t="n">
        <v>74.94</v>
      </c>
      <c r="I893" s="46" t="inlineStr">
        <is>
          <t>Misturas e preparações para bolos, em embalagem superior a 50 Kg</t>
        </is>
      </c>
      <c r="J893" s="48" t="inlineStr">
        <is>
          <t xml:space="preserve">Lei nº 1.810, art. 49,§ 1º, XXIX </t>
        </is>
      </c>
      <c r="K893" s="47" t="inlineStr">
        <is>
          <t>(Item 46.4: nova redação dada pelo Decreto nº 16.323/2023. Efeitos a partir de 1º.11.2023.)</t>
        </is>
      </c>
      <c r="L893" s="29">
        <f>IF(D893="NCM/SH","",COUNTIF($D$5:$D$1506,D893))</f>
        <v/>
      </c>
    </row>
    <row r="894" ht="14.45" customHeight="1" thickBot="1">
      <c r="A894" s="1" t="inlineStr">
        <is>
          <t>18Alimentos</t>
        </is>
      </c>
      <c r="B894" s="81" t="inlineStr">
        <is>
          <t>46.5</t>
        </is>
      </c>
      <c r="C894" s="42" t="inlineStr">
        <is>
          <t>17.046.05</t>
        </is>
      </c>
      <c r="D894" s="38" t="inlineStr">
        <is>
          <t>1901.20</t>
        </is>
      </c>
      <c r="E894" s="42" t="n">
        <v>65</v>
      </c>
      <c r="F894" s="42" t="n">
        <v>90.84</v>
      </c>
      <c r="G894" s="42" t="n">
        <v>84.88</v>
      </c>
      <c r="H894" s="42" t="n">
        <v>74.94</v>
      </c>
      <c r="I894" s="42" t="inlineStr">
        <is>
          <t>Misturas e preparações para pães com menos de 80% de farinha de trigo na sua composição final, em embalagem inferior a 5 kg</t>
        </is>
      </c>
      <c r="J894" s="38" t="inlineStr">
        <is>
          <t xml:space="preserve">Lei nº 1.810, art. 49,§ 1º, XXIX </t>
        </is>
      </c>
      <c r="K894" s="47" t="inlineStr">
        <is>
          <t>(Item 46.5: nova redação dada pelo Decreto nº 16.323/2023. Efeitos a partir de 1º.11.2023.)</t>
        </is>
      </c>
      <c r="L894" s="29">
        <f>IF(D894="NCM/SH","",COUNTIF($D$5:$D$1506,D894))</f>
        <v/>
      </c>
    </row>
    <row r="895" ht="15.75" customHeight="1" thickBot="1">
      <c r="A895" s="1" t="inlineStr">
        <is>
          <t>18Alimentos</t>
        </is>
      </c>
      <c r="B895" s="82" t="n">
        <v>46.5</v>
      </c>
      <c r="C895" s="46" t="inlineStr">
        <is>
          <t>17.046.05</t>
        </is>
      </c>
      <c r="D895" s="48" t="inlineStr">
        <is>
          <t>1901.90.90</t>
        </is>
      </c>
      <c r="E895" s="46" t="n">
        <v>65</v>
      </c>
      <c r="F895" s="46" t="n">
        <v>90.84</v>
      </c>
      <c r="G895" s="46" t="n">
        <v>84.88</v>
      </c>
      <c r="H895" s="46" t="n">
        <v>74.94</v>
      </c>
      <c r="I895" s="46" t="inlineStr">
        <is>
          <t>Misturas e preparações para pães com menos de 80% de farinha de trigo na sua composição final, em embalagem inferior a 5 kg</t>
        </is>
      </c>
      <c r="J895" s="48" t="inlineStr">
        <is>
          <t xml:space="preserve">Lei nº 1.810, art. 49,§ 1º, XXIX </t>
        </is>
      </c>
      <c r="K895" s="47" t="inlineStr">
        <is>
          <t>(Item 46.5: nova redação dada pelo Decreto nº 16.323/2023. Efeitos a partir de 1º.11.2023.)</t>
        </is>
      </c>
      <c r="L895" s="29">
        <f>IF(D895="NCM/SH","",COUNTIF($D$5:$D$1506,D895))</f>
        <v/>
      </c>
    </row>
    <row r="896" ht="14.45" customHeight="1" thickBot="1">
      <c r="A896" s="1" t="inlineStr">
        <is>
          <t>18Alimentos</t>
        </is>
      </c>
      <c r="B896" s="81" t="inlineStr">
        <is>
          <t>46.6</t>
        </is>
      </c>
      <c r="C896" s="42" t="inlineStr">
        <is>
          <t>17.046.06</t>
        </is>
      </c>
      <c r="D896" s="38" t="inlineStr">
        <is>
          <t>1901.20</t>
        </is>
      </c>
      <c r="E896" s="42" t="n">
        <v>65</v>
      </c>
      <c r="F896" s="42" t="n">
        <v>90.84</v>
      </c>
      <c r="G896" s="42" t="n">
        <v>84.88</v>
      </c>
      <c r="H896" s="42" t="n">
        <v>74.94</v>
      </c>
      <c r="I896" s="42" t="inlineStr">
        <is>
          <t>Misturas e preparações para pães com menos de 80% de farinha de trigo na sua composição final, em embalagem igual a 5 kg</t>
        </is>
      </c>
      <c r="J896" s="38" t="inlineStr">
        <is>
          <t xml:space="preserve">Lei nº 1.810, art. 49,§ 1º, XXIX </t>
        </is>
      </c>
      <c r="K896" s="47" t="inlineStr">
        <is>
          <t>(Item 46.6: nova redação dada pelo Decreto nº 16.323/2023. Efeitos a partir de 1º.11.2023.)</t>
        </is>
      </c>
      <c r="L896" s="29">
        <f>IF(D896="NCM/SH","",COUNTIF($D$5:$D$1506,D896))</f>
        <v/>
      </c>
    </row>
    <row r="897" ht="15.75" customHeight="1" thickBot="1">
      <c r="A897" s="1" t="inlineStr">
        <is>
          <t>18Alimentos</t>
        </is>
      </c>
      <c r="B897" s="82" t="n">
        <v>46.6</v>
      </c>
      <c r="C897" s="46" t="inlineStr">
        <is>
          <t>17.046.06</t>
        </is>
      </c>
      <c r="D897" s="48" t="inlineStr">
        <is>
          <t>1901.90.90</t>
        </is>
      </c>
      <c r="E897" s="46" t="n">
        <v>65</v>
      </c>
      <c r="F897" s="46" t="n">
        <v>90.84</v>
      </c>
      <c r="G897" s="46" t="n">
        <v>84.88</v>
      </c>
      <c r="H897" s="46" t="n">
        <v>74.94</v>
      </c>
      <c r="I897" s="46" t="inlineStr">
        <is>
          <t>Misturas e preparações para pães com menos de 80% de farinha de trigo na sua composição final, em embalagem igual a 5 kg</t>
        </is>
      </c>
      <c r="J897" s="48" t="inlineStr">
        <is>
          <t xml:space="preserve">Lei nº 1.810, art. 49,§ 1º, XXIX </t>
        </is>
      </c>
      <c r="K897" s="47" t="inlineStr">
        <is>
          <t>(Item 46.6: nova redação dada pelo Decreto nº 16.323/2023. Efeitos a partir de 1º.11.2023.)</t>
        </is>
      </c>
      <c r="L897" s="29">
        <f>IF(D897="NCM/SH","",COUNTIF($D$5:$D$1506,D897))</f>
        <v/>
      </c>
    </row>
    <row r="898" ht="14.45" customHeight="1" thickBot="1">
      <c r="A898" s="1" t="inlineStr">
        <is>
          <t>18Alimentos</t>
        </is>
      </c>
      <c r="B898" s="81" t="inlineStr">
        <is>
          <t>46.7</t>
        </is>
      </c>
      <c r="C898" s="42" t="inlineStr">
        <is>
          <t>17.046.07</t>
        </is>
      </c>
      <c r="D898" s="38" t="inlineStr">
        <is>
          <t>1901.20</t>
        </is>
      </c>
      <c r="E898" s="42" t="n">
        <v>65</v>
      </c>
      <c r="F898" s="42" t="n">
        <v>90.84</v>
      </c>
      <c r="G898" s="42" t="n">
        <v>84.88</v>
      </c>
      <c r="H898" s="42" t="n">
        <v>74.94</v>
      </c>
      <c r="I898" s="42" t="inlineStr">
        <is>
          <t>Misturas e preparações para pães com menos de 80% de farinha de trigo na sua composição final, em embalagem superior a 5 kg e inferior ou igual a 25 Kg</t>
        </is>
      </c>
      <c r="J898" s="38" t="inlineStr">
        <is>
          <t xml:space="preserve">Lei nº 1.810, art. 49,§ 1º, XXIX </t>
        </is>
      </c>
      <c r="K898" s="47" t="inlineStr">
        <is>
          <t>(Item 46.7: nova redação dada pelo Decreto nº 16.323/2023. Efeitos a partir de 1º.11.2023.)</t>
        </is>
      </c>
      <c r="L898" s="29">
        <f>IF(D898="NCM/SH","",COUNTIF($D$5:$D$1506,D898))</f>
        <v/>
      </c>
    </row>
    <row r="899" ht="15.75" customHeight="1" thickBot="1">
      <c r="A899" s="1" t="inlineStr">
        <is>
          <t>18Alimentos</t>
        </is>
      </c>
      <c r="B899" s="82" t="n">
        <v>46.7</v>
      </c>
      <c r="C899" s="46" t="inlineStr">
        <is>
          <t>17.046.07</t>
        </is>
      </c>
      <c r="D899" s="48" t="inlineStr">
        <is>
          <t>1901.90.90</t>
        </is>
      </c>
      <c r="E899" s="46" t="n">
        <v>65</v>
      </c>
      <c r="F899" s="46" t="n">
        <v>90.84</v>
      </c>
      <c r="G899" s="46" t="n">
        <v>84.88</v>
      </c>
      <c r="H899" s="46" t="n">
        <v>74.94</v>
      </c>
      <c r="I899" s="46" t="inlineStr">
        <is>
          <t>Misturas e preparações para pães com menos de 80% de farinha de trigo na sua composição final, em embalagem superior a 5 kg e inferior ou igual a 25 Kg</t>
        </is>
      </c>
      <c r="J899" s="48" t="inlineStr">
        <is>
          <t xml:space="preserve">Lei nº 1.810, art. 49,§ 1º, XXIX </t>
        </is>
      </c>
      <c r="K899" s="47" t="inlineStr">
        <is>
          <t>(Item 46.7: nova redação dada pelo Decreto nº 16.323/2023. Efeitos a partir de 1º.11.2023.)</t>
        </is>
      </c>
      <c r="L899" s="29">
        <f>IF(D899="NCM/SH","",COUNTIF($D$5:$D$1506,D899))</f>
        <v/>
      </c>
    </row>
    <row r="900" ht="14.45" customHeight="1" thickBot="1">
      <c r="A900" s="1" t="inlineStr">
        <is>
          <t>18Alimentos</t>
        </is>
      </c>
      <c r="B900" s="81" t="inlineStr">
        <is>
          <t>46.8</t>
        </is>
      </c>
      <c r="C900" s="42" t="inlineStr">
        <is>
          <t>17.046.08</t>
        </is>
      </c>
      <c r="D900" s="38" t="inlineStr">
        <is>
          <t>1901.20</t>
        </is>
      </c>
      <c r="E900" s="42" t="n">
        <v>65</v>
      </c>
      <c r="F900" s="42" t="n">
        <v>90.84</v>
      </c>
      <c r="G900" s="42" t="n">
        <v>84.88</v>
      </c>
      <c r="H900" s="42" t="n">
        <v>74.94</v>
      </c>
      <c r="I900" s="42" t="inlineStr">
        <is>
          <t>Misturas e preparações para pães com menos de 80% de farinha de trigo na sua composição final, em embalagem superior a 25 kg e inferior ou igual a 50 Kg</t>
        </is>
      </c>
      <c r="J900" s="38" t="inlineStr">
        <is>
          <t xml:space="preserve">Lei nº 1.810, art. 49,§ 1º, XXIX </t>
        </is>
      </c>
      <c r="K900" s="47" t="inlineStr">
        <is>
          <t>(Item 46.8: nova redação dada pelo Decreto nº 16.323/2023. Efeitos a partir de 1º.11.2023.)</t>
        </is>
      </c>
      <c r="L900" s="29">
        <f>IF(D900="NCM/SH","",COUNTIF($D$5:$D$1506,D900))</f>
        <v/>
      </c>
    </row>
    <row r="901" ht="15.75" customHeight="1" thickBot="1">
      <c r="A901" s="1" t="inlineStr">
        <is>
          <t>18Alimentos</t>
        </is>
      </c>
      <c r="B901" s="82" t="n">
        <v>46.8</v>
      </c>
      <c r="C901" s="46" t="inlineStr">
        <is>
          <t>17.046.08</t>
        </is>
      </c>
      <c r="D901" s="48" t="inlineStr">
        <is>
          <t>1901.90.90</t>
        </is>
      </c>
      <c r="E901" s="46" t="n">
        <v>65</v>
      </c>
      <c r="F901" s="46" t="n">
        <v>90.84</v>
      </c>
      <c r="G901" s="46" t="n">
        <v>84.88</v>
      </c>
      <c r="H901" s="46" t="n">
        <v>74.94</v>
      </c>
      <c r="I901" s="46" t="inlineStr">
        <is>
          <t>Misturas e preparações para pães com menos de 80% de farinha de trigo na sua composição final, em embalagem superior a 25 kg e inferior ou igual a 50 Kg</t>
        </is>
      </c>
      <c r="J901" s="48" t="inlineStr">
        <is>
          <t xml:space="preserve">Lei nº 1.810, art. 49,§ 1º, XXIX </t>
        </is>
      </c>
      <c r="K901" s="47" t="inlineStr">
        <is>
          <t>(Item 46.8: nova redação dada pelo Decreto nº 16.323/2023. Efeitos a partir de 1º.11.2023.)</t>
        </is>
      </c>
      <c r="L901" s="29">
        <f>IF(D901="NCM/SH","",COUNTIF($D$5:$D$1506,D901))</f>
        <v/>
      </c>
    </row>
    <row r="902" ht="14.45" customHeight="1" thickBot="1">
      <c r="A902" s="1" t="inlineStr">
        <is>
          <t>18Alimentos</t>
        </is>
      </c>
      <c r="B902" s="81" t="inlineStr">
        <is>
          <t>46.9</t>
        </is>
      </c>
      <c r="C902" s="42" t="inlineStr">
        <is>
          <t>17.046.09</t>
        </is>
      </c>
      <c r="D902" s="38" t="inlineStr">
        <is>
          <t>1901.20</t>
        </is>
      </c>
      <c r="E902" s="42" t="n">
        <v>65</v>
      </c>
      <c r="F902" s="42" t="n">
        <v>90.84</v>
      </c>
      <c r="G902" s="42" t="n">
        <v>84.88</v>
      </c>
      <c r="H902" s="42" t="n">
        <v>74.94</v>
      </c>
      <c r="I902" s="42" t="inlineStr">
        <is>
          <t>Misturas e preparações para pães com menos de 80% de farinha de trigo na sua composição final, em embalagem superior a 50 Kg</t>
        </is>
      </c>
      <c r="J902" s="38" t="inlineStr">
        <is>
          <t xml:space="preserve">Lei nº 1.810, art. 49,§ 1º, XXIX </t>
        </is>
      </c>
      <c r="K902" s="47" t="inlineStr">
        <is>
          <t>(Item 46.9: nova redação dada pelo Decreto nº 16.323/2023. Efeitos a partir de 1º.11.2023.)</t>
        </is>
      </c>
      <c r="L902" s="29">
        <f>IF(D902="NCM/SH","",COUNTIF($D$5:$D$1506,D902))</f>
        <v/>
      </c>
    </row>
    <row r="903" ht="15.75" customHeight="1" thickBot="1">
      <c r="A903" s="1" t="inlineStr">
        <is>
          <t>18Alimentos</t>
        </is>
      </c>
      <c r="B903" s="82" t="n">
        <v>46.9</v>
      </c>
      <c r="C903" s="46" t="inlineStr">
        <is>
          <t>17.046.09</t>
        </is>
      </c>
      <c r="D903" s="48" t="inlineStr">
        <is>
          <t>1901.90.90</t>
        </is>
      </c>
      <c r="E903" s="46" t="n">
        <v>65</v>
      </c>
      <c r="F903" s="46" t="n">
        <v>90.84</v>
      </c>
      <c r="G903" s="46" t="n">
        <v>84.88</v>
      </c>
      <c r="H903" s="46" t="n">
        <v>74.94</v>
      </c>
      <c r="I903" s="46" t="inlineStr">
        <is>
          <t>Misturas e preparações para pães com menos de 80% de farinha de trigo na sua composição final, em embalagem superior a 50 Kg</t>
        </is>
      </c>
      <c r="J903" s="48" t="inlineStr">
        <is>
          <t xml:space="preserve">Lei nº 1.810, art. 49,§ 1º, XXIX </t>
        </is>
      </c>
      <c r="K903" s="47" t="inlineStr">
        <is>
          <t>(Item 46.9: nova redação dada pelo Decreto nº 16.323/2023. Efeitos a partir de 1º.11.2023.)</t>
        </is>
      </c>
      <c r="L903" s="29">
        <f>IF(D903="NCM/SH","",COUNTIF($D$5:$D$1506,D903))</f>
        <v/>
      </c>
    </row>
    <row r="904" ht="14.45" customHeight="1" thickBot="1">
      <c r="A904" s="1" t="inlineStr">
        <is>
          <t>18Alimentos</t>
        </is>
      </c>
      <c r="B904" s="81" t="inlineStr">
        <is>
          <t>46.10</t>
        </is>
      </c>
      <c r="C904" s="42" t="inlineStr">
        <is>
          <t>17.046.10</t>
        </is>
      </c>
      <c r="D904" s="38" t="inlineStr">
        <is>
          <t>1901.20</t>
        </is>
      </c>
      <c r="E904" s="42" t="n">
        <v>65</v>
      </c>
      <c r="F904" s="42" t="n">
        <v>90.84</v>
      </c>
      <c r="G904" s="42" t="n">
        <v>84.88</v>
      </c>
      <c r="H904" s="42" t="n">
        <v>74.94</v>
      </c>
      <c r="I904" s="42" t="inlineStr">
        <is>
          <t>Misturas e preparações para pães com, no mínimo, 80% de farinha de trigo na sua composição final, em embalagem inferior a 5 kg</t>
        </is>
      </c>
      <c r="J904" s="38" t="inlineStr">
        <is>
          <t xml:space="preserve">Lei nº 1.810, art. 49,§ 1º, XXIX </t>
        </is>
      </c>
      <c r="K904" s="47" t="inlineStr">
        <is>
          <t>(Item 46.10: nova redação dada pelo Decreto nº 16.323/2023. Efeitos a partir de 1º.11.2023.)</t>
        </is>
      </c>
      <c r="L904" s="29">
        <f>IF(D904="NCM/SH","",COUNTIF($D$5:$D$1506,D904))</f>
        <v/>
      </c>
    </row>
    <row r="905" ht="15.75" customHeight="1" thickBot="1">
      <c r="A905" s="1" t="inlineStr">
        <is>
          <t>18Alimentos</t>
        </is>
      </c>
      <c r="B905" s="82" t="n">
        <v>46.1</v>
      </c>
      <c r="C905" s="46" t="inlineStr">
        <is>
          <t>17.046.10</t>
        </is>
      </c>
      <c r="D905" s="48" t="inlineStr">
        <is>
          <t>1901.90.90</t>
        </is>
      </c>
      <c r="E905" s="46" t="n">
        <v>65</v>
      </c>
      <c r="F905" s="46" t="n">
        <v>90.84</v>
      </c>
      <c r="G905" s="46" t="n">
        <v>84.88</v>
      </c>
      <c r="H905" s="46" t="n">
        <v>74.94</v>
      </c>
      <c r="I905" s="46" t="inlineStr">
        <is>
          <t>Misturas e preparações para pães com, no mínimo, 80% de farinha de trigo na sua composição final, em embalagem inferior a 5 kg</t>
        </is>
      </c>
      <c r="J905" s="48" t="inlineStr">
        <is>
          <t xml:space="preserve">Lei nº 1.810, art. 49,§ 1º, XXIX </t>
        </is>
      </c>
      <c r="K905" s="47" t="inlineStr">
        <is>
          <t>(Item 46.10: nova redação dada pelo Decreto nº 16.323/2023. Efeitos a partir de 1º.11.2023.)</t>
        </is>
      </c>
      <c r="L905" s="29">
        <f>IF(D905="NCM/SH","",COUNTIF($D$5:$D$1506,D905))</f>
        <v/>
      </c>
    </row>
    <row r="906" ht="14.45" customHeight="1" thickBot="1">
      <c r="A906" s="1" t="inlineStr">
        <is>
          <t>18Alimentos</t>
        </is>
      </c>
      <c r="B906" s="81" t="inlineStr">
        <is>
          <t>46.11</t>
        </is>
      </c>
      <c r="C906" s="42" t="inlineStr">
        <is>
          <t>17.046.11</t>
        </is>
      </c>
      <c r="D906" s="38" t="inlineStr">
        <is>
          <t>1901.20</t>
        </is>
      </c>
      <c r="E906" s="42" t="n">
        <v>65</v>
      </c>
      <c r="F906" s="42" t="n">
        <v>90.84</v>
      </c>
      <c r="G906" s="42" t="n">
        <v>84.88</v>
      </c>
      <c r="H906" s="42" t="n">
        <v>74.94</v>
      </c>
      <c r="I906" s="42" t="inlineStr">
        <is>
          <t>Misturas e preparações para pães com, no mínimo, 80% de farinha de trigo na sua composição final, em embalagem igual a 5 kg</t>
        </is>
      </c>
      <c r="J906" s="38" t="inlineStr">
        <is>
          <t xml:space="preserve">Lei nº 1.810, art. 49,§ 1º, XXIX </t>
        </is>
      </c>
      <c r="K906" s="47" t="inlineStr">
        <is>
          <t>(Item 46.11: nova redação dada pelo Decreto nº 16.323/2023. Efeitos a partir de 1º.11.2023.)</t>
        </is>
      </c>
      <c r="L906" s="29">
        <f>IF(D906="NCM/SH","",COUNTIF($D$5:$D$1506,D906))</f>
        <v/>
      </c>
    </row>
    <row r="907" ht="15.75" customHeight="1" thickBot="1">
      <c r="A907" s="1" t="inlineStr">
        <is>
          <t>18Alimentos</t>
        </is>
      </c>
      <c r="B907" s="82" t="n">
        <v>46.11</v>
      </c>
      <c r="C907" s="46" t="inlineStr">
        <is>
          <t>17.046.11</t>
        </is>
      </c>
      <c r="D907" s="48" t="inlineStr">
        <is>
          <t>1901.90.90</t>
        </is>
      </c>
      <c r="E907" s="46" t="n">
        <v>65</v>
      </c>
      <c r="F907" s="46" t="n">
        <v>90.84</v>
      </c>
      <c r="G907" s="46" t="n">
        <v>84.88</v>
      </c>
      <c r="H907" s="46" t="n">
        <v>74.94</v>
      </c>
      <c r="I907" s="46" t="inlineStr">
        <is>
          <t>Misturas e preparações para pães com, no mínimo, 80% de farinha de trigo na sua composição final, em embalagem igual a 5 kg</t>
        </is>
      </c>
      <c r="J907" s="48" t="inlineStr">
        <is>
          <t xml:space="preserve">Lei nº 1.810, art. 49,§ 1º, XXIX </t>
        </is>
      </c>
      <c r="K907" s="47" t="inlineStr">
        <is>
          <t>(Item 46.11: nova redação dada pelo Decreto nº 16.323/2023. Efeitos a partir de 1º.11.2023.)</t>
        </is>
      </c>
      <c r="L907" s="29">
        <f>IF(D907="NCM/SH","",COUNTIF($D$5:$D$1506,D907))</f>
        <v/>
      </c>
    </row>
    <row r="908" ht="14.45" customHeight="1" thickBot="1">
      <c r="A908" s="1" t="inlineStr">
        <is>
          <t>18Alimentos</t>
        </is>
      </c>
      <c r="B908" s="81" t="inlineStr">
        <is>
          <t>46.12</t>
        </is>
      </c>
      <c r="C908" s="42" t="inlineStr">
        <is>
          <t>17.046.12</t>
        </is>
      </c>
      <c r="D908" s="38" t="inlineStr">
        <is>
          <t>1901.20</t>
        </is>
      </c>
      <c r="E908" s="42" t="n">
        <v>65</v>
      </c>
      <c r="F908" s="42" t="n">
        <v>90.84</v>
      </c>
      <c r="G908" s="42" t="n">
        <v>84.88</v>
      </c>
      <c r="H908" s="42" t="n">
        <v>74.94</v>
      </c>
      <c r="I908" s="42" t="inlineStr">
        <is>
          <t>Misturas e preparações para pães com, no mínimo, 80% de farinha de trigo na sua composição final, em embalagem superior a 5 kg e inferior ou igual a 25 Kg</t>
        </is>
      </c>
      <c r="J908" s="38" t="inlineStr">
        <is>
          <t xml:space="preserve">Lei nº 1.810, art. 49,§ 1º, XXIX </t>
        </is>
      </c>
      <c r="K908" s="47" t="inlineStr">
        <is>
          <t>(Item 46.12: nova redação dada pelo Decreto nº 16.323/2023. Efeitos a partir de 1º.11.2023.)</t>
        </is>
      </c>
      <c r="L908" s="29">
        <f>IF(D908="NCM/SH","",COUNTIF($D$5:$D$1506,D908))</f>
        <v/>
      </c>
    </row>
    <row r="909" ht="15.75" customHeight="1" thickBot="1">
      <c r="A909" s="1" t="inlineStr">
        <is>
          <t>18Alimentos</t>
        </is>
      </c>
      <c r="B909" s="82" t="n">
        <v>46.12</v>
      </c>
      <c r="C909" s="46" t="inlineStr">
        <is>
          <t>17.046.12</t>
        </is>
      </c>
      <c r="D909" s="48" t="inlineStr">
        <is>
          <t>1901.90.90</t>
        </is>
      </c>
      <c r="E909" s="46" t="n">
        <v>65</v>
      </c>
      <c r="F909" s="46" t="n">
        <v>90.84</v>
      </c>
      <c r="G909" s="46" t="n">
        <v>84.88</v>
      </c>
      <c r="H909" s="46" t="n">
        <v>74.94</v>
      </c>
      <c r="I909" s="46" t="inlineStr">
        <is>
          <t>Misturas e preparações para pães com, no mínimo, 80% de farinha de trigo na sua composição final, em embalagem superior a 5 kg e inferior ou igual a 25 Kg</t>
        </is>
      </c>
      <c r="J909" s="48" t="inlineStr">
        <is>
          <t xml:space="preserve">Lei nº 1.810, art. 49,§ 1º, XXIX </t>
        </is>
      </c>
      <c r="K909" s="47" t="inlineStr">
        <is>
          <t>(Item 46.12: nova redação dada pelo Decreto nº 16.323/2023. Efeitos a partir de 1º.11.2023.)</t>
        </is>
      </c>
      <c r="L909" s="29">
        <f>IF(D909="NCM/SH","",COUNTIF($D$5:$D$1506,D909))</f>
        <v/>
      </c>
    </row>
    <row r="910" ht="14.45" customHeight="1" thickBot="1">
      <c r="A910" s="1" t="inlineStr">
        <is>
          <t>18Alimentos</t>
        </is>
      </c>
      <c r="B910" s="81" t="inlineStr">
        <is>
          <t>46.13</t>
        </is>
      </c>
      <c r="C910" s="42" t="inlineStr">
        <is>
          <t>17.046.13</t>
        </is>
      </c>
      <c r="D910" s="38" t="inlineStr">
        <is>
          <t>1901.20</t>
        </is>
      </c>
      <c r="E910" s="42" t="n">
        <v>65</v>
      </c>
      <c r="F910" s="42" t="n">
        <v>90.84</v>
      </c>
      <c r="G910" s="42" t="n">
        <v>84.88</v>
      </c>
      <c r="H910" s="42" t="n">
        <v>74.94</v>
      </c>
      <c r="I910" s="42" t="inlineStr">
        <is>
          <t>Misturas e preparações para pães com, no mínimo, 80% de farinha de trigo na sua composição final, em embalagem superior a 25 kg e inferior ou igual a 50 Kg</t>
        </is>
      </c>
      <c r="J910" s="38" t="inlineStr">
        <is>
          <t xml:space="preserve">Lei nº 1.810, art. 49,§ 1º, XXIX </t>
        </is>
      </c>
      <c r="K910" s="47" t="inlineStr">
        <is>
          <t>(Item 46.13: nova redação dada pelo Decreto nº 16.323/2023. Efeitos a partir de 1º.11.2023.)</t>
        </is>
      </c>
      <c r="L910" s="29">
        <f>IF(D910="NCM/SH","",COUNTIF($D$5:$D$1506,D910))</f>
        <v/>
      </c>
    </row>
    <row r="911" ht="15.75" customHeight="1" thickBot="1">
      <c r="A911" s="1" t="inlineStr">
        <is>
          <t>18Alimentos</t>
        </is>
      </c>
      <c r="B911" s="82" t="n">
        <v>46.13</v>
      </c>
      <c r="C911" s="46" t="inlineStr">
        <is>
          <t>17.046.13</t>
        </is>
      </c>
      <c r="D911" s="48" t="inlineStr">
        <is>
          <t>1901.90.90</t>
        </is>
      </c>
      <c r="E911" s="46" t="n">
        <v>65</v>
      </c>
      <c r="F911" s="46" t="n">
        <v>90.84</v>
      </c>
      <c r="G911" s="46" t="n">
        <v>84.88</v>
      </c>
      <c r="H911" s="46" t="n">
        <v>74.94</v>
      </c>
      <c r="I911" s="46" t="inlineStr">
        <is>
          <t>Misturas e preparações para pães com, no mínimo, 80% de farinha de trigo na sua composição final, em embalagem superior a 25 kg e inferior ou igual a 50 Kg</t>
        </is>
      </c>
      <c r="J911" s="48" t="inlineStr">
        <is>
          <t xml:space="preserve">Lei nº 1.810, art. 49,§ 1º, XXIX </t>
        </is>
      </c>
      <c r="K911" s="47" t="inlineStr">
        <is>
          <t>(Item 46.13: nova redação dada pelo Decreto nº 16.323/2023. Efeitos a partir de 1º.11.2023.)</t>
        </is>
      </c>
      <c r="L911" s="29">
        <f>IF(D911="NCM/SH","",COUNTIF($D$5:$D$1506,D911))</f>
        <v/>
      </c>
    </row>
    <row r="912" ht="14.45" customHeight="1" thickBot="1">
      <c r="A912" s="1" t="inlineStr">
        <is>
          <t>18Alimentos</t>
        </is>
      </c>
      <c r="B912" s="81" t="inlineStr">
        <is>
          <t>46.14</t>
        </is>
      </c>
      <c r="C912" s="42" t="inlineStr">
        <is>
          <t>17.046.14</t>
        </is>
      </c>
      <c r="D912" s="38" t="inlineStr">
        <is>
          <t>1901.20</t>
        </is>
      </c>
      <c r="E912" s="42" t="n">
        <v>65</v>
      </c>
      <c r="F912" s="42" t="n">
        <v>90.84</v>
      </c>
      <c r="G912" s="42" t="n">
        <v>84.88</v>
      </c>
      <c r="H912" s="42" t="n">
        <v>74.94</v>
      </c>
      <c r="I912" s="42" t="inlineStr">
        <is>
          <t>Misturas e preparações para pães com, no mínimo, 80% de farinha de trigo na sua composição final, em embalagem superior a 50 Kg</t>
        </is>
      </c>
      <c r="J912" s="38" t="inlineStr">
        <is>
          <t xml:space="preserve">Lei nº 1.810, art. 49,§ 1º, XXIX </t>
        </is>
      </c>
      <c r="K912" s="47" t="inlineStr">
        <is>
          <t>(Item 46.14: nova redação dada pelo Decreto nº 16.323/2023. Efeitos a partir de 1º.11.2023.)</t>
        </is>
      </c>
      <c r="L912" s="29">
        <f>IF(D912="NCM/SH","",COUNTIF($D$5:$D$1506,D912))</f>
        <v/>
      </c>
    </row>
    <row r="913" ht="15.75" customHeight="1" thickBot="1">
      <c r="A913" s="1" t="inlineStr">
        <is>
          <t>18Alimentos</t>
        </is>
      </c>
      <c r="B913" s="82" t="n">
        <v>46.14</v>
      </c>
      <c r="C913" s="46" t="inlineStr">
        <is>
          <t>17.046.14</t>
        </is>
      </c>
      <c r="D913" s="48" t="inlineStr">
        <is>
          <t>1901.90.90</t>
        </is>
      </c>
      <c r="E913" s="46" t="n">
        <v>65</v>
      </c>
      <c r="F913" s="46" t="n">
        <v>90.84</v>
      </c>
      <c r="G913" s="46" t="n">
        <v>84.88</v>
      </c>
      <c r="H913" s="46" t="n">
        <v>74.94</v>
      </c>
      <c r="I913" s="46" t="inlineStr">
        <is>
          <t>Misturas e preparações para pães com, no mínimo, 80% de farinha de trigo na sua composição final, em embalagem superior a 50 Kg</t>
        </is>
      </c>
      <c r="J913" s="48" t="inlineStr">
        <is>
          <t xml:space="preserve">Lei nº 1.810, art. 49,§ 1º, XXIX </t>
        </is>
      </c>
      <c r="K913" s="47" t="inlineStr">
        <is>
          <t>(Item 46.14: nova redação dada pelo Decreto nº 16.323/2023. Efeitos a partir de 1º.11.2023.)</t>
        </is>
      </c>
      <c r="L913" s="29">
        <f>IF(D913="NCM/SH","",COUNTIF($D$5:$D$1506,D913))</f>
        <v/>
      </c>
    </row>
    <row r="914" ht="14.45" customHeight="1" thickBot="1">
      <c r="A914" s="1" t="inlineStr">
        <is>
          <t>18Alimentos</t>
        </is>
      </c>
      <c r="B914" s="98" t="inlineStr">
        <is>
          <t>46.15</t>
        </is>
      </c>
      <c r="C914" s="163" t="inlineStr">
        <is>
          <t>17.046.15</t>
        </is>
      </c>
      <c r="D914" s="38" t="inlineStr">
        <is>
          <t>1901.20</t>
        </is>
      </c>
      <c r="E914" s="42" t="n">
        <v>65</v>
      </c>
      <c r="F914" s="42" t="n">
        <v>90.84</v>
      </c>
      <c r="G914" s="42" t="n">
        <v>84.88</v>
      </c>
      <c r="H914" s="42" t="n">
        <v>74.94</v>
      </c>
      <c r="I914" s="163" t="inlineStr">
        <is>
          <t>Misturas e pastas para a preparação de produtos de padaria, pastelaria e da indústria de bolachas e biscoitos, da posição 19.05, exceto os previstos nos CEST 17.046.00 a 17.046.14 e 17.046.16.</t>
        </is>
      </c>
      <c r="J914" s="38" t="inlineStr">
        <is>
          <t>Lei nº 1.810, art. 49, § 1º, III</t>
        </is>
      </c>
      <c r="K914" s="47" t="inlineStr">
        <is>
          <t>(Item 46.15: nova redação dada pelo Decreto nº 16.323/2023. Efeitos a partir de 1º.11.2023.)</t>
        </is>
      </c>
      <c r="L914" s="29">
        <f>IF(D914="NCM/SH","",COUNTIF($D$5:$D$1506,D914))</f>
        <v/>
      </c>
    </row>
    <row r="915" ht="15.75" customHeight="1" thickBot="1">
      <c r="A915" s="1" t="inlineStr">
        <is>
          <t>18Alimentos</t>
        </is>
      </c>
      <c r="B915" s="99" t="n">
        <v>46.15</v>
      </c>
      <c r="C915" s="164" t="inlineStr">
        <is>
          <t>17.046.15</t>
        </is>
      </c>
      <c r="D915" s="48" t="inlineStr">
        <is>
          <t>1901.90.90</t>
        </is>
      </c>
      <c r="E915" s="46" t="n">
        <v>65</v>
      </c>
      <c r="F915" s="46" t="n">
        <v>90.84</v>
      </c>
      <c r="G915" s="46" t="n">
        <v>84.88</v>
      </c>
      <c r="H915" s="46" t="n">
        <v>74.94</v>
      </c>
      <c r="I915" s="164" t="inlineStr">
        <is>
          <t>Misturas e pastas para a preparação de produtos de padaria, pastelaria e da indústria de bolachas e biscoitos, da posição 19.05, exceto os previstos nos CEST 17.046.00 a 17.046.14 e 17.046.16.</t>
        </is>
      </c>
      <c r="J915" s="38" t="inlineStr">
        <is>
          <t>Lei nº 1.810, art. 49, § 1º, III</t>
        </is>
      </c>
      <c r="K915" s="47" t="inlineStr">
        <is>
          <t>(Item 46.15: nova redação dada pelo Decreto nº 16.323/2023. Efeitos a partir de 1º.11.2023.)</t>
        </is>
      </c>
      <c r="L915" s="29">
        <f>IF(D915="NCM/SH","",COUNTIF($D$5:$D$1506,D915))</f>
        <v/>
      </c>
    </row>
    <row r="916" ht="14.45" customHeight="1" thickBot="1">
      <c r="A916" s="1" t="inlineStr">
        <is>
          <t>18Alimentos</t>
        </is>
      </c>
      <c r="B916" s="98" t="inlineStr">
        <is>
          <t>46.16</t>
        </is>
      </c>
      <c r="C916" s="163" t="inlineStr">
        <is>
          <t>17.046.16</t>
        </is>
      </c>
      <c r="D916" s="38" t="inlineStr">
        <is>
          <t>1901.20</t>
        </is>
      </c>
      <c r="E916" s="42" t="n">
        <v>65</v>
      </c>
      <c r="F916" s="42" t="n">
        <v>90.84</v>
      </c>
      <c r="G916" s="42" t="n">
        <v>84.88</v>
      </c>
      <c r="H916" s="42" t="n">
        <v>74.94</v>
      </c>
      <c r="I916" s="163" t="inlineStr">
        <is>
          <t>Misturas e preparações com, no mínimo, 80% de farinha de trigo na sua composição final, exceto as descritas nos CEST 17.046.10 a 17.046.15.</t>
        </is>
      </c>
      <c r="J916" s="40" t="inlineStr">
        <is>
          <t>Lei nº 1.810, art. 49, § 1º, III</t>
        </is>
      </c>
      <c r="K916" s="47" t="inlineStr">
        <is>
          <t>(Item 46.16: nova redação dada pelo Decreto nº 16.323/2023. Efeitos a partir de 1º.11.2023.)</t>
        </is>
      </c>
      <c r="L916" s="29">
        <f>IF(D916="NCM/SH","",COUNTIF($D$5:$D$1506,D916))</f>
        <v/>
      </c>
    </row>
    <row r="917" ht="15.75" customHeight="1" thickBot="1">
      <c r="A917" s="1" t="inlineStr">
        <is>
          <t>18Alimentos</t>
        </is>
      </c>
      <c r="B917" s="99" t="n">
        <v>46.16</v>
      </c>
      <c r="C917" s="164" t="inlineStr">
        <is>
          <t>17.046.16</t>
        </is>
      </c>
      <c r="D917" s="48" t="inlineStr">
        <is>
          <t>1901.90.90</t>
        </is>
      </c>
      <c r="E917" s="46" t="n">
        <v>65</v>
      </c>
      <c r="F917" s="46" t="n">
        <v>90.84</v>
      </c>
      <c r="G917" s="46" t="n">
        <v>84.88</v>
      </c>
      <c r="H917" s="46" t="n">
        <v>74.94</v>
      </c>
      <c r="I917" s="164" t="inlineStr">
        <is>
          <t>Misturas e preparações com, no mínimo, 80% de farinha de trigo na sua composição final, exceto as descritas nos CEST 17.046.10 a 17.046.15.</t>
        </is>
      </c>
      <c r="J917" s="40" t="inlineStr">
        <is>
          <t>Lei nº 1.810, art. 49, § 1º, III</t>
        </is>
      </c>
      <c r="K917" s="47" t="inlineStr">
        <is>
          <t>(Item 46.16: nova redação dada pelo Decreto nº 16.323/2023. Efeitos a partir de 1º.11.2023.)</t>
        </is>
      </c>
      <c r="L917" s="29">
        <f>IF(D917="NCM/SH","",COUNTIF($D$5:$D$1506,D917))</f>
        <v/>
      </c>
    </row>
    <row r="918" ht="15.75" customHeight="1" thickBot="1">
      <c r="A918" s="1" t="inlineStr">
        <is>
          <t>18Alimentos</t>
        </is>
      </c>
      <c r="B918" s="165" t="inlineStr">
        <is>
          <t>47.0</t>
        </is>
      </c>
      <c r="C918" s="35" t="inlineStr">
        <is>
          <t>17.047.00</t>
        </is>
      </c>
      <c r="D918" s="35" t="inlineStr">
        <is>
          <t>1902.30.00</t>
        </is>
      </c>
      <c r="E918" s="48" t="n">
        <v>45.26</v>
      </c>
      <c r="F918" s="48" t="n">
        <v>68.01000000000001</v>
      </c>
      <c r="G918" s="48" t="n">
        <v>62.76</v>
      </c>
      <c r="H918" s="48" t="n">
        <v>54.01</v>
      </c>
      <c r="I918" s="35" t="inlineStr">
        <is>
          <t>Massas alimentícias tipo instantânea, exceto as descritas no CEST 17047.01.</t>
        </is>
      </c>
      <c r="J918" s="38" t="inlineStr">
        <is>
          <t>Lei nº 1.810, art. 49, § 1º, III</t>
        </is>
      </c>
      <c r="K918" s="43" t="inlineStr">
        <is>
          <t>(Item 47.0: nova redação dada pelo Decreto nº 15.520/2020. Efeitos a contar de 1º.03.2020.)</t>
        </is>
      </c>
      <c r="L918" s="29">
        <f>IF(D918="NCM/SH","",COUNTIF($D$5:$D$1506,D918))</f>
        <v/>
      </c>
    </row>
    <row r="919" ht="15.75" customHeight="1" thickBot="1">
      <c r="A919" s="1" t="inlineStr">
        <is>
          <t>18Alimentos</t>
        </is>
      </c>
      <c r="B919" s="165" t="inlineStr">
        <is>
          <t>47.1</t>
        </is>
      </c>
      <c r="C919" s="35" t="inlineStr">
        <is>
          <t>17.047.01</t>
        </is>
      </c>
      <c r="D919" s="35" t="inlineStr">
        <is>
          <t>1902.30.00</t>
        </is>
      </c>
      <c r="E919" s="48" t="n">
        <v>45.26</v>
      </c>
      <c r="F919" s="48" t="n">
        <v>68.01000000000001</v>
      </c>
      <c r="G919" s="48" t="n">
        <v>62.76</v>
      </c>
      <c r="H919" s="48" t="n">
        <v>54.01</v>
      </c>
      <c r="I919" s="35" t="inlineStr">
        <is>
          <t>Massas alimentícias tipo instantânea, derivadas de farinha de trigo.</t>
        </is>
      </c>
      <c r="J919" s="40" t="inlineStr">
        <is>
          <t>Lei nº 1.810, art. 49, § 1º, III</t>
        </is>
      </c>
      <c r="K919" s="43" t="inlineStr">
        <is>
          <t>(Item 47.1: acrescentado pelo Decreto nº 15.520/2020. Efeitos a contar de 1º.09.2020.)</t>
        </is>
      </c>
      <c r="L919" s="29">
        <f>IF(D919="NCM/SH","",COUNTIF($D$5:$D$1506,D919))</f>
        <v/>
      </c>
    </row>
    <row r="920" ht="14.45" customHeight="1" thickBot="1">
      <c r="A920" s="1" t="inlineStr">
        <is>
          <t>18Alimentos</t>
        </is>
      </c>
      <c r="B920" s="81" t="inlineStr">
        <is>
          <t>48.0</t>
        </is>
      </c>
      <c r="C920" s="42" t="inlineStr">
        <is>
          <t>17.048.00</t>
        </is>
      </c>
      <c r="D920" s="42" t="n">
        <v>1902</v>
      </c>
      <c r="E920" s="42" t="n">
        <v>45.26</v>
      </c>
      <c r="F920" s="42" t="n">
        <v>68.01000000000001</v>
      </c>
      <c r="G920" s="42" t="n">
        <v>62.76</v>
      </c>
      <c r="H920" s="42" t="n">
        <v>54.01</v>
      </c>
      <c r="I920" s="42" t="inlineStr">
        <is>
          <t>Massas alimentícias, cozidas ou recheadas (de carne ou de outras substâncias) ou preparadas de outro modo, exceto as descritas nos CEST 17.047.00, 17.048.01, e 17.048.02</t>
        </is>
      </c>
      <c r="J920" s="70" t="inlineStr">
        <is>
          <t>Lei nº 1.810, art. 49, § 1º, XXIX</t>
        </is>
      </c>
      <c r="K920" s="43" t="inlineStr">
        <is>
          <t>(Item 48.0: nova redação dada pelo Decreto nº 14.645/2016. Efeitos a partir de 1º.01.2017.)</t>
        </is>
      </c>
      <c r="L920" s="29">
        <f>IF(D920="NCM/SH","",COUNTIF($D$5:$D$1506,D920))</f>
        <v/>
      </c>
    </row>
    <row r="921" ht="15.75" customHeight="1" thickBot="1">
      <c r="A921" s="1" t="inlineStr">
        <is>
          <t>18Alimentos</t>
        </is>
      </c>
      <c r="B921" s="99" t="inlineStr">
        <is>
          <t>48.1</t>
        </is>
      </c>
      <c r="C921" s="35" t="inlineStr">
        <is>
          <t>17.048.01</t>
        </is>
      </c>
      <c r="D921" s="35" t="inlineStr">
        <is>
          <t>1902.40.00</t>
        </is>
      </c>
      <c r="E921" s="35" t="n">
        <v>45.26</v>
      </c>
      <c r="F921" s="35" t="n">
        <v>68.01000000000001</v>
      </c>
      <c r="G921" s="35" t="n">
        <v>62.76</v>
      </c>
      <c r="H921" s="35" t="n">
        <v>54.01</v>
      </c>
      <c r="I921" s="35" t="inlineStr">
        <is>
          <t>Cuscuz</t>
        </is>
      </c>
      <c r="J921" s="163" t="inlineStr">
        <is>
          <t>Lei nº 1.810, art. 49, § 1º, XXIX</t>
        </is>
      </c>
      <c r="L921" s="29">
        <f>IF(D921="NCM/SH","",COUNTIF($D$5:$D$1506,D921))</f>
        <v/>
      </c>
    </row>
    <row r="922" ht="15.75" customHeight="1" thickBot="1">
      <c r="A922" s="1" t="inlineStr">
        <is>
          <t>18Alimentos</t>
        </is>
      </c>
      <c r="B922" s="78" t="inlineStr">
        <is>
          <t>48.2</t>
        </is>
      </c>
      <c r="C922" s="48" t="inlineStr">
        <is>
          <t>17.048.02</t>
        </is>
      </c>
      <c r="D922" s="48" t="inlineStr">
        <is>
          <t>1902.20.00</t>
        </is>
      </c>
      <c r="E922" s="48" t="n">
        <v>45.26</v>
      </c>
      <c r="F922" s="48" t="n">
        <v>68.01000000000001</v>
      </c>
      <c r="G922" s="48" t="n">
        <v>62.76</v>
      </c>
      <c r="H922" s="48" t="n">
        <v>54.01</v>
      </c>
      <c r="I922" s="48" t="inlineStr">
        <is>
          <t>Massas alimentícias recheadas (mesmo cozidas ou preparadas de outro modo)</t>
        </is>
      </c>
      <c r="J922" s="44" t="inlineStr">
        <is>
          <t>Lei nº 1.810, art. 49, § 1º, XXIX</t>
        </is>
      </c>
      <c r="K922" s="43" t="inlineStr">
        <is>
          <t>(Item 48.2: acrescentado pelo Decreto nº 14.645/2016. Efeitos a partir de 1º.01.2017.)</t>
        </is>
      </c>
      <c r="L922" s="29">
        <f>IF(D922="NCM/SH","",COUNTIF($D$5:$D$1506,D922))</f>
        <v/>
      </c>
    </row>
    <row r="923" ht="14.45" customHeight="1" thickBot="1">
      <c r="A923" s="1" t="inlineStr">
        <is>
          <t>18Alimentos</t>
        </is>
      </c>
      <c r="B923" s="98" t="inlineStr">
        <is>
          <t>49.0</t>
        </is>
      </c>
      <c r="C923" s="74" t="inlineStr">
        <is>
          <t>17.049.00</t>
        </is>
      </c>
      <c r="D923" s="74" t="inlineStr">
        <is>
          <t>1902.1</t>
        </is>
      </c>
      <c r="E923" s="74" t="n">
        <v>45.26</v>
      </c>
      <c r="F923" s="74" t="n">
        <v>68.01000000000001</v>
      </c>
      <c r="G923" s="74" t="n">
        <v>62.76</v>
      </c>
      <c r="H923" s="74" t="n">
        <v>54.01</v>
      </c>
      <c r="I923" s="74" t="inlineStr">
        <is>
          <t>Massas alimentícias do tipo comum, não cozidas, nem recheadas, nem preparadas de outro modo, não derivadas do trigo</t>
        </is>
      </c>
      <c r="J923" s="37" t="inlineStr">
        <is>
          <t>Lei nº 1.810, art. 49, § 1º, III</t>
        </is>
      </c>
      <c r="K923" s="66" t="inlineStr">
        <is>
          <t>(Item 49.0: nova redação dada pelo Decreto n° 15.657/2021. Efeitos a partir de 1°.10.2020.)</t>
        </is>
      </c>
      <c r="L923" s="29">
        <f>IF(D923="NCM/SH","",COUNTIF($D$5:$D$1506,D923))</f>
        <v/>
      </c>
    </row>
    <row r="924" ht="15.75" customHeight="1" thickBot="1">
      <c r="A924" s="1" t="inlineStr">
        <is>
          <t>18Alimentos</t>
        </is>
      </c>
      <c r="B924" s="165" t="inlineStr">
        <is>
          <t>49.1</t>
        </is>
      </c>
      <c r="C924" s="35" t="inlineStr">
        <is>
          <t>17.049.01</t>
        </is>
      </c>
      <c r="D924" s="35" t="inlineStr">
        <is>
          <t>1902.1</t>
        </is>
      </c>
      <c r="E924" s="35" t="n">
        <v>45.26</v>
      </c>
      <c r="F924" s="35" t="n">
        <v>68.01000000000001</v>
      </c>
      <c r="G924" s="35" t="n">
        <v>62.76</v>
      </c>
      <c r="H924" s="35" t="n">
        <v>54.01</v>
      </c>
      <c r="I924" s="35" t="inlineStr">
        <is>
          <t>Massas alimentícias do tipo sêmola, não cozidas, nem recheadas, nem preparadas de outro modo, não derivadas do trigo</t>
        </is>
      </c>
      <c r="J924" s="37" t="inlineStr">
        <is>
          <t>Lei nº 1.810, art. 49, § 1º, III</t>
        </is>
      </c>
      <c r="K924" s="49" t="inlineStr">
        <is>
          <t>(Item 49.1: nova redação dada pelo Decreto n° 15.657/2021. Efeitos a partir de 1°.10.2020.)</t>
        </is>
      </c>
      <c r="L924" s="29">
        <f>IF(D924="NCM/SH","",COUNTIF($D$5:$D$1506,D924))</f>
        <v/>
      </c>
    </row>
    <row r="925" ht="15.75" customHeight="1" thickBot="1">
      <c r="A925" s="1" t="inlineStr">
        <is>
          <t>18Alimentos</t>
        </is>
      </c>
      <c r="B925" s="78" t="inlineStr">
        <is>
          <t>49.2</t>
        </is>
      </c>
      <c r="C925" s="35" t="inlineStr">
        <is>
          <t>17.049.02</t>
        </is>
      </c>
      <c r="D925" s="35" t="inlineStr">
        <is>
          <t>1902.11.00</t>
        </is>
      </c>
      <c r="E925" s="35" t="n">
        <v>45.26</v>
      </c>
      <c r="F925" s="35" t="n">
        <v>68.01000000000001</v>
      </c>
      <c r="G925" s="35" t="n">
        <v>62.76</v>
      </c>
      <c r="H925" s="35" t="n">
        <v>54.01</v>
      </c>
      <c r="I925" s="35" t="inlineStr">
        <is>
          <t>Massas alimentícias do tipo grano duro, não cozidas, nem recheadas, nem preparadas de outro modo, que contenham ovos</t>
        </is>
      </c>
      <c r="J925" s="40" t="inlineStr">
        <is>
          <t>Lei nº 1.810, art. 49, § 1º, III</t>
        </is>
      </c>
      <c r="K925" s="49" t="inlineStr">
        <is>
          <t>(Item 49.2: nova redação dada pelo Decreto n° 15.657/2021. Efeitos a partir de 1°.10.2020.)</t>
        </is>
      </c>
      <c r="L925" s="29">
        <f>IF(D925="NCM/SH","",COUNTIF($D$5:$D$1506,D925))</f>
        <v/>
      </c>
    </row>
    <row r="926" ht="15.75" customHeight="1" thickBot="1">
      <c r="A926" s="1" t="inlineStr">
        <is>
          <t>18Alimentos</t>
        </is>
      </c>
      <c r="B926" s="165" t="inlineStr">
        <is>
          <t>49.3</t>
        </is>
      </c>
      <c r="C926" s="35" t="inlineStr">
        <is>
          <t>17.049.03</t>
        </is>
      </c>
      <c r="D926" s="35" t="inlineStr">
        <is>
          <t>1902.19.00</t>
        </is>
      </c>
      <c r="E926" s="35" t="n">
        <v>45.26</v>
      </c>
      <c r="F926" s="35" t="n">
        <v>68.01000000000001</v>
      </c>
      <c r="G926" s="35" t="n">
        <v>62.76</v>
      </c>
      <c r="H926" s="35" t="n">
        <v>54.01</v>
      </c>
      <c r="I926" s="35" t="inlineStr">
        <is>
          <t>Outras massas alimentícias do tipo comum, não cozidas, nem recheadas, nem preparadas de outro modo, que não contenham ovos, derivadas de farinha de trigo</t>
        </is>
      </c>
      <c r="J926" s="40" t="inlineStr">
        <is>
          <t>Lei nº 1.810, art. 49, § 1º, III</t>
        </is>
      </c>
      <c r="K926" s="49" t="inlineStr">
        <is>
          <t>(Item 49.3: nova redação dada pelo Decreto n° 15.657/2021. Efeitos a partir de 1°.10.2020.)</t>
        </is>
      </c>
      <c r="L926" s="29">
        <f>IF(D926="NCM/SH","",COUNTIF($D$5:$D$1506,D926))</f>
        <v/>
      </c>
    </row>
    <row r="927" ht="15.75" customHeight="1" thickBot="1">
      <c r="A927" s="1" t="inlineStr">
        <is>
          <t>18Alimentos</t>
        </is>
      </c>
      <c r="B927" s="165" t="inlineStr">
        <is>
          <t>49.4</t>
        </is>
      </c>
      <c r="C927" s="35" t="inlineStr">
        <is>
          <t>17.049.04</t>
        </is>
      </c>
      <c r="D927" s="35" t="inlineStr">
        <is>
          <t>1902.19.00</t>
        </is>
      </c>
      <c r="E927" s="35" t="n">
        <v>45.26</v>
      </c>
      <c r="F927" s="35" t="n">
        <v>68.01000000000001</v>
      </c>
      <c r="G927" s="35" t="n">
        <v>62.76</v>
      </c>
      <c r="H927" s="35" t="n">
        <v>54.01</v>
      </c>
      <c r="I927" s="35" t="inlineStr">
        <is>
          <t>Outras massas alimentícias do tipo sêmola, não cozidas, nem recheadas, nem preparadas de outro modo, que não contenham ovos, derivadas do trigo</t>
        </is>
      </c>
      <c r="J927" s="40" t="inlineStr">
        <is>
          <t>Lei nº 1.810, art. 49, § 1º, III</t>
        </is>
      </c>
      <c r="K927" s="49" t="inlineStr">
        <is>
          <t>(Item 49.4: nova redação dada pelo Decreto n° 15.657/2021. Efeitos a partir de 1°.10.2020.)</t>
        </is>
      </c>
      <c r="L927" s="29">
        <f>IF(D927="NCM/SH","",COUNTIF($D$5:$D$1506,D927))</f>
        <v/>
      </c>
    </row>
    <row r="928" ht="15.75" customHeight="1" thickBot="1">
      <c r="A928" s="1" t="inlineStr">
        <is>
          <t>18Alimentos</t>
        </is>
      </c>
      <c r="B928" s="78" t="inlineStr">
        <is>
          <t>49.5</t>
        </is>
      </c>
      <c r="C928" s="35" t="inlineStr">
        <is>
          <t>17.049.05</t>
        </is>
      </c>
      <c r="D928" s="35" t="inlineStr">
        <is>
          <t>1902.19.00</t>
        </is>
      </c>
      <c r="E928" s="35" t="n">
        <v>45.26</v>
      </c>
      <c r="F928" s="35" t="n">
        <v>68.01000000000001</v>
      </c>
      <c r="G928" s="35" t="n">
        <v>62.76</v>
      </c>
      <c r="H928" s="35" t="n">
        <v>54.01</v>
      </c>
      <c r="I928" s="35" t="inlineStr">
        <is>
          <t>Outras massas alimentícias do tipo grano duro, não cozidas, nem recheadas, nem preparadas de outro modo, que não contenham ovos</t>
        </is>
      </c>
      <c r="J928" s="37" t="inlineStr">
        <is>
          <t>Lei nº 1.810, art. 49, § 1º, III</t>
        </is>
      </c>
      <c r="K928" s="49" t="inlineStr">
        <is>
          <t>(Item 49.5: nova redação dada pelo Decreto n° 15.657/2021. Efeitos a partir de 1°.10.2020.)</t>
        </is>
      </c>
      <c r="L928" s="29">
        <f>IF(D928="NCM/SH","",COUNTIF($D$5:$D$1506,D928))</f>
        <v/>
      </c>
    </row>
    <row r="929" ht="15.75" customHeight="1" thickBot="1">
      <c r="A929" s="1" t="inlineStr">
        <is>
          <t>18Alimentos</t>
        </is>
      </c>
      <c r="B929" s="165" t="inlineStr">
        <is>
          <t>49.6</t>
        </is>
      </c>
      <c r="C929" s="35" t="inlineStr">
        <is>
          <t>17.049.06</t>
        </is>
      </c>
      <c r="D929" s="35" t="inlineStr">
        <is>
          <t>1902.11.00</t>
        </is>
      </c>
      <c r="E929" s="35" t="n">
        <v>45.26</v>
      </c>
      <c r="F929" s="35" t="n">
        <v>68.01000000000001</v>
      </c>
      <c r="G929" s="35" t="n">
        <v>62.76</v>
      </c>
      <c r="H929" s="35" t="n">
        <v>54.01</v>
      </c>
      <c r="I929" s="35" t="inlineStr">
        <is>
          <t>Massas alimentícias do tipo comum, não cozidas, nem recheadas, nem preparadas de outro modo, que contenham ovos, derivadas de farinha de trigo</t>
        </is>
      </c>
      <c r="J929" s="40" t="inlineStr">
        <is>
          <t>Lei nº 1.810, art. 49, § 1º, III</t>
        </is>
      </c>
      <c r="K929" s="49" t="inlineStr">
        <is>
          <t>(Item 49.6: nova redação dada pelo Decreto n° 15.657/2021. Efeitos a partir de 1°.10.2020.)</t>
        </is>
      </c>
      <c r="L929" s="29">
        <f>IF(D929="NCM/SH","",COUNTIF($D$5:$D$1506,D929))</f>
        <v/>
      </c>
    </row>
    <row r="930" ht="15.75" customHeight="1" thickBot="1">
      <c r="A930" s="1" t="inlineStr">
        <is>
          <t>18Alimentos</t>
        </is>
      </c>
      <c r="B930" s="165" t="inlineStr">
        <is>
          <t>49.7</t>
        </is>
      </c>
      <c r="C930" s="35" t="inlineStr">
        <is>
          <t>17.049.07</t>
        </is>
      </c>
      <c r="D930" s="35" t="inlineStr">
        <is>
          <t>1902.1</t>
        </is>
      </c>
      <c r="E930" s="35" t="n">
        <v>45.26</v>
      </c>
      <c r="F930" s="35" t="n">
        <v>68.01000000000001</v>
      </c>
      <c r="G930" s="35" t="n">
        <v>62.76</v>
      </c>
      <c r="H930" s="35" t="n">
        <v>54.01</v>
      </c>
      <c r="I930" s="35" t="inlineStr">
        <is>
          <t>Massas alimentícias do tipo sêmola, não cozidas, nem recheadas, nem preparadas de outro modo, que contenham ovos, derivadas do trigo</t>
        </is>
      </c>
      <c r="J930" s="40" t="inlineStr">
        <is>
          <t>Lei nº 1.810, art. 49, § 1º, III</t>
        </is>
      </c>
      <c r="K930" s="49" t="inlineStr">
        <is>
          <t>(Item 49.7: nova redação dada pelo Decreto n° 15.657/2021. Efeitos a partir de 1°.10.2020.)</t>
        </is>
      </c>
      <c r="L930" s="29">
        <f>IF(D930="NCM/SH","",COUNTIF($D$5:$D$1506,D930))</f>
        <v/>
      </c>
    </row>
    <row r="931" ht="15.75" customHeight="1" thickBot="1">
      <c r="A931" s="1" t="inlineStr">
        <is>
          <t>18Alimentos</t>
        </is>
      </c>
      <c r="B931" s="165" t="inlineStr">
        <is>
          <t>50.0</t>
        </is>
      </c>
      <c r="C931" s="35" t="inlineStr">
        <is>
          <t>17.050.00</t>
        </is>
      </c>
      <c r="D931" s="35" t="inlineStr">
        <is>
          <t>1905.20</t>
        </is>
      </c>
      <c r="E931" s="35" t="n">
        <v>51.7</v>
      </c>
      <c r="F931" s="35" t="n">
        <v>75.45999999999999</v>
      </c>
      <c r="G931" s="35" t="n">
        <v>69.98</v>
      </c>
      <c r="H931" s="35" t="n">
        <v>60.84</v>
      </c>
      <c r="I931" s="35" t="inlineStr">
        <is>
          <t xml:space="preserve">Pães industrializados, inclusive de especiarias, exceto panetones e bolo de forma </t>
        </is>
      </c>
      <c r="J931" s="44" t="inlineStr">
        <is>
          <t>Lei nº 1.810, art. 49, § 1º, III</t>
        </is>
      </c>
      <c r="L931" s="29">
        <f>IF(D931="NCM/SH","",COUNTIF($D$5:$D$1506,D931))</f>
        <v/>
      </c>
    </row>
    <row r="932" ht="15.75" customHeight="1" thickBot="1">
      <c r="A932" s="1" t="inlineStr">
        <is>
          <t>18Alimentos</t>
        </is>
      </c>
      <c r="B932" s="165" t="inlineStr">
        <is>
          <t>51.0</t>
        </is>
      </c>
      <c r="C932" s="35" t="inlineStr">
        <is>
          <t>17.051.00</t>
        </is>
      </c>
      <c r="D932" s="35" t="inlineStr">
        <is>
          <t>1905.20.90</t>
        </is>
      </c>
      <c r="E932" s="35" t="n">
        <v>51.7</v>
      </c>
      <c r="F932" s="35" t="n">
        <v>75.45999999999999</v>
      </c>
      <c r="G932" s="35" t="n">
        <v>69.98</v>
      </c>
      <c r="H932" s="35" t="n">
        <v>60.84</v>
      </c>
      <c r="I932" s="35" t="inlineStr">
        <is>
          <t>Bolo de forma, inclusive de especiarias</t>
        </is>
      </c>
      <c r="J932" s="44" t="inlineStr">
        <is>
          <t>Lei nº 1.810, art. 49, § 1º, III</t>
        </is>
      </c>
      <c r="L932" s="29">
        <f>IF(D932="NCM/SH","",COUNTIF($D$5:$D$1506,D932))</f>
        <v/>
      </c>
    </row>
    <row r="933" ht="15.75" customHeight="1" thickBot="1">
      <c r="A933" s="1" t="inlineStr">
        <is>
          <t>18Alimentos</t>
        </is>
      </c>
      <c r="B933" s="165" t="inlineStr">
        <is>
          <t>52.0</t>
        </is>
      </c>
      <c r="C933" s="35" t="inlineStr">
        <is>
          <t>17.052.00</t>
        </is>
      </c>
      <c r="D933" s="35" t="inlineStr">
        <is>
          <t>1905.20.10</t>
        </is>
      </c>
      <c r="E933" s="35" t="n">
        <v>51.7</v>
      </c>
      <c r="F933" s="35" t="n">
        <v>75.45999999999999</v>
      </c>
      <c r="G933" s="35" t="n">
        <v>69.98</v>
      </c>
      <c r="H933" s="35" t="n">
        <v>60.84</v>
      </c>
      <c r="I933" s="35" t="inlineStr">
        <is>
          <t>Panetones</t>
        </is>
      </c>
      <c r="J933" s="44" t="inlineStr">
        <is>
          <t>Lei nº 1.810, art. 49, § 1º, III</t>
        </is>
      </c>
      <c r="L933" s="29">
        <f>IF(D933="NCM/SH","",COUNTIF($D$5:$D$1506,D933))</f>
        <v/>
      </c>
    </row>
    <row r="934" ht="15.75" customHeight="1" thickBot="1">
      <c r="A934" s="1" t="inlineStr">
        <is>
          <t>18Alimentos</t>
        </is>
      </c>
      <c r="B934" s="78" t="inlineStr">
        <is>
          <t>53.0</t>
        </is>
      </c>
      <c r="C934" s="48" t="inlineStr">
        <is>
          <t>17.053.00</t>
        </is>
      </c>
      <c r="D934" s="48" t="inlineStr">
        <is>
          <t>1905.31.00</t>
        </is>
      </c>
      <c r="E934" s="48" t="n">
        <v>51.7</v>
      </c>
      <c r="F934" s="48" t="n">
        <v>75.45999999999999</v>
      </c>
      <c r="G934" s="48" t="n">
        <v>69.98</v>
      </c>
      <c r="H934" s="48" t="n">
        <v>60.84</v>
      </c>
      <c r="I934" s="35" t="inlineStr">
        <is>
          <t>Biscoitos e bolachas derivados de farinha de trigo; (exceto dos tipos "cream cracker", "água e sal", "maisena", "maria" e outros de consumo popular que não sejam adicionados de cacau, nem recheados, cobertos ou amanteigados, independentemente de sua denominação comercial)</t>
        </is>
      </c>
      <c r="J934" s="44" t="inlineStr">
        <is>
          <t>Lei nº 1.810, art. 49, § 1º, III</t>
        </is>
      </c>
      <c r="K934" s="43" t="inlineStr">
        <is>
          <t>(Item 53.0: nova redação dada pelo Decreto nº 14.645/2016. Efeitos a partir de 1º.01.2017.)</t>
        </is>
      </c>
      <c r="L934" s="29">
        <f>IF(D934="NCM/SH","",COUNTIF($D$5:$D$1506,D934))</f>
        <v/>
      </c>
    </row>
    <row r="935" ht="15.75" customHeight="1" thickBot="1">
      <c r="A935" s="1" t="inlineStr">
        <is>
          <t>18Alimentos</t>
        </is>
      </c>
      <c r="B935" s="78" t="inlineStr">
        <is>
          <t>53.1</t>
        </is>
      </c>
      <c r="C935" s="48" t="inlineStr">
        <is>
          <t>17.053.01</t>
        </is>
      </c>
      <c r="D935" s="48" t="inlineStr">
        <is>
          <t>1905.31.00</t>
        </is>
      </c>
      <c r="E935" s="48" t="n">
        <v>51.7</v>
      </c>
      <c r="F935" s="48" t="n">
        <v>75.45999999999999</v>
      </c>
      <c r="G935" s="48" t="n">
        <v>69.98</v>
      </c>
      <c r="H935" s="48" t="n">
        <v>60.84</v>
      </c>
      <c r="I935" s="48" t="inlineStr">
        <is>
          <t xml:space="preserve">Biscoitos e bolachas derivados de farinha de trigo dos tipos “maisena” e “maria” e outros de consumo popular que não sejam adicionados de cacau, nem recheados, cobertos ou amanteigados, independentemente de sua denominação comercial. Exceto o CEST 17.053.02 </t>
        </is>
      </c>
      <c r="J935" s="44" t="inlineStr">
        <is>
          <t>Lei nº 1.810, art. 49, § 1º, III</t>
        </is>
      </c>
      <c r="K935" s="43" t="inlineStr">
        <is>
          <t>(Item 53.1: acrescentado pelo Decreto nº 14.645/2016. Efeitos a partir de 1º.01.2017.)</t>
        </is>
      </c>
      <c r="L935" s="29">
        <f>IF(D935="NCM/SH","",COUNTIF($D$5:$D$1506,D935))</f>
        <v/>
      </c>
    </row>
    <row r="936" ht="15.75" customHeight="1" thickBot="1">
      <c r="A936" s="1" t="inlineStr">
        <is>
          <t>18Alimentos</t>
        </is>
      </c>
      <c r="B936" s="78" t="inlineStr">
        <is>
          <t>53.2</t>
        </is>
      </c>
      <c r="C936" s="48" t="inlineStr">
        <is>
          <t>17.053.02</t>
        </is>
      </c>
      <c r="D936" s="48" t="inlineStr">
        <is>
          <t>1905.31.00</t>
        </is>
      </c>
      <c r="E936" s="48" t="n">
        <v>51.7</v>
      </c>
      <c r="F936" s="48" t="n">
        <v>75.45999999999999</v>
      </c>
      <c r="G936" s="48" t="n">
        <v>69.98</v>
      </c>
      <c r="H936" s="48" t="n">
        <v>60.84</v>
      </c>
      <c r="I936" s="48" t="inlineStr">
        <is>
          <t>Biscoitos e bolachas derivados de farinha de trigo dos tipos "cream cracker" e "água e sal" de consumo popular</t>
        </is>
      </c>
      <c r="J936" s="1" t="inlineStr">
        <is>
          <t>Lei nº 1.810, art. 49, § 1º, III</t>
        </is>
      </c>
      <c r="K936" s="43" t="inlineStr">
        <is>
          <t>(Item 53.2: nova redação dada pelo Decreto nº 14.668/2017. Efeitos a partir de 1º.02.2017.)</t>
        </is>
      </c>
      <c r="L936" s="29">
        <f>IF(D936="NCM/SH","",COUNTIF($D$5:$D$1506,D936))</f>
        <v/>
      </c>
    </row>
    <row r="937" ht="15.75" customHeight="1" thickBot="1">
      <c r="A937" s="1" t="inlineStr">
        <is>
          <t>18Alimentos</t>
        </is>
      </c>
      <c r="B937" s="82" t="inlineStr">
        <is>
          <t>54.0</t>
        </is>
      </c>
      <c r="C937" s="48" t="inlineStr">
        <is>
          <t>17.054.00</t>
        </is>
      </c>
      <c r="D937" s="48" t="inlineStr">
        <is>
          <t>1905.31.00</t>
        </is>
      </c>
      <c r="E937" s="48" t="n">
        <v>51.7</v>
      </c>
      <c r="F937" s="48" t="n">
        <v>75.45999999999999</v>
      </c>
      <c r="G937" s="48" t="n">
        <v>69.98</v>
      </c>
      <c r="H937" s="48" t="n">
        <v>60.84</v>
      </c>
      <c r="I937" s="48" t="inlineStr">
        <is>
          <t xml:space="preserve">Biscoitos e bolachas não derivados de farinha de trigo; (exceto dos tipos "cream cracker", "água e sal", "maisena" e "maria" e outros de consumo popular que não sejam adicionados de cacau, nem recheados, cobertos ou amanteigados, independentemente de sua denominação comercial) </t>
        </is>
      </c>
      <c r="J937" s="35" t="inlineStr">
        <is>
          <t>Lei nº 1.810, art. 49, § 1º, III</t>
        </is>
      </c>
      <c r="K937" s="43" t="inlineStr">
        <is>
          <t>(Item 54.0: nova redação dada pelo Decreto nº 14.645/2016. Efeitos a partir de 1º.01.2017.)</t>
        </is>
      </c>
      <c r="L937" s="29">
        <f>IF(D937="NCM/SH","",COUNTIF($D$5:$D$1506,D937))</f>
        <v/>
      </c>
    </row>
    <row r="938" ht="15.75" customHeight="1" thickBot="1">
      <c r="A938" s="1" t="inlineStr">
        <is>
          <t>18Alimentos</t>
        </is>
      </c>
      <c r="B938" s="82" t="inlineStr">
        <is>
          <t>54.1</t>
        </is>
      </c>
      <c r="C938" s="48" t="inlineStr">
        <is>
          <t>17.054.01</t>
        </is>
      </c>
      <c r="D938" s="48" t="inlineStr">
        <is>
          <t>1905.31.00</t>
        </is>
      </c>
      <c r="E938" s="48" t="n">
        <v>51.7</v>
      </c>
      <c r="F938" s="48" t="n">
        <v>75.45999999999999</v>
      </c>
      <c r="G938" s="48" t="n">
        <v>69.98</v>
      </c>
      <c r="H938" s="48" t="n">
        <v>60.84</v>
      </c>
      <c r="I938" s="48" t="inlineStr">
        <is>
          <t xml:space="preserve">Biscoitos e bolachas não derivados de farinha de trigo dos tipos “maisena” e “maria” e outros de consumo popular que não sejam adicionados de cacau, nem recheados, cobertos ou amanteigados, independentemente de sua denominação comercial. Exceto o CEST 17.054.02 </t>
        </is>
      </c>
      <c r="J938" s="38" t="inlineStr">
        <is>
          <t>Lei nº 1.810, art. 49, § 1º, XXIX</t>
        </is>
      </c>
      <c r="K938" s="43" t="inlineStr">
        <is>
          <t>(Item 54.1: acrescentado pelo Decreto nº 14.645/2016. Efeitos a partir de 1º.01.2017.)</t>
        </is>
      </c>
      <c r="L938" s="29">
        <f>IF(D938="NCM/SH","",COUNTIF($D$5:$D$1506,D938))</f>
        <v/>
      </c>
    </row>
    <row r="939" ht="15.75" customHeight="1" thickBot="1">
      <c r="A939" s="1" t="inlineStr">
        <is>
          <t>18Alimentos</t>
        </is>
      </c>
      <c r="B939" s="78" t="inlineStr">
        <is>
          <t>54.2</t>
        </is>
      </c>
      <c r="C939" s="48" t="inlineStr">
        <is>
          <t>17.054.02</t>
        </is>
      </c>
      <c r="D939" s="48" t="inlineStr">
        <is>
          <t>1905.31.00</t>
        </is>
      </c>
      <c r="E939" s="48" t="n">
        <v>51.7</v>
      </c>
      <c r="F939" s="48" t="n">
        <v>75.45999999999999</v>
      </c>
      <c r="G939" s="48" t="n">
        <v>69.98</v>
      </c>
      <c r="H939" s="48" t="n">
        <v>60.84</v>
      </c>
      <c r="I939" s="48" t="inlineStr">
        <is>
          <t>Biscoitos e bolachas não derivados de farinha de trigo dos tipos "cream cracker" e "água e sal" de consumo popular</t>
        </is>
      </c>
      <c r="J939" s="38" t="inlineStr">
        <is>
          <t>Lei nº 1.810, art. 49, § 1º, XXIX</t>
        </is>
      </c>
      <c r="K939" s="43" t="inlineStr">
        <is>
          <t>(Item 54.2: acrescentado pelo Decreto nº 14.668/2017. Efeitos a partir de 1º.01.2017.)</t>
        </is>
      </c>
      <c r="L939" s="29">
        <f>IF(D939="NCM/SH","",COUNTIF($D$5:$D$1506,D939))</f>
        <v/>
      </c>
    </row>
    <row r="940" ht="15.75" customHeight="1" thickBot="1">
      <c r="A940" s="1" t="inlineStr">
        <is>
          <t>18Alimentos</t>
        </is>
      </c>
      <c r="B940" s="78" t="inlineStr">
        <is>
          <t>56.0</t>
        </is>
      </c>
      <c r="C940" s="48" t="inlineStr">
        <is>
          <t>17.056.00</t>
        </is>
      </c>
      <c r="D940" s="48" t="inlineStr">
        <is>
          <t>1905.90.20</t>
        </is>
      </c>
      <c r="E940" s="48" t="n">
        <v>51.7</v>
      </c>
      <c r="F940" s="48" t="n">
        <v>75.45999999999999</v>
      </c>
      <c r="G940" s="48" t="n">
        <v>69.98</v>
      </c>
      <c r="H940" s="48" t="n">
        <v>60.84</v>
      </c>
      <c r="I940" s="48" t="inlineStr">
        <is>
          <t>Biscoitos e bolachas derivados de farinha de trigo dos tipos "cream cracker" e "água e sal"</t>
        </is>
      </c>
      <c r="J940" s="38" t="inlineStr">
        <is>
          <t>Lei nº 1.810, art. 49, § 1º, XXIX</t>
        </is>
      </c>
      <c r="K940" s="43" t="inlineStr">
        <is>
          <t>(Item 56.0: nova redação dada pelo Decreto nº 14.645/2016. Efeitos a partir de 1º.01.2017.)</t>
        </is>
      </c>
      <c r="L940" s="29">
        <f>IF(D940="NCM/SH","",COUNTIF($D$5:$D$1506,D940))</f>
        <v/>
      </c>
    </row>
    <row r="941" ht="15.75" customHeight="1" thickBot="1">
      <c r="A941" s="1" t="inlineStr">
        <is>
          <t>18Alimentos</t>
        </is>
      </c>
      <c r="B941" s="78" t="inlineStr">
        <is>
          <t>56.1</t>
        </is>
      </c>
      <c r="C941" s="48" t="inlineStr">
        <is>
          <t>17.056.01</t>
        </is>
      </c>
      <c r="D941" s="48" t="inlineStr">
        <is>
          <t>1905.90.20</t>
        </is>
      </c>
      <c r="E941" s="48" t="n">
        <v>51.7</v>
      </c>
      <c r="F941" s="48" t="n">
        <v>75.45999999999999</v>
      </c>
      <c r="G941" s="48" t="n">
        <v>69.98</v>
      </c>
      <c r="H941" s="48" t="n">
        <v>60.84</v>
      </c>
      <c r="I941" s="48" t="inlineStr">
        <is>
          <t xml:space="preserve">Biscoitos e bolachas não derivados de farinha de trigo dos tipos "cream cracker" e "água e sal" </t>
        </is>
      </c>
      <c r="J941" s="40" t="inlineStr">
        <is>
          <t>Lei nº 1.810, art. 49, § 1º, XXIX</t>
        </is>
      </c>
      <c r="K941" s="43" t="inlineStr">
        <is>
          <t>(Item 56.1: acrescentado pelo Decreto nº 14.645/2016. Efeitos a partir de 1º.01.2017.)</t>
        </is>
      </c>
      <c r="L941" s="29">
        <f>IF(D941="NCM/SH","",COUNTIF($D$5:$D$1506,D941))</f>
        <v/>
      </c>
    </row>
    <row r="942" ht="15.75" customHeight="1" thickBot="1">
      <c r="A942" s="1" t="inlineStr">
        <is>
          <t>18Alimentos</t>
        </is>
      </c>
      <c r="B942" s="78" t="inlineStr">
        <is>
          <t>56.2</t>
        </is>
      </c>
      <c r="C942" s="48" t="inlineStr">
        <is>
          <t>17.056.02</t>
        </is>
      </c>
      <c r="D942" s="48" t="inlineStr">
        <is>
          <t>1905.90.20</t>
        </is>
      </c>
      <c r="E942" s="48" t="n">
        <v>51.7</v>
      </c>
      <c r="F942" s="48" t="n">
        <v>75.45999999999999</v>
      </c>
      <c r="G942" s="48" t="n">
        <v>69.98</v>
      </c>
      <c r="H942" s="48" t="n">
        <v>60.84</v>
      </c>
      <c r="I942" s="48" t="inlineStr">
        <is>
          <t>Outras bolachas, exceto casquinhas para sorvete e os biscoitos e bolachas relacionados nos CEST 17.056.00 e 17.056.01</t>
        </is>
      </c>
      <c r="J942" s="40" t="inlineStr">
        <is>
          <t>Lei nº 1.810, art. 49, § 1º, XXIX</t>
        </is>
      </c>
      <c r="K942" s="43" t="inlineStr">
        <is>
          <t>(Item 56.2: acrescentado pelo Decreto nº 14.645/2016. Efeitos a partir de 1º.01.2017.)</t>
        </is>
      </c>
      <c r="L942" s="29">
        <f>IF(D942="NCM/SH","",COUNTIF($D$5:$D$1506,D942))</f>
        <v/>
      </c>
    </row>
    <row r="943" ht="15.75" customHeight="1" thickBot="1">
      <c r="A943" s="1" t="inlineStr">
        <is>
          <t>18Alimentos</t>
        </is>
      </c>
      <c r="B943" s="82" t="inlineStr">
        <is>
          <t>57.0</t>
        </is>
      </c>
      <c r="C943" s="48" t="inlineStr">
        <is>
          <t>17.057.00</t>
        </is>
      </c>
      <c r="D943" s="48" t="inlineStr">
        <is>
          <t>1905.32.00</t>
        </is>
      </c>
      <c r="E943" s="48" t="n">
        <v>51.7</v>
      </c>
      <c r="F943" s="48" t="n">
        <v>75.45999999999999</v>
      </c>
      <c r="G943" s="48" t="n">
        <v>69.98</v>
      </c>
      <c r="H943" s="48" t="n">
        <v>60.84</v>
      </c>
      <c r="I943" s="48" t="inlineStr">
        <is>
          <t xml:space="preserve">“Waffles” e “wafers” - sem cobertura </t>
        </is>
      </c>
      <c r="J943" s="163" t="inlineStr">
        <is>
          <t>Lei nº 1.810, art. 49, § 1º, XXIX</t>
        </is>
      </c>
      <c r="K943" s="43" t="inlineStr">
        <is>
          <t>(Item 57.0: nova redação dada pelo Decreto nº 14.645/2016. Efeitos a partir de 1º.01.2017.)</t>
        </is>
      </c>
      <c r="L943" s="29">
        <f>IF(D943="NCM/SH","",COUNTIF($D$5:$D$1506,D943))</f>
        <v/>
      </c>
    </row>
    <row r="944" ht="15.75" customHeight="1" thickBot="1">
      <c r="A944" s="1" t="inlineStr">
        <is>
          <t>18Alimentos</t>
        </is>
      </c>
      <c r="B944" s="78" t="inlineStr">
        <is>
          <t>58.0</t>
        </is>
      </c>
      <c r="C944" s="48" t="inlineStr">
        <is>
          <t>17.058.00</t>
        </is>
      </c>
      <c r="D944" s="48" t="inlineStr">
        <is>
          <t>1905.32.00</t>
        </is>
      </c>
      <c r="E944" s="48" t="n">
        <v>51.7</v>
      </c>
      <c r="F944" s="48" t="n">
        <v>75.45999999999999</v>
      </c>
      <c r="G944" s="48" t="n">
        <v>69.98</v>
      </c>
      <c r="H944" s="48" t="n">
        <v>60.84</v>
      </c>
      <c r="I944" s="48" t="inlineStr">
        <is>
          <t xml:space="preserve">“Waffles” e “wafers”- com cobertura </t>
        </is>
      </c>
      <c r="J944" s="44" t="inlineStr">
        <is>
          <t>Lei nº 1.810, art. 49, § 1º, XXIX</t>
        </is>
      </c>
      <c r="K944" s="43" t="inlineStr">
        <is>
          <t>(Item 58.0: nova redação dada pelo Decreto nº 14.645/2016. Efeitos a partir de 1º.01.2017.)</t>
        </is>
      </c>
      <c r="L944" s="29">
        <f>IF(D944="NCM/SH","",COUNTIF($D$5:$D$1506,D944))</f>
        <v/>
      </c>
    </row>
    <row r="945" ht="15.75" customHeight="1" thickBot="1">
      <c r="A945" s="1" t="inlineStr">
        <is>
          <t>18Alimentos</t>
        </is>
      </c>
      <c r="B945" s="78" t="inlineStr">
        <is>
          <t>59.0</t>
        </is>
      </c>
      <c r="C945" s="48" t="inlineStr">
        <is>
          <t>17.059.00</t>
        </is>
      </c>
      <c r="D945" s="48" t="inlineStr">
        <is>
          <t>1905.40.00</t>
        </is>
      </c>
      <c r="E945" s="48" t="n">
        <v>51.7</v>
      </c>
      <c r="F945" s="48" t="n">
        <v>75.45999999999999</v>
      </c>
      <c r="G945" s="48" t="n">
        <v>69.98</v>
      </c>
      <c r="H945" s="48" t="n">
        <v>60.84</v>
      </c>
      <c r="I945" s="48" t="inlineStr">
        <is>
          <t xml:space="preserve">Torradas, pão torrado e produtos semelhantes torrados  </t>
        </is>
      </c>
      <c r="J945" s="44" t="inlineStr">
        <is>
          <t>Lei nº 1.810, art. 49, § 1º, XXIX</t>
        </is>
      </c>
      <c r="K945" s="43" t="inlineStr">
        <is>
          <t>(Item 59.0: nova redação dada pelo Decreto nº 14.645/2016. Efeitos a partir de 1º.01.2017.)</t>
        </is>
      </c>
      <c r="L945" s="29">
        <f>IF(D945="NCM/SH","",COUNTIF($D$5:$D$1506,D945))</f>
        <v/>
      </c>
    </row>
    <row r="946" ht="15.75" customHeight="1" thickBot="1">
      <c r="A946" s="1" t="inlineStr">
        <is>
          <t>18Alimentos</t>
        </is>
      </c>
      <c r="B946" s="99" t="inlineStr">
        <is>
          <t>60.0</t>
        </is>
      </c>
      <c r="C946" s="35" t="inlineStr">
        <is>
          <t>17.060.00</t>
        </is>
      </c>
      <c r="D946" s="35" t="inlineStr">
        <is>
          <t>1905.90.10</t>
        </is>
      </c>
      <c r="E946" s="35" t="n">
        <v>51.7</v>
      </c>
      <c r="F946" s="35" t="n">
        <v>75.45999999999999</v>
      </c>
      <c r="G946" s="35" t="n">
        <v>69.98</v>
      </c>
      <c r="H946" s="35" t="n">
        <v>60.84</v>
      </c>
      <c r="I946" s="35" t="inlineStr">
        <is>
          <t xml:space="preserve">Outros pães de forma </t>
        </is>
      </c>
      <c r="J946" s="163" t="inlineStr">
        <is>
          <t>Lei nº 1.810, art. 49, § 1º, XXIX</t>
        </is>
      </c>
      <c r="L946" s="29">
        <f>IF(D946="NCM/SH","",COUNTIF($D$5:$D$1506,D946))</f>
        <v/>
      </c>
    </row>
    <row r="947" ht="15.75" customHeight="1" thickBot="1">
      <c r="A947" s="1" t="inlineStr">
        <is>
          <t>18Alimentos</t>
        </is>
      </c>
      <c r="B947" s="78" t="inlineStr">
        <is>
          <t>62.0</t>
        </is>
      </c>
      <c r="C947" s="48" t="inlineStr">
        <is>
          <t>17.062.00</t>
        </is>
      </c>
      <c r="D947" s="48" t="inlineStr">
        <is>
          <t>1905.90.90</t>
        </is>
      </c>
      <c r="E947" s="48" t="n">
        <v>51.7</v>
      </c>
      <c r="F947" s="48" t="n">
        <v>75.45999999999999</v>
      </c>
      <c r="G947" s="48" t="n">
        <v>69.98</v>
      </c>
      <c r="H947" s="48" t="n">
        <v>60.84</v>
      </c>
      <c r="I947" s="35" t="inlineStr">
        <is>
          <t>Outros pães, exceto o classificado no CEST 17.062.03</t>
        </is>
      </c>
      <c r="J947" s="42" t="inlineStr">
        <is>
          <t>Lei nº 1.810/97, art. 49, § 1º, III</t>
        </is>
      </c>
      <c r="K947" s="43" t="inlineStr">
        <is>
          <t>(Item 62.0: nova redação dada pelo Decreto nº 15.024/2018. Efeitos a partir de 1º.04.2018.)</t>
        </is>
      </c>
      <c r="L947" s="29">
        <f>IF(D947="NCM/SH","",COUNTIF($D$5:$D$1506,D947))</f>
        <v/>
      </c>
    </row>
    <row r="948" ht="15.75" customHeight="1" thickBot="1">
      <c r="A948" s="1" t="inlineStr">
        <is>
          <t>18Alimentos</t>
        </is>
      </c>
      <c r="B948" s="78" t="inlineStr">
        <is>
          <t>62.1</t>
        </is>
      </c>
      <c r="C948" s="48" t="inlineStr">
        <is>
          <t>17.062.01</t>
        </is>
      </c>
      <c r="D948" s="48" t="inlineStr">
        <is>
          <t>1905.90.90</t>
        </is>
      </c>
      <c r="E948" s="48" t="n">
        <v>51.7</v>
      </c>
      <c r="F948" s="48" t="n">
        <v>75.45999999999999</v>
      </c>
      <c r="G948" s="48" t="n">
        <v>69.98</v>
      </c>
      <c r="H948" s="48" t="n">
        <v>60.84</v>
      </c>
      <c r="I948" s="48" t="inlineStr">
        <is>
          <t>Outros bolos industrializados e produtos de panificação não especificados anteriormente, incluindo as pizzas; exceto os classificados nos CEST 17.062.02 e 17.062.03</t>
        </is>
      </c>
      <c r="J948" s="45" t="inlineStr">
        <is>
          <t>Lei nº 1.810/97, art. 49, § 1º, III</t>
        </is>
      </c>
      <c r="K948" s="49" t="inlineStr">
        <is>
          <t>(Item 62.1: nova redação dada pelo Decreto nº 15.024/2018. Efeitos a partir de 1º.04.2018.)</t>
        </is>
      </c>
      <c r="L948" s="29">
        <f>IF(D948="NCM/SH","",COUNTIF($D$5:$D$1506,D948))</f>
        <v/>
      </c>
    </row>
    <row r="949" ht="15.75" customHeight="1" thickBot="1">
      <c r="A949" s="1" t="inlineStr">
        <is>
          <t>18Alimentos</t>
        </is>
      </c>
      <c r="B949" s="98" t="inlineStr">
        <is>
          <t>62.2</t>
        </is>
      </c>
      <c r="C949" s="163" t="inlineStr">
        <is>
          <t>17.062.02</t>
        </is>
      </c>
      <c r="D949" s="37" t="inlineStr">
        <is>
          <t>1905.90.20</t>
        </is>
      </c>
      <c r="E949" s="42" t="n">
        <v>51.7</v>
      </c>
      <c r="F949" s="42" t="n">
        <v>75.45999999999999</v>
      </c>
      <c r="G949" s="42" t="n">
        <v>69.98</v>
      </c>
      <c r="H949" s="42" t="n">
        <v>60.84</v>
      </c>
      <c r="I949" s="163" t="inlineStr">
        <is>
          <t xml:space="preserve">Casquinhas para sorvete </t>
        </is>
      </c>
      <c r="J949" s="45" t="inlineStr">
        <is>
          <t>Lei nº 1.810/97, art. 49, § 1º, III</t>
        </is>
      </c>
      <c r="K949" s="49" t="inlineStr">
        <is>
          <t>(Item 62.2: acrescentado pelo Decreto n° 15.024/2018. Efeitos a partir de 1°.04.2018.)</t>
        </is>
      </c>
      <c r="L949" s="29">
        <f>IF(D949="NCM/SH","",COUNTIF($D$5:$D$1506,D949))</f>
        <v/>
      </c>
    </row>
    <row r="950" ht="15.75" customHeight="1" thickBot="1">
      <c r="A950" s="1" t="inlineStr">
        <is>
          <t>18Alimentos</t>
        </is>
      </c>
      <c r="B950" s="99" t="n">
        <v>62.2</v>
      </c>
      <c r="C950" s="164" t="inlineStr">
        <is>
          <t>17.062.02</t>
        </is>
      </c>
      <c r="D950" s="35" t="inlineStr">
        <is>
          <t>1905.90.90</t>
        </is>
      </c>
      <c r="E950" s="46" t="n">
        <v>51.7</v>
      </c>
      <c r="F950" s="46" t="n">
        <v>75.45999999999999</v>
      </c>
      <c r="G950" s="46" t="n">
        <v>69.98</v>
      </c>
      <c r="H950" s="46" t="n">
        <v>60.84</v>
      </c>
      <c r="I950" s="164" t="inlineStr">
        <is>
          <t xml:space="preserve">Casquinhas para sorvete </t>
        </is>
      </c>
      <c r="J950" s="45" t="inlineStr">
        <is>
          <t>Lei nº 1.810/97, art. 49, § 1º, III</t>
        </is>
      </c>
      <c r="K950" s="49" t="inlineStr">
        <is>
          <t>(Item 62.2: acrescentado pelo Decreto n° 15.024/2018. Efeitos a partir de 1°.04.2018.)</t>
        </is>
      </c>
      <c r="L950" s="29">
        <f>IF(D950="NCM/SH","",COUNTIF($D$5:$D$1506,D950))</f>
        <v/>
      </c>
    </row>
    <row r="951" ht="15.75" customHeight="1" thickBot="1">
      <c r="A951" s="1" t="inlineStr">
        <is>
          <t>18Alimentos</t>
        </is>
      </c>
      <c r="B951" s="165" t="inlineStr">
        <is>
          <t>62.3</t>
        </is>
      </c>
      <c r="C951" s="35" t="inlineStr">
        <is>
          <t>17.062.03</t>
        </is>
      </c>
      <c r="D951" s="35" t="inlineStr">
        <is>
          <t>1905.90.90</t>
        </is>
      </c>
      <c r="E951" s="48" t="n">
        <v>51.7</v>
      </c>
      <c r="F951" s="48" t="n">
        <v>75.45999999999999</v>
      </c>
      <c r="G951" s="48" t="n">
        <v>69.98</v>
      </c>
      <c r="H951" s="48" t="n">
        <v>60.84</v>
      </c>
      <c r="I951" s="35" t="inlineStr">
        <is>
          <t>Pão francês até 200g</t>
        </is>
      </c>
      <c r="J951" s="45" t="inlineStr">
        <is>
          <t>Lei nº 1.810/97, art. 49, § 1º, III</t>
        </is>
      </c>
      <c r="K951" s="49" t="inlineStr">
        <is>
          <t>(Item 62.3: acrescentado pelo Decreto n° 15.024/2018. Efeitos a partir de 1°.04.2018.)</t>
        </is>
      </c>
      <c r="L951" s="29">
        <f>IF(D951="NCM/SH","",COUNTIF($D$5:$D$1506,D951))</f>
        <v/>
      </c>
    </row>
    <row r="952" ht="15.75" customHeight="1" thickBot="1">
      <c r="A952" s="1" t="inlineStr">
        <is>
          <t>18Alimentos</t>
        </is>
      </c>
      <c r="B952" s="165" t="inlineStr">
        <is>
          <t>63.0</t>
        </is>
      </c>
      <c r="C952" s="35" t="inlineStr">
        <is>
          <t>17.063.00</t>
        </is>
      </c>
      <c r="D952" s="35" t="inlineStr">
        <is>
          <t>1905.10.00</t>
        </is>
      </c>
      <c r="E952" s="35" t="n">
        <v>51.7</v>
      </c>
      <c r="F952" s="35" t="n">
        <v>75.45999999999999</v>
      </c>
      <c r="G952" s="35" t="n">
        <v>69.98</v>
      </c>
      <c r="H952" s="35" t="n">
        <v>60.84</v>
      </c>
      <c r="I952" s="35" t="inlineStr">
        <is>
          <t xml:space="preserve">Pão denominado knackebrot </t>
        </is>
      </c>
      <c r="J952" s="163" t="inlineStr">
        <is>
          <t>Lei nº 1.810/97, art. 49, § 1º, III</t>
        </is>
      </c>
      <c r="L952" s="29">
        <f>IF(D952="NCM/SH","",COUNTIF($D$5:$D$1506,D952))</f>
        <v/>
      </c>
    </row>
    <row r="953" ht="15.75" customHeight="1" thickBot="1">
      <c r="A953" s="1" t="inlineStr">
        <is>
          <t>18Alimentos</t>
        </is>
      </c>
      <c r="B953" s="165" t="inlineStr">
        <is>
          <t>64.0</t>
        </is>
      </c>
      <c r="C953" s="35" t="inlineStr">
        <is>
          <t>17.064.00</t>
        </is>
      </c>
      <c r="D953" s="35" t="inlineStr">
        <is>
          <t>1905.90</t>
        </is>
      </c>
      <c r="E953" s="35" t="n">
        <v>51.7</v>
      </c>
      <c r="F953" s="35" t="n">
        <v>75.45999999999999</v>
      </c>
      <c r="G953" s="35" t="n">
        <v>69.98</v>
      </c>
      <c r="H953" s="35" t="n">
        <v>60.84</v>
      </c>
      <c r="I953" s="35" t="inlineStr">
        <is>
          <t>Demais pães industrializados</t>
        </is>
      </c>
      <c r="J953" s="164" t="inlineStr">
        <is>
          <t>Lei nº 1.810/97, art. 49, § 1º, III</t>
        </is>
      </c>
      <c r="L953" s="29">
        <f>IF(D953="NCM/SH","",COUNTIF($D$5:$D$1506,D953))</f>
        <v/>
      </c>
    </row>
    <row r="954" ht="15.75" customHeight="1" thickBot="1">
      <c r="A954" s="1" t="inlineStr">
        <is>
          <t>18Alimentos</t>
        </is>
      </c>
      <c r="B954" s="165" t="inlineStr">
        <is>
          <t>65.0</t>
        </is>
      </c>
      <c r="C954" s="35" t="inlineStr">
        <is>
          <t>17.065.00</t>
        </is>
      </c>
      <c r="D954" s="35" t="inlineStr">
        <is>
          <t>1507.90.11</t>
        </is>
      </c>
      <c r="E954" s="35" t="n">
        <v>20</v>
      </c>
      <c r="F954" s="35" t="n">
        <v>38.8</v>
      </c>
      <c r="G954" s="35" t="n">
        <v>34.46</v>
      </c>
      <c r="H954" s="35" t="n">
        <v>27.23</v>
      </c>
      <c r="I954" s="35" t="inlineStr">
        <is>
          <t xml:space="preserve">Óleo de soja refinado, em recipientes com capacidade inferior ou igual a 5 litros, exceto as embalagens individuais de conteúdo inferior ou igual a 15 mililitros </t>
        </is>
      </c>
      <c r="J954" s="35" t="inlineStr">
        <is>
          <t>Lei 1.810, art. 49, § 1º, XXI; Protocolo ICMS 28/92</t>
        </is>
      </c>
      <c r="L954" s="29">
        <f>IF(D954="NCM/SH","",COUNTIF($D$5:$D$1506,D954))</f>
        <v/>
      </c>
    </row>
    <row r="955" ht="15.75" customHeight="1" thickBot="1">
      <c r="A955" s="1" t="inlineStr">
        <is>
          <t>18Alimentos</t>
        </is>
      </c>
      <c r="B955" s="165" t="inlineStr">
        <is>
          <t>66.0</t>
        </is>
      </c>
      <c r="C955" s="35" t="inlineStr">
        <is>
          <t>17.066.00</t>
        </is>
      </c>
      <c r="D955" s="35" t="n">
        <v>1508</v>
      </c>
      <c r="E955" s="35" t="n">
        <v>20</v>
      </c>
      <c r="F955" s="35" t="n">
        <v>38.8</v>
      </c>
      <c r="G955" s="35" t="n">
        <v>34.46</v>
      </c>
      <c r="H955" s="35" t="n">
        <v>27.23</v>
      </c>
      <c r="I955" s="35" t="inlineStr">
        <is>
          <t xml:space="preserve">Óleo de amendoim refinado, em recipientes com capacidade inferior ou igual a 5 litros, exceto as embalagens individuais de conteúdo inferior ou igual a 15 mililitros </t>
        </is>
      </c>
      <c r="J955" s="163" t="inlineStr">
        <is>
          <t>Lei 1.810, art. 49, § 1º, XXI; Protocolo ICMS 28/92</t>
        </is>
      </c>
      <c r="L955" s="29">
        <f>IF(D955="NCM/SH","",COUNTIF($D$5:$D$1506,D955))</f>
        <v/>
      </c>
    </row>
    <row r="956" ht="15.75" customHeight="1" thickBot="1">
      <c r="A956" s="1" t="inlineStr">
        <is>
          <t>18Alimentos</t>
        </is>
      </c>
      <c r="B956" s="78" t="inlineStr">
        <is>
          <t>67.0</t>
        </is>
      </c>
      <c r="C956" s="48" t="inlineStr">
        <is>
          <t>17.067.00</t>
        </is>
      </c>
      <c r="D956" s="48" t="n">
        <v>1509</v>
      </c>
      <c r="E956" s="48" t="n">
        <v>20</v>
      </c>
      <c r="F956" s="48" t="n">
        <v>38.8</v>
      </c>
      <c r="G956" s="48" t="n">
        <v>34.46</v>
      </c>
      <c r="H956" s="48" t="n">
        <v>27.23</v>
      </c>
      <c r="I956" s="48" t="inlineStr">
        <is>
          <t>Azeites de oliva, em recipientes com capacidade inferior a 2 litros, exceto as embalagens individuais de conteúdo inferior ou igual a 20 mililitros</t>
        </is>
      </c>
      <c r="J956" s="44" t="inlineStr">
        <is>
          <t>Lei 1.810, art. 49, § 1º, XXI; Protocolo ICMS 28/92</t>
        </is>
      </c>
      <c r="K956" s="43" t="inlineStr">
        <is>
          <t>(Item 67.0: nova redação dada pelo Decreto nº 14.645/2016. Efeitos a partir de 1º.01.2017.)</t>
        </is>
      </c>
      <c r="L956" s="29">
        <f>IF(D956="NCM/SH","",COUNTIF($D$5:$D$1506,D956))</f>
        <v/>
      </c>
    </row>
    <row r="957" ht="15.75" customHeight="1" thickBot="1">
      <c r="A957" s="1" t="inlineStr">
        <is>
          <t>18Alimentos</t>
        </is>
      </c>
      <c r="B957" s="78" t="inlineStr">
        <is>
          <t>67.1</t>
        </is>
      </c>
      <c r="C957" s="48" t="inlineStr">
        <is>
          <t>17.067.01</t>
        </is>
      </c>
      <c r="D957" s="48" t="n">
        <v>1509</v>
      </c>
      <c r="E957" s="48" t="n">
        <v>20</v>
      </c>
      <c r="F957" s="48" t="n">
        <v>38.8</v>
      </c>
      <c r="G957" s="48" t="n">
        <v>34.46</v>
      </c>
      <c r="H957" s="48" t="n">
        <v>27.23</v>
      </c>
      <c r="I957" s="48" t="inlineStr">
        <is>
          <t xml:space="preserve">Azeites de oliva, em recipientes com capacidade igual ou superior a 2 litros e inferior ou igual a 5 litros </t>
        </is>
      </c>
      <c r="J957" s="44" t="inlineStr">
        <is>
          <t>Lei 1.810, art. 49, § 1º, XXI; Protocolo ICMS 28/92</t>
        </is>
      </c>
      <c r="K957" s="43" t="inlineStr">
        <is>
          <t>(Item 67.1: nova redação dada pelo Decreto nº 14.645/2016. Efeitos a partir de 1º.01.2017.)</t>
        </is>
      </c>
      <c r="L957" s="29">
        <f>IF(D957="NCM/SH","",COUNTIF($D$5:$D$1506,D957))</f>
        <v/>
      </c>
    </row>
    <row r="958" ht="15.75" customHeight="1" thickBot="1">
      <c r="A958" s="1" t="inlineStr">
        <is>
          <t>18Alimentos</t>
        </is>
      </c>
      <c r="B958" s="165" t="inlineStr">
        <is>
          <t>67.2</t>
        </is>
      </c>
      <c r="C958" s="35" t="inlineStr">
        <is>
          <t>17.067.02</t>
        </is>
      </c>
      <c r="D958" s="35" t="n">
        <v>1509</v>
      </c>
      <c r="E958" s="35" t="n">
        <v>20</v>
      </c>
      <c r="F958" s="35" t="n">
        <v>38.8</v>
      </c>
      <c r="G958" s="35" t="n">
        <v>34.46</v>
      </c>
      <c r="H958" s="35" t="n">
        <v>27.23</v>
      </c>
      <c r="I958" s="35" t="inlineStr">
        <is>
          <t>Azeites de oliva, em recipientes com capacidade superior a 5 litros</t>
        </is>
      </c>
      <c r="J958" s="37" t="inlineStr">
        <is>
          <t>Lei 1.810, art. 49, § 1º, XXI; Protocolo ICMS 28/92</t>
        </is>
      </c>
      <c r="L958" s="29">
        <f>IF(D958="NCM/SH","",COUNTIF($D$5:$D$1506,D958))</f>
        <v/>
      </c>
    </row>
    <row r="959" ht="15.75" customHeight="1" thickBot="1">
      <c r="A959" s="1" t="inlineStr">
        <is>
          <t>18Alimentos</t>
        </is>
      </c>
      <c r="B959" s="165" t="inlineStr">
        <is>
          <t>68.0</t>
        </is>
      </c>
      <c r="C959" s="35" t="inlineStr">
        <is>
          <t>17.068.00</t>
        </is>
      </c>
      <c r="D959" s="35" t="n">
        <v>1510</v>
      </c>
      <c r="E959" s="35" t="n">
        <v>20</v>
      </c>
      <c r="F959" s="35" t="n">
        <v>38.8</v>
      </c>
      <c r="G959" s="35" t="n">
        <v>34.46</v>
      </c>
      <c r="H959" s="35" t="n">
        <v>27.23</v>
      </c>
      <c r="I959" s="35" t="inlineStr">
        <is>
          <t xml:space="preserve">Outros óleos e respectivas frações, obtidos exclusivamente a partir de azeitonas, mesmo refinados, mas não quimicamente modificados, e misturas desses óleos ou frações com óleos ou frações da posição 15.09, em recipientes com capacidade inferior ou igual a 5 litros, exceto as embalagens individuais de conteúdo inferior ou igual a 15 mililitros </t>
        </is>
      </c>
      <c r="J959" s="44" t="inlineStr">
        <is>
          <t>Lei 1.810, art. 49, § 1º, XXI; Protocolo ICMS 28/92</t>
        </is>
      </c>
      <c r="K959" s="47" t="inlineStr">
        <is>
          <t>(Item 68.0: nova redação dada pelo Decreto nº 16.211/2023. Efeitos a partir de 14.6.2023.)</t>
        </is>
      </c>
      <c r="L959" s="29">
        <f>IF(D959="NCM/SH","",COUNTIF($D$5:$D$1506,D959))</f>
        <v/>
      </c>
    </row>
    <row r="960" ht="15.75" customHeight="1" thickBot="1">
      <c r="A960" s="1" t="inlineStr">
        <is>
          <t>18Alimentos</t>
        </is>
      </c>
      <c r="B960" s="78" t="inlineStr">
        <is>
          <t>69.0</t>
        </is>
      </c>
      <c r="C960" s="48" t="inlineStr">
        <is>
          <t>17.069.00</t>
        </is>
      </c>
      <c r="D960" s="48" t="inlineStr">
        <is>
          <t>1512.19.11</t>
        </is>
      </c>
      <c r="E960" s="48" t="n">
        <v>20</v>
      </c>
      <c r="F960" s="48" t="n">
        <v>38.8</v>
      </c>
      <c r="G960" s="48" t="n">
        <v>34.46</v>
      </c>
      <c r="H960" s="48" t="n">
        <v>27.23</v>
      </c>
      <c r="I960" s="48" t="inlineStr">
        <is>
          <t>Óleo de girassol em recipientes com capacidade inferior ou igual a 5 litros, exceto as embalagens individuais de conteúdo inferior ou igual a 15 mililitros</t>
        </is>
      </c>
      <c r="J960" s="44" t="inlineStr">
        <is>
          <t>Lei 1.810, art. 49, § 1º, XXI; Protocolo ICMS 28/92</t>
        </is>
      </c>
      <c r="K960" s="43" t="inlineStr">
        <is>
          <t>(Item 69.0: nova redação dada pelo Decreto nº 14.916/2017. Efeitos a partir de 1º.12.2017.)</t>
        </is>
      </c>
      <c r="L960" s="29">
        <f>IF(D960="NCM/SH","",COUNTIF($D$5:$D$1506,D960))</f>
        <v/>
      </c>
    </row>
    <row r="961" ht="15.75" customHeight="1" thickBot="1">
      <c r="A961" s="1" t="inlineStr">
        <is>
          <t>18Alimentos</t>
        </is>
      </c>
      <c r="B961" s="78" t="inlineStr">
        <is>
          <t>69.1</t>
        </is>
      </c>
      <c r="C961" s="48" t="inlineStr">
        <is>
          <t>17.069.01</t>
        </is>
      </c>
      <c r="D961" s="48" t="inlineStr">
        <is>
          <t>1512.29.10</t>
        </is>
      </c>
      <c r="E961" s="48" t="n">
        <v>20</v>
      </c>
      <c r="F961" s="48" t="n">
        <v>38.8</v>
      </c>
      <c r="G961" s="48" t="n">
        <v>34.46</v>
      </c>
      <c r="H961" s="48" t="n">
        <v>27.23</v>
      </c>
      <c r="I961" s="48" t="inlineStr">
        <is>
          <t>Óleo de algodão refinado em recipientes com capacidade inferior ou igual a 5 litros, exceto as embalagens individuais de conteúdo inferior ou igual a 15 mililitros</t>
        </is>
      </c>
      <c r="J961" s="44" t="inlineStr">
        <is>
          <t>Lei 1.810, art. 49, § 1º, XXI; Protocolo ICMS 28/92</t>
        </is>
      </c>
      <c r="K961" s="49" t="inlineStr">
        <is>
          <t>(Item 69.1: acrescentado pelo Decreto n° 14.916/2017. Efeitos a partir de 1°.12.2017.)</t>
        </is>
      </c>
      <c r="L961" s="29">
        <f>IF(D961="NCM/SH","",COUNTIF($D$5:$D$1506,D961))</f>
        <v/>
      </c>
    </row>
    <row r="962" ht="15.75" customHeight="1" thickBot="1">
      <c r="A962" s="1" t="inlineStr">
        <is>
          <t>18Alimentos</t>
        </is>
      </c>
      <c r="B962" s="165" t="inlineStr">
        <is>
          <t>70.0</t>
        </is>
      </c>
      <c r="C962" s="35" t="inlineStr">
        <is>
          <t>17.070.00</t>
        </is>
      </c>
      <c r="D962" s="35" t="inlineStr">
        <is>
          <t>1514.1</t>
        </is>
      </c>
      <c r="E962" s="35" t="n">
        <v>20</v>
      </c>
      <c r="F962" s="35" t="n">
        <v>38.8</v>
      </c>
      <c r="G962" s="35" t="n">
        <v>34.46</v>
      </c>
      <c r="H962" s="35" t="n">
        <v>27.23</v>
      </c>
      <c r="I962" s="35" t="inlineStr">
        <is>
          <t xml:space="preserve">Óleo de canola, em recipientes com capacidade inferior ou igual a 5 litros, exceto as embalagens individuais de conteúdo inferior ou igual a 15 mililitros </t>
        </is>
      </c>
      <c r="J962" s="44" t="inlineStr">
        <is>
          <t>Lei 1.810, art. 49, § 1º, XXI; Protocolo ICMS 28/92</t>
        </is>
      </c>
      <c r="L962" s="29">
        <f>IF(D962="NCM/SH","",COUNTIF($D$5:$D$1506,D962))</f>
        <v/>
      </c>
    </row>
    <row r="963" ht="15.75" customHeight="1" thickBot="1">
      <c r="A963" s="1" t="inlineStr">
        <is>
          <t>18Alimentos</t>
        </is>
      </c>
      <c r="B963" s="165" t="inlineStr">
        <is>
          <t>71.0</t>
        </is>
      </c>
      <c r="C963" s="35" t="inlineStr">
        <is>
          <t>17.071.00</t>
        </is>
      </c>
      <c r="D963" s="35" t="inlineStr">
        <is>
          <t>1515.19.00</t>
        </is>
      </c>
      <c r="E963" s="35" t="n">
        <v>20</v>
      </c>
      <c r="F963" s="35" t="n">
        <v>38.8</v>
      </c>
      <c r="G963" s="35" t="n">
        <v>34.46</v>
      </c>
      <c r="H963" s="35" t="n">
        <v>27.23</v>
      </c>
      <c r="I963" s="35" t="inlineStr">
        <is>
          <t xml:space="preserve">Óleo de linhaça refinado, em recipientes com capacidade inferior ou igual a 5 litros, exceto as embalagens individuais de conteúdo inferior ou igual a 15 mililitros </t>
        </is>
      </c>
      <c r="J963" s="44" t="inlineStr">
        <is>
          <t>Lei 1.810, art. 49, § 1º, XXI; Protocolo ICMS 28/92</t>
        </is>
      </c>
      <c r="L963" s="29">
        <f>IF(D963="NCM/SH","",COUNTIF($D$5:$D$1506,D963))</f>
        <v/>
      </c>
    </row>
    <row r="964" ht="15.75" customHeight="1" thickBot="1">
      <c r="A964" s="1" t="inlineStr">
        <is>
          <t>18Alimentos</t>
        </is>
      </c>
      <c r="B964" s="165" t="inlineStr">
        <is>
          <t>72.0</t>
        </is>
      </c>
      <c r="C964" s="35" t="inlineStr">
        <is>
          <t>17.072.00</t>
        </is>
      </c>
      <c r="D964" s="35" t="inlineStr">
        <is>
          <t>1515.29.10</t>
        </is>
      </c>
      <c r="E964" s="35" t="n">
        <v>20</v>
      </c>
      <c r="F964" s="35" t="n">
        <v>38.8</v>
      </c>
      <c r="G964" s="35" t="n">
        <v>34.46</v>
      </c>
      <c r="H964" s="35" t="n">
        <v>27.23</v>
      </c>
      <c r="I964" s="35" t="inlineStr">
        <is>
          <t xml:space="preserve">Óleo de milho refinado, em recipientes com capacidade inferior ou igual a 5 litros, exceto as embalagens individuais de conteúdo inferior ou igual a 15 mililitros </t>
        </is>
      </c>
      <c r="J964" s="164" t="inlineStr">
        <is>
          <t>Lei 1.810, art. 49, § 1º, XXI; Protocolo ICMS 28/92</t>
        </is>
      </c>
      <c r="L964" s="29">
        <f>IF(D964="NCM/SH","",COUNTIF($D$5:$D$1506,D964))</f>
        <v/>
      </c>
    </row>
    <row r="965" ht="15.75" customHeight="1" thickBot="1">
      <c r="A965" s="1" t="inlineStr">
        <is>
          <t>18Alimentos</t>
        </is>
      </c>
      <c r="B965" s="165" t="inlineStr">
        <is>
          <t>73.0</t>
        </is>
      </c>
      <c r="C965" s="35" t="inlineStr">
        <is>
          <t>17.073.00</t>
        </is>
      </c>
      <c r="D965" s="35" t="inlineStr">
        <is>
          <t>1512.29.90</t>
        </is>
      </c>
      <c r="E965" s="35" t="n">
        <v>20</v>
      </c>
      <c r="F965" s="35" t="n">
        <v>38.8</v>
      </c>
      <c r="G965" s="35" t="n">
        <v>34.46</v>
      </c>
      <c r="H965" s="35" t="n">
        <v>27.23</v>
      </c>
      <c r="I965" s="35" t="inlineStr">
        <is>
          <t>Outros óleos refinados, em recipientes com capacidade inferior ou igual a 5 litros, exceto as embalagens individuais de conteúdo inferior ou igual a 15 mililitros</t>
        </is>
      </c>
      <c r="J965" s="163" t="inlineStr">
        <is>
          <t>Lei nº 1.810, art. 49, § 1º, XXI; Protocolo ICMS 28/92</t>
        </is>
      </c>
      <c r="L965" s="29">
        <f>IF(D965="NCM/SH","",COUNTIF($D$5:$D$1506,D965))</f>
        <v/>
      </c>
    </row>
    <row r="966" ht="15.75" customHeight="1" thickBot="1">
      <c r="A966" s="1" t="inlineStr">
        <is>
          <t>18Alimentos</t>
        </is>
      </c>
      <c r="B966" s="165" t="inlineStr">
        <is>
          <t>74.0</t>
        </is>
      </c>
      <c r="C966" s="35" t="inlineStr">
        <is>
          <t>17.074.00</t>
        </is>
      </c>
      <c r="D966" s="35" t="inlineStr">
        <is>
          <t>1517.90.10</t>
        </is>
      </c>
      <c r="E966" s="35" t="n">
        <v>20</v>
      </c>
      <c r="F966" s="35" t="n">
        <v>38.8</v>
      </c>
      <c r="G966" s="35" t="n">
        <v>34.46</v>
      </c>
      <c r="H966" s="35" t="n">
        <v>27.23</v>
      </c>
      <c r="I966" s="35" t="inlineStr">
        <is>
          <t xml:space="preserve">Misturas de óleos refinados, para consumo humano, em recipientes com capacidade inferior ou igual a 5 litros, exceto as embalagens individuais de conteúdo inferior ou igual a 15 mililitros </t>
        </is>
      </c>
      <c r="J966" s="44" t="inlineStr">
        <is>
          <t>Lei nº 1.810, art. 49, § 1º, XXI; Protocolo ICMS 28/92</t>
        </is>
      </c>
      <c r="L966" s="29">
        <f>IF(D966="NCM/SH","",COUNTIF($D$5:$D$1506,D966))</f>
        <v/>
      </c>
    </row>
    <row r="967" ht="14.45" customHeight="1">
      <c r="A967" s="1" t="inlineStr">
        <is>
          <t>18Alimentos</t>
        </is>
      </c>
      <c r="B967" s="98" t="inlineStr">
        <is>
          <t>75.0</t>
        </is>
      </c>
      <c r="C967" s="163" t="inlineStr">
        <is>
          <t>17.075.00</t>
        </is>
      </c>
      <c r="D967" s="37" t="n">
        <v>1511</v>
      </c>
      <c r="E967" s="163" t="n">
        <v>20</v>
      </c>
      <c r="F967" s="163" t="n">
        <v>38.8</v>
      </c>
      <c r="G967" s="163" t="n">
        <v>34.46</v>
      </c>
      <c r="H967" s="163" t="n">
        <v>27.23</v>
      </c>
      <c r="I967" s="163" t="inlineStr">
        <is>
          <t>Outros óleos vegetais comestíveis não especificados anteriormente</t>
        </is>
      </c>
      <c r="J967" s="44" t="inlineStr">
        <is>
          <t>Lei nº 1.810, art. 49, § 1º, XXI; Protocolo ICMS 28/92</t>
        </is>
      </c>
      <c r="L967" s="29">
        <f>IF(D967="NCM/SH","",COUNTIF($D$5:$D$1506,D967))</f>
        <v/>
      </c>
    </row>
    <row r="968">
      <c r="A968" s="1" t="inlineStr">
        <is>
          <t>18Alimentos</t>
        </is>
      </c>
      <c r="B968" s="101" t="n">
        <v>75</v>
      </c>
      <c r="C968" s="44" t="inlineStr">
        <is>
          <t>17.075.00</t>
        </is>
      </c>
      <c r="D968" s="37" t="n">
        <v>1513</v>
      </c>
      <c r="E968" s="44" t="n">
        <v>20</v>
      </c>
      <c r="F968" s="44" t="n">
        <v>38.8</v>
      </c>
      <c r="G968" s="44" t="n">
        <v>34.46</v>
      </c>
      <c r="H968" s="44" t="n">
        <v>27.23</v>
      </c>
      <c r="I968" s="44" t="inlineStr">
        <is>
          <t>Outros óleos vegetais comestíveis não especificados anteriormente</t>
        </is>
      </c>
      <c r="J968" s="44" t="inlineStr">
        <is>
          <t>Lei nº 1.810, art. 49, § 1º, XXI; Protocolo ICMS 28/92</t>
        </is>
      </c>
      <c r="L968" s="29">
        <f>IF(D968="NCM/SH","",COUNTIF($D$5:$D$1506,D968))</f>
        <v/>
      </c>
    </row>
    <row r="969">
      <c r="A969" s="1" t="inlineStr">
        <is>
          <t>18Alimentos</t>
        </is>
      </c>
      <c r="B969" s="101" t="n">
        <v>75</v>
      </c>
      <c r="C969" s="44" t="inlineStr">
        <is>
          <t>17.075.00</t>
        </is>
      </c>
      <c r="D969" s="37" t="n">
        <v>1514</v>
      </c>
      <c r="E969" s="44" t="n">
        <v>20</v>
      </c>
      <c r="F969" s="44" t="n">
        <v>38.8</v>
      </c>
      <c r="G969" s="44" t="n">
        <v>34.46</v>
      </c>
      <c r="H969" s="44" t="n">
        <v>27.23</v>
      </c>
      <c r="I969" s="44" t="inlineStr">
        <is>
          <t>Outros óleos vegetais comestíveis não especificados anteriormente</t>
        </is>
      </c>
      <c r="J969" s="44" t="inlineStr">
        <is>
          <t>Lei nº 1.810, art. 49, § 1º, XXI; Protocolo ICMS 28/92</t>
        </is>
      </c>
      <c r="L969" s="29">
        <f>IF(D969="NCM/SH","",COUNTIF($D$5:$D$1506,D969))</f>
        <v/>
      </c>
    </row>
    <row r="970">
      <c r="A970" s="1" t="inlineStr">
        <is>
          <t>18Alimentos</t>
        </is>
      </c>
      <c r="B970" s="101" t="n">
        <v>75</v>
      </c>
      <c r="C970" s="44" t="inlineStr">
        <is>
          <t>17.075.00</t>
        </is>
      </c>
      <c r="D970" s="37" t="n">
        <v>1515</v>
      </c>
      <c r="E970" s="44" t="n">
        <v>20</v>
      </c>
      <c r="F970" s="44" t="n">
        <v>38.8</v>
      </c>
      <c r="G970" s="44" t="n">
        <v>34.46</v>
      </c>
      <c r="H970" s="44" t="n">
        <v>27.23</v>
      </c>
      <c r="I970" s="44" t="inlineStr">
        <is>
          <t>Outros óleos vegetais comestíveis não especificados anteriormente</t>
        </is>
      </c>
      <c r="J970" s="44" t="inlineStr">
        <is>
          <t>Lei nº 1.810, art. 49, § 1º, XXI; Protocolo ICMS 28/92</t>
        </is>
      </c>
      <c r="L970" s="29">
        <f>IF(D970="NCM/SH","",COUNTIF($D$5:$D$1506,D970))</f>
        <v/>
      </c>
    </row>
    <row r="971">
      <c r="A971" s="1" t="inlineStr">
        <is>
          <t>18Alimentos</t>
        </is>
      </c>
      <c r="B971" s="101" t="n">
        <v>75</v>
      </c>
      <c r="C971" s="44" t="inlineStr">
        <is>
          <t>17.075.00</t>
        </is>
      </c>
      <c r="D971" s="37" t="n">
        <v>1516</v>
      </c>
      <c r="E971" s="44" t="n">
        <v>20</v>
      </c>
      <c r="F971" s="44" t="n">
        <v>38.8</v>
      </c>
      <c r="G971" s="44" t="n">
        <v>34.46</v>
      </c>
      <c r="H971" s="44" t="n">
        <v>27.23</v>
      </c>
      <c r="I971" s="44" t="inlineStr">
        <is>
          <t>Outros óleos vegetais comestíveis não especificados anteriormente</t>
        </is>
      </c>
      <c r="J971" s="44" t="inlineStr">
        <is>
          <t>Lei nº 1.810, art. 49, § 1º, XXI; Protocolo ICMS 28/92</t>
        </is>
      </c>
      <c r="L971" s="29">
        <f>IF(D971="NCM/SH","",COUNTIF($D$5:$D$1506,D971))</f>
        <v/>
      </c>
    </row>
    <row r="972" ht="15.75" customHeight="1" thickBot="1">
      <c r="A972" s="1" t="inlineStr">
        <is>
          <t>18Alimentos</t>
        </is>
      </c>
      <c r="B972" s="99" t="n">
        <v>75</v>
      </c>
      <c r="C972" s="164" t="inlineStr">
        <is>
          <t>17.075.00</t>
        </is>
      </c>
      <c r="D972" s="35" t="n">
        <v>1518</v>
      </c>
      <c r="E972" s="164" t="n">
        <v>20</v>
      </c>
      <c r="F972" s="164" t="n">
        <v>38.8</v>
      </c>
      <c r="G972" s="164" t="n">
        <v>34.46</v>
      </c>
      <c r="H972" s="164" t="n">
        <v>27.23</v>
      </c>
      <c r="I972" s="164" t="inlineStr">
        <is>
          <t>Outros óleos vegetais comestíveis não especificados anteriormente</t>
        </is>
      </c>
      <c r="J972" s="164" t="inlineStr">
        <is>
          <t>Lei nº 1.810, art. 49, § 1º, XXI; Protocolo ICMS 28/92</t>
        </is>
      </c>
      <c r="L972" s="29">
        <f>IF(D972="NCM/SH","",COUNTIF($D$5:$D$1506,D972))</f>
        <v/>
      </c>
    </row>
    <row r="973" ht="15.75" customHeight="1" thickBot="1">
      <c r="A973" s="1" t="inlineStr">
        <is>
          <t>18Alimentos</t>
        </is>
      </c>
      <c r="B973" s="165" t="inlineStr">
        <is>
          <t>76.0</t>
        </is>
      </c>
      <c r="C973" s="35" t="inlineStr">
        <is>
          <t>17.076.00</t>
        </is>
      </c>
      <c r="D973" s="35" t="inlineStr">
        <is>
          <t>1601.00.00</t>
        </is>
      </c>
      <c r="E973" s="35" t="n">
        <v>61</v>
      </c>
      <c r="F973" s="35" t="n">
        <v>86.22</v>
      </c>
      <c r="G973" s="35" t="n">
        <v>80.40000000000001</v>
      </c>
      <c r="H973" s="35" t="n">
        <v>70.7</v>
      </c>
      <c r="I973" s="35" t="inlineStr">
        <is>
          <t>Enchidos (embutidos) e produtos semelhantes, de carne, miudezas ou sangue; exceto salsicha, linguiça e mortadela</t>
        </is>
      </c>
      <c r="J973" s="38" t="inlineStr">
        <is>
          <t>Lei nº 1.810, art. 49,§ 1º, XXIX</t>
        </is>
      </c>
      <c r="L973" s="29">
        <f>IF(D973="NCM/SH","",COUNTIF($D$5:$D$1506,D973))</f>
        <v/>
      </c>
    </row>
    <row r="974" ht="15.75" customHeight="1" thickBot="1">
      <c r="A974" s="1" t="inlineStr">
        <is>
          <t>18Alimentos</t>
        </is>
      </c>
      <c r="B974" s="78" t="inlineStr">
        <is>
          <t>77.0</t>
        </is>
      </c>
      <c r="C974" s="48" t="inlineStr">
        <is>
          <t>17.077.00</t>
        </is>
      </c>
      <c r="D974" s="48" t="inlineStr">
        <is>
          <t>1601.00.00</t>
        </is>
      </c>
      <c r="E974" s="48" t="n">
        <v>62</v>
      </c>
      <c r="F974" s="48" t="n">
        <v>87.37</v>
      </c>
      <c r="G974" s="48" t="n">
        <v>81.52</v>
      </c>
      <c r="H974" s="48" t="n">
        <v>71.76000000000001</v>
      </c>
      <c r="I974" s="48" t="inlineStr">
        <is>
          <t>Salsicha e linguiça, exceto as descritas nos CEST 17.077.01</t>
        </is>
      </c>
      <c r="J974" s="38" t="inlineStr">
        <is>
          <t>Lei nº 1.810, art. 49,§ 1º, XXIX</t>
        </is>
      </c>
      <c r="K974" s="43" t="inlineStr">
        <is>
          <t>(Item 77.0: nova redação dada pelo Decreto nº 14.916/2017. Efeitos a partir de 1º.12.2017.)</t>
        </is>
      </c>
      <c r="L974" s="29">
        <f>IF(D974="NCM/SH","",COUNTIF($D$5:$D$1506,D974))</f>
        <v/>
      </c>
    </row>
    <row r="975" ht="15.75" customHeight="1" thickBot="1">
      <c r="A975" s="1" t="inlineStr">
        <is>
          <t>18Alimentos</t>
        </is>
      </c>
      <c r="B975" s="78" t="inlineStr">
        <is>
          <t>77.1</t>
        </is>
      </c>
      <c r="C975" s="48" t="inlineStr">
        <is>
          <t>17.077.01</t>
        </is>
      </c>
      <c r="D975" s="48" t="inlineStr">
        <is>
          <t>1601.00.00</t>
        </is>
      </c>
      <c r="E975" s="48" t="n">
        <v>62</v>
      </c>
      <c r="F975" s="48" t="n">
        <v>87.37</v>
      </c>
      <c r="G975" s="48" t="n">
        <v>81.52</v>
      </c>
      <c r="H975" s="48" t="n">
        <v>71.76000000000001</v>
      </c>
      <c r="I975" s="48" t="inlineStr">
        <is>
          <t>Salsicha em lata</t>
        </is>
      </c>
      <c r="J975" s="40" t="inlineStr">
        <is>
          <t>Lei nº 1.810, art. 49,§ 1º, XXIX</t>
        </is>
      </c>
      <c r="K975" s="49" t="inlineStr">
        <is>
          <t>(Item 77.1: acrescentado pelo Decreto n° 14.916/2017. Efeitos a partir de 1°.12.2017.)</t>
        </is>
      </c>
      <c r="L975" s="29">
        <f>IF(D975="NCM/SH","",COUNTIF($D$5:$D$1506,D975))</f>
        <v/>
      </c>
    </row>
    <row r="976" ht="15.75" customHeight="1" thickBot="1">
      <c r="A976" s="1" t="inlineStr">
        <is>
          <t>18Alimentos</t>
        </is>
      </c>
      <c r="B976" s="165" t="inlineStr">
        <is>
          <t>78.0</t>
        </is>
      </c>
      <c r="C976" s="35" t="inlineStr">
        <is>
          <t>17.078.00</t>
        </is>
      </c>
      <c r="D976" s="35" t="inlineStr">
        <is>
          <t>1601.00.00</t>
        </is>
      </c>
      <c r="E976" s="35" t="n">
        <v>72</v>
      </c>
      <c r="F976" s="35" t="n">
        <v>98.94</v>
      </c>
      <c r="G976" s="35" t="n">
        <v>92.72</v>
      </c>
      <c r="H976" s="35" t="n">
        <v>82.36</v>
      </c>
      <c r="I976" s="35" t="inlineStr">
        <is>
          <t>Mortadela</t>
        </is>
      </c>
      <c r="J976" s="40" t="inlineStr">
        <is>
          <t>Lei nº 1.810, art. 49,§ 1º, XXIX</t>
        </is>
      </c>
      <c r="L976" s="29">
        <f>IF(D976="NCM/SH","",COUNTIF($D$5:$D$1506,D976))</f>
        <v/>
      </c>
    </row>
    <row r="977" ht="15.75" customHeight="1" thickBot="1">
      <c r="A977" s="1" t="inlineStr">
        <is>
          <t>18Alimentos</t>
        </is>
      </c>
      <c r="B977" s="78" t="inlineStr">
        <is>
          <t>79.0</t>
        </is>
      </c>
      <c r="C977" s="48" t="inlineStr">
        <is>
          <t>17.079.00</t>
        </is>
      </c>
      <c r="D977" s="48" t="inlineStr">
        <is>
          <t>16.02</t>
        </is>
      </c>
      <c r="E977" s="48" t="n">
        <v>54</v>
      </c>
      <c r="F977" s="48" t="n">
        <v>78.12</v>
      </c>
      <c r="G977" s="48" t="n">
        <v>72.55</v>
      </c>
      <c r="H977" s="48" t="n">
        <v>63.28</v>
      </c>
      <c r="I977" s="48" t="inlineStr">
        <is>
          <t>Outras preparações e conservas de carne, miudezas ou de sangue, exceto as descritas nos CEST 17.079.01, 17.079.02, 17.079.03, 17.079.04, 17.079.05, 17.079.06 e 17.079.07</t>
        </is>
      </c>
      <c r="J977" s="40" t="inlineStr">
        <is>
          <t>Lei nº 1.810, art. 49,§ 1º, XXIX</t>
        </is>
      </c>
      <c r="K977" s="43" t="inlineStr">
        <is>
          <t>(Item 79.0: nova redação dada pelo Decreto nº 14.916/2017. Efeitos a partir de 1º.12.2017.)</t>
        </is>
      </c>
      <c r="L977" s="29">
        <f>IF(D977="NCM/SH","",COUNTIF($D$5:$D$1506,D977))</f>
        <v/>
      </c>
    </row>
    <row r="978" ht="15.75" customHeight="1" thickBot="1">
      <c r="A978" s="1" t="inlineStr">
        <is>
          <t>18Alimentos</t>
        </is>
      </c>
      <c r="B978" s="82" t="inlineStr">
        <is>
          <t>79.1</t>
        </is>
      </c>
      <c r="C978" s="48" t="inlineStr">
        <is>
          <t>17.079.01</t>
        </is>
      </c>
      <c r="D978" s="48" t="inlineStr">
        <is>
          <t>1602.31.00</t>
        </is>
      </c>
      <c r="E978" s="48" t="n">
        <v>54</v>
      </c>
      <c r="F978" s="48" t="n">
        <v>78.12</v>
      </c>
      <c r="G978" s="48" t="n">
        <v>72.55</v>
      </c>
      <c r="H978" s="48" t="n">
        <v>63.28</v>
      </c>
      <c r="I978" s="48" t="inlineStr">
        <is>
          <t>Outras preparações e conservas de carne, de miudezas ou de sangue,  de aves da posição 01.05: de peruas e de perus.</t>
        </is>
      </c>
      <c r="J978" s="37" t="inlineStr">
        <is>
          <t>Lei nº 1.810, art. 49,§ 1º, XXIX</t>
        </is>
      </c>
      <c r="K978" s="43" t="inlineStr">
        <is>
          <t>(Itens 79.1 a 79.6: acrescentados pelo Decreto nº 14.645/2016. Efeitos a partir de 1º.01.2017.)</t>
        </is>
      </c>
      <c r="L978" s="29">
        <f>IF(D978="NCM/SH","",COUNTIF($D$5:$D$1506,D978))</f>
        <v/>
      </c>
    </row>
    <row r="979" ht="15.75" customHeight="1" thickBot="1">
      <c r="A979" s="1" t="inlineStr">
        <is>
          <t>18Alimentos</t>
        </is>
      </c>
      <c r="B979" s="78" t="inlineStr">
        <is>
          <t>79.2</t>
        </is>
      </c>
      <c r="C979" s="48" t="inlineStr">
        <is>
          <t>17.079.02</t>
        </is>
      </c>
      <c r="D979" s="48" t="inlineStr">
        <is>
          <t>1602.32.10</t>
        </is>
      </c>
      <c r="E979" s="48" t="n">
        <v>54</v>
      </c>
      <c r="F979" s="48" t="n">
        <v>78.12</v>
      </c>
      <c r="G979" s="48" t="n">
        <v>72.55</v>
      </c>
      <c r="H979" s="48" t="n">
        <v>63.28</v>
      </c>
      <c r="I979" s="48" t="inlineStr">
        <is>
          <t>Outras preparações e conservas de carne, de miudezas ou de sangue,  de aves da posição 01.05: de galos e de galinhas, com conteúdo de carne ou de miudezas superior ou igual a 57 %, em peso, não cozidas</t>
        </is>
      </c>
      <c r="J979" s="37" t="inlineStr">
        <is>
          <t>Lei nº 1.810, art. 49,§ 1º, XXIX</t>
        </is>
      </c>
      <c r="K979" s="43" t="inlineStr">
        <is>
          <t>(Itens 79.1 a 79.6: acrescentados pelo Decreto nº 14.645/2016. Efeitos a partir de 1º.01.2017.)</t>
        </is>
      </c>
      <c r="L979" s="29">
        <f>IF(D979="NCM/SH","",COUNTIF($D$5:$D$1506,D979))</f>
        <v/>
      </c>
    </row>
    <row r="980" ht="15.75" customHeight="1" thickBot="1">
      <c r="A980" s="1" t="inlineStr">
        <is>
          <t>18Alimentos</t>
        </is>
      </c>
      <c r="B980" s="78" t="inlineStr">
        <is>
          <t>79.3</t>
        </is>
      </c>
      <c r="C980" s="48" t="inlineStr">
        <is>
          <t>17.079.03</t>
        </is>
      </c>
      <c r="D980" s="48" t="inlineStr">
        <is>
          <t>1602.32.20</t>
        </is>
      </c>
      <c r="E980" s="48" t="n">
        <v>54</v>
      </c>
      <c r="F980" s="48" t="n">
        <v>78.12</v>
      </c>
      <c r="G980" s="48" t="n">
        <v>72.55</v>
      </c>
      <c r="H980" s="48" t="n">
        <v>63.28</v>
      </c>
      <c r="I980" s="48" t="inlineStr">
        <is>
          <t>Outras preparações e conservas de carne, de miudezas ou de sangue, todas de aves da posição 01.05: de galos e de galinhas, com conteúdo de carne ou de miudezas superior ou igual a 57 %, em peso, cozidas</t>
        </is>
      </c>
      <c r="J980" s="37" t="inlineStr">
        <is>
          <t>Lei nº 1.810, art. 49,§ 1º, XXIX</t>
        </is>
      </c>
      <c r="K980" s="43" t="inlineStr">
        <is>
          <t>(Itens 79.1 a 79.6: acrescentados pelo Decreto nº 14.645/2016. Efeitos a partir de 1º.01.2017.)</t>
        </is>
      </c>
      <c r="L980" s="29">
        <f>IF(D980="NCM/SH","",COUNTIF($D$5:$D$1506,D980))</f>
        <v/>
      </c>
    </row>
    <row r="981" ht="15.75" customHeight="1" thickBot="1">
      <c r="A981" s="1" t="inlineStr">
        <is>
          <t>18Alimentos</t>
        </is>
      </c>
      <c r="B981" s="78" t="inlineStr">
        <is>
          <t>79.4</t>
        </is>
      </c>
      <c r="C981" s="48" t="inlineStr">
        <is>
          <t>17.079.04</t>
        </is>
      </c>
      <c r="D981" s="48" t="inlineStr">
        <is>
          <t>1602.41.00</t>
        </is>
      </c>
      <c r="E981" s="48" t="n">
        <v>54</v>
      </c>
      <c r="F981" s="48" t="n">
        <v>78.12</v>
      </c>
      <c r="G981" s="48" t="n">
        <v>72.55</v>
      </c>
      <c r="H981" s="48" t="n">
        <v>63.28</v>
      </c>
      <c r="I981" s="48" t="inlineStr">
        <is>
          <t>Outras preparações e conservas de carne, de miudezas ou de sangue, da espécie suína: pernas e respectivos pedaços</t>
        </is>
      </c>
      <c r="J981" s="37" t="inlineStr">
        <is>
          <t>Lei nº 1.810, art. 49,§ 1º, XXIX</t>
        </is>
      </c>
      <c r="K981" s="43" t="inlineStr">
        <is>
          <t>(Itens 79.1 a 79.6: acrescentados pelo Decreto nº 14.645/2016. Efeitos a partir de 1º.01.2017.)</t>
        </is>
      </c>
      <c r="L981" s="29">
        <f>IF(D981="NCM/SH","",COUNTIF($D$5:$D$1506,D981))</f>
        <v/>
      </c>
    </row>
    <row r="982" ht="15.75" customHeight="1" thickBot="1">
      <c r="A982" s="1" t="inlineStr">
        <is>
          <t>18Alimentos</t>
        </is>
      </c>
      <c r="B982" s="78" t="inlineStr">
        <is>
          <t>79.5</t>
        </is>
      </c>
      <c r="C982" s="48" t="inlineStr">
        <is>
          <t>17.079.05</t>
        </is>
      </c>
      <c r="D982" s="48" t="inlineStr">
        <is>
          <t>1602.49.00</t>
        </is>
      </c>
      <c r="E982" s="48" t="n">
        <v>54</v>
      </c>
      <c r="F982" s="48" t="n">
        <v>78.12</v>
      </c>
      <c r="G982" s="48" t="n">
        <v>72.55</v>
      </c>
      <c r="H982" s="48" t="n">
        <v>63.28</v>
      </c>
      <c r="I982" s="48" t="inlineStr">
        <is>
          <t>Outras preparações e conservas de carne, de miudezas ou de sangue, da espécie suína e outras, incluindo as misturas, exceto as descritas no CEST 17.079.07</t>
        </is>
      </c>
      <c r="J982" s="37" t="inlineStr">
        <is>
          <t>Lei nº 1.810, art. 49,§ 1º, XXIX</t>
        </is>
      </c>
      <c r="K982" s="43" t="inlineStr">
        <is>
          <t>(Item 79.5: nova redação dada pelo Decreto nº 14.916/2017. Efeitos a partir de 1º.12.2017.)</t>
        </is>
      </c>
      <c r="L982" s="29">
        <f>IF(D982="NCM/SH","",COUNTIF($D$5:$D$1506,D982))</f>
        <v/>
      </c>
    </row>
    <row r="983" ht="15.75" customHeight="1" thickBot="1">
      <c r="A983" s="1" t="inlineStr">
        <is>
          <t>18Alimentos</t>
        </is>
      </c>
      <c r="B983" s="78" t="inlineStr">
        <is>
          <t>79.6</t>
        </is>
      </c>
      <c r="C983" s="48" t="inlineStr">
        <is>
          <t>17.079.06</t>
        </is>
      </c>
      <c r="D983" s="48" t="inlineStr">
        <is>
          <t>1602.50.00</t>
        </is>
      </c>
      <c r="E983" s="48" t="n">
        <v>54</v>
      </c>
      <c r="F983" s="48" t="n">
        <v>78.12</v>
      </c>
      <c r="G983" s="48" t="n">
        <v>72.55</v>
      </c>
      <c r="H983" s="48" t="n">
        <v>63.28</v>
      </c>
      <c r="I983" s="48" t="inlineStr">
        <is>
          <t>Outras preparações e conservas de carne, de miudezas ou de sangue, da espécie bovina</t>
        </is>
      </c>
      <c r="J983" s="37" t="inlineStr">
        <is>
          <t>Lei nº 1.810, art. 49,§ 1º, XXIX</t>
        </is>
      </c>
      <c r="K983" s="43" t="inlineStr">
        <is>
          <t>(Itens 79.1 a 79.6: acrescentados pelo Decreto nº 14.645/2016. Efeitos a partir de 1º.01.2017.)</t>
        </is>
      </c>
      <c r="L983" s="29">
        <f>IF(D983="NCM/SH","",COUNTIF($D$5:$D$1506,D983))</f>
        <v/>
      </c>
    </row>
    <row r="984" ht="15.75" customHeight="1" thickBot="1">
      <c r="A984" s="1" t="inlineStr">
        <is>
          <t>18Alimentos</t>
        </is>
      </c>
      <c r="B984" s="82" t="inlineStr">
        <is>
          <t>79.7</t>
        </is>
      </c>
      <c r="C984" s="48" t="inlineStr">
        <is>
          <t>17.079.07</t>
        </is>
      </c>
      <c r="D984" s="48" t="inlineStr">
        <is>
          <t>1602.49.00</t>
        </is>
      </c>
      <c r="E984" s="48" t="n">
        <v>54</v>
      </c>
      <c r="F984" s="48" t="n">
        <v>78.12</v>
      </c>
      <c r="G984" s="48" t="n">
        <v>72.55</v>
      </c>
      <c r="H984" s="48" t="n">
        <v>63.28</v>
      </c>
      <c r="I984" s="48" t="inlineStr">
        <is>
          <t>Apresuntado</t>
        </is>
      </c>
      <c r="J984" s="37" t="inlineStr">
        <is>
          <t>Lei nº 1.810, art. 49,§ 1º, XXIX</t>
        </is>
      </c>
      <c r="K984" s="49" t="inlineStr">
        <is>
          <t>(Item 79.7: acrescentado pelo Decreto n° 14.916/2017. Efeitos a partir de 1°.12.2017.)</t>
        </is>
      </c>
      <c r="L984" s="29">
        <f>IF(D984="NCM/SH","",COUNTIF($D$5:$D$1506,D984))</f>
        <v/>
      </c>
    </row>
    <row r="985" ht="15.75" customHeight="1" thickBot="1">
      <c r="A985" s="1" t="inlineStr">
        <is>
          <t>18Alimentos</t>
        </is>
      </c>
      <c r="B985" s="78" t="inlineStr">
        <is>
          <t>80.0</t>
        </is>
      </c>
      <c r="C985" s="48" t="inlineStr">
        <is>
          <t>17.080.00</t>
        </is>
      </c>
      <c r="D985" s="48" t="n">
        <v>1604</v>
      </c>
      <c r="E985" s="48" t="n">
        <v>78</v>
      </c>
      <c r="F985" s="48" t="n">
        <v>105.88</v>
      </c>
      <c r="G985" s="48" t="n">
        <v>99.45</v>
      </c>
      <c r="H985" s="48" t="n">
        <v>88.72</v>
      </c>
      <c r="I985" s="48" t="inlineStr">
        <is>
          <t>Preparações e conservas de peixes; caviar e seus sucedâneos preparados a partir de ovas de peixe; exceto os descritos nos CEST 17.080.01 e 17.081.00</t>
        </is>
      </c>
      <c r="J985" s="37" t="inlineStr">
        <is>
          <t>Lei nº 1.810, art. 49,§ 1º, XXIX</t>
        </is>
      </c>
      <c r="K985" s="43" t="inlineStr">
        <is>
          <t>(Item 80.0: nova redação dada pelo Decreto nº 14.645/2016. Efeitos a partir de 1º.01.2017.)</t>
        </is>
      </c>
      <c r="L985" s="29">
        <f>IF(D985="NCM/SH","",COUNTIF($D$5:$D$1506,D985))</f>
        <v/>
      </c>
    </row>
    <row r="986" ht="15.75" customHeight="1" thickBot="1">
      <c r="A986" s="1" t="inlineStr">
        <is>
          <t>18Alimentos</t>
        </is>
      </c>
      <c r="B986" s="82" t="inlineStr">
        <is>
          <t>80.1</t>
        </is>
      </c>
      <c r="C986" s="48" t="inlineStr">
        <is>
          <t>17.080.01</t>
        </is>
      </c>
      <c r="D986" s="48" t="inlineStr">
        <is>
          <t>1604.20.10</t>
        </is>
      </c>
      <c r="E986" s="48" t="n">
        <v>78</v>
      </c>
      <c r="F986" s="48" t="n">
        <v>105.88</v>
      </c>
      <c r="G986" s="48" t="n">
        <v>99.45</v>
      </c>
      <c r="H986" s="48" t="n">
        <v>88.72</v>
      </c>
      <c r="I986" s="48" t="inlineStr">
        <is>
          <t>Outras preparações e conservas de atuns</t>
        </is>
      </c>
      <c r="J986" s="37" t="inlineStr">
        <is>
          <t>Lei nº 1.810, art. 49,§ 1º, XXIX</t>
        </is>
      </c>
      <c r="K986" s="43" t="inlineStr">
        <is>
          <t>(Item 80.1: acrescentado pelo Decreto nº 14.645/2016. Efeitos a partir de 1º.01.2017.)</t>
        </is>
      </c>
      <c r="L986" s="29">
        <f>IF(D986="NCM/SH","",COUNTIF($D$5:$D$1506,D986))</f>
        <v/>
      </c>
    </row>
    <row r="987" ht="15.75" customHeight="1" thickBot="1">
      <c r="A987" s="1" t="inlineStr">
        <is>
          <t>18Alimentos</t>
        </is>
      </c>
      <c r="B987" s="99" t="inlineStr">
        <is>
          <t>81.0</t>
        </is>
      </c>
      <c r="C987" s="35" t="inlineStr">
        <is>
          <t>17.081.00</t>
        </is>
      </c>
      <c r="D987" s="35" t="n">
        <v>1604</v>
      </c>
      <c r="E987" s="35" t="n">
        <v>57</v>
      </c>
      <c r="F987" s="35" t="n">
        <v>81.59</v>
      </c>
      <c r="G987" s="35" t="n">
        <v>75.92</v>
      </c>
      <c r="H987" s="35" t="n">
        <v>66.45999999999999</v>
      </c>
      <c r="I987" s="35" t="inlineStr">
        <is>
          <t>Sardinha em conserva</t>
        </is>
      </c>
      <c r="J987" s="37" t="inlineStr">
        <is>
          <t>Lei nº 1.810, art. 49,§ 1º, XXIX</t>
        </is>
      </c>
      <c r="L987" s="29">
        <f>IF(D987="NCM/SH","",COUNTIF($D$5:$D$1506,D987))</f>
        <v/>
      </c>
    </row>
    <row r="988" ht="15.75" customHeight="1" thickBot="1">
      <c r="A988" s="1" t="inlineStr">
        <is>
          <t>18Alimentos</t>
        </is>
      </c>
      <c r="B988" s="78" t="inlineStr">
        <is>
          <t>82.0</t>
        </is>
      </c>
      <c r="C988" s="48" t="inlineStr">
        <is>
          <t>17.082.00</t>
        </is>
      </c>
      <c r="D988" s="48" t="n">
        <v>1605</v>
      </c>
      <c r="E988" s="35" t="n">
        <v>78</v>
      </c>
      <c r="F988" s="35" t="n">
        <v>105.88</v>
      </c>
      <c r="G988" s="35" t="n">
        <v>99.45</v>
      </c>
      <c r="H988" s="35" t="n">
        <v>88.72</v>
      </c>
      <c r="I988" s="48" t="inlineStr">
        <is>
          <t xml:space="preserve">Crustáceos, moluscos e outros invertebrados aquáticos, preparados ou em conservas </t>
        </is>
      </c>
      <c r="J988" s="35" t="inlineStr">
        <is>
          <t>Lei nº 1.810, art. 49,§ 1º, XXIX</t>
        </is>
      </c>
      <c r="L988" s="29">
        <f>IF(D988="NCM/SH","",COUNTIF($D$5:$D$1506,D988))</f>
        <v/>
      </c>
    </row>
    <row r="989" ht="14.45" customHeight="1" thickBot="1">
      <c r="A989" s="1" t="inlineStr">
        <is>
          <t>18Alimentos</t>
        </is>
      </c>
      <c r="B989" s="81" t="inlineStr">
        <is>
          <t>83.0</t>
        </is>
      </c>
      <c r="C989" s="42" t="inlineStr">
        <is>
          <t>17.083.00</t>
        </is>
      </c>
      <c r="D989" s="38" t="inlineStr">
        <is>
          <t>0210.20.00</t>
        </is>
      </c>
      <c r="E989" s="42" t="n">
        <v>39</v>
      </c>
      <c r="F989" s="42" t="n">
        <v>60.77</v>
      </c>
      <c r="G989" s="42" t="n">
        <v>55.75</v>
      </c>
      <c r="H989" s="42" t="n">
        <v>47.37</v>
      </c>
      <c r="I989" s="163" t="inlineStr">
        <is>
          <t>Carne de gado bovino, ovino e bufalino e produtos comestíveis resultantes da matança desse gado submetidos à salga, secagem ou desidratação, exceto os descritos no CEST 17.083.01</t>
        </is>
      </c>
      <c r="J989" s="38" t="inlineStr">
        <is>
          <t>Lei nº 1.810, art. 49, § 1º, III</t>
        </is>
      </c>
      <c r="K989" s="43" t="inlineStr">
        <is>
          <t>(Item 83.0: nova redação dada pelo Decreto nº 15.295/2019. Efeitos a partir de 09.10.2019.)</t>
        </is>
      </c>
      <c r="L989" s="29">
        <f>IF(D989="NCM/SH","",COUNTIF($D$5:$D$1506,D989))</f>
        <v/>
      </c>
    </row>
    <row r="990" ht="15.75" customHeight="1" thickBot="1">
      <c r="A990" s="1" t="inlineStr">
        <is>
          <t>18Alimentos</t>
        </is>
      </c>
      <c r="B990" s="100" t="n">
        <v>83</v>
      </c>
      <c r="C990" s="45" t="inlineStr">
        <is>
          <t>17.083.00</t>
        </is>
      </c>
      <c r="D990" s="38" t="inlineStr">
        <is>
          <t>0210.99.00</t>
        </is>
      </c>
      <c r="E990" s="45" t="n">
        <v>39</v>
      </c>
      <c r="F990" s="45" t="n">
        <v>60.77</v>
      </c>
      <c r="G990" s="45" t="n">
        <v>55.75</v>
      </c>
      <c r="H990" s="45" t="n">
        <v>47.37</v>
      </c>
      <c r="I990" s="44" t="inlineStr">
        <is>
          <t>Carne de gado bovino, ovino e bufalino e produtos comestíveis resultantes da matança desse gado submetidos à salga, secagem ou desidratação, exceto os descritos no CEST 17.083.01</t>
        </is>
      </c>
      <c r="J990" s="38" t="inlineStr">
        <is>
          <t>Lei nº 1.810, art. 49, § 1º, III</t>
        </is>
      </c>
      <c r="K990" s="43" t="inlineStr">
        <is>
          <t>(Item 83.0: nova redação dada pelo Decreto nº 15.295/2019. Efeitos a partir de 09.10.2019.)</t>
        </is>
      </c>
      <c r="L990" s="29">
        <f>IF(D990="NCM/SH","",COUNTIF($D$5:$D$1506,D990))</f>
        <v/>
      </c>
    </row>
    <row r="991" ht="15.75" customHeight="1" thickBot="1">
      <c r="A991" s="1" t="inlineStr">
        <is>
          <t>18Alimentos</t>
        </is>
      </c>
      <c r="B991" s="82" t="n">
        <v>83</v>
      </c>
      <c r="C991" s="46" t="inlineStr">
        <is>
          <t>17.083.00</t>
        </is>
      </c>
      <c r="D991" s="48" t="n">
        <v>1502</v>
      </c>
      <c r="E991" s="46" t="n">
        <v>39</v>
      </c>
      <c r="F991" s="46" t="n">
        <v>60.77</v>
      </c>
      <c r="G991" s="46" t="n">
        <v>55.75</v>
      </c>
      <c r="H991" s="46" t="n">
        <v>47.37</v>
      </c>
      <c r="I991" s="164" t="inlineStr">
        <is>
          <t>Carne de gado bovino, ovino e bufalino e produtos comestíveis resultantes da matança desse gado submetidos à salga, secagem ou desidratação, exceto os descritos no CEST 17.083.01</t>
        </is>
      </c>
      <c r="J991" s="40" t="inlineStr">
        <is>
          <t>Lei nº 1.810, art. 49, § 1º, III</t>
        </is>
      </c>
      <c r="K991" s="43" t="inlineStr">
        <is>
          <t>(Item 83.0: nova redação dada pelo Decreto nº 15.295/2019. Efeitos a partir de 09.10.2019.)</t>
        </is>
      </c>
      <c r="L991" s="29">
        <f>IF(D991="NCM/SH","",COUNTIF($D$5:$D$1506,D991))</f>
        <v/>
      </c>
    </row>
    <row r="992" ht="15.75" customHeight="1" thickBot="1">
      <c r="A992" s="1" t="inlineStr">
        <is>
          <t>18Alimentos</t>
        </is>
      </c>
      <c r="B992" s="78" t="inlineStr">
        <is>
          <t>83.1</t>
        </is>
      </c>
      <c r="C992" s="48" t="inlineStr">
        <is>
          <t>17.083.01</t>
        </is>
      </c>
      <c r="D992" s="48" t="inlineStr">
        <is>
          <t>0210.20.00</t>
        </is>
      </c>
      <c r="E992" s="48" t="n">
        <v>39</v>
      </c>
      <c r="F992" s="48" t="n">
        <v>60.77</v>
      </c>
      <c r="G992" s="48" t="n">
        <v>55.75</v>
      </c>
      <c r="H992" s="48" t="n">
        <v>47.37</v>
      </c>
      <c r="I992" s="35" t="inlineStr">
        <is>
          <t>Charque e jerkedbeef</t>
        </is>
      </c>
      <c r="J992" s="40" t="inlineStr">
        <is>
          <t>Lei nº 1.810, art. 49, § 1º, III</t>
        </is>
      </c>
      <c r="K992" s="43" t="inlineStr">
        <is>
          <t>(Item 83.1: acrescentado pelo Decreto nº 15.295/2019. Efeitos a partir de 09.10.2019.)</t>
        </is>
      </c>
      <c r="L992" s="29">
        <f>IF(D992="NCM/SH","",COUNTIF($D$5:$D$1506,D992))</f>
        <v/>
      </c>
    </row>
    <row r="993" ht="14.45" customHeight="1" thickBot="1">
      <c r="A993" s="1" t="inlineStr">
        <is>
          <t>18Alimentos</t>
        </is>
      </c>
      <c r="B993" s="81" t="inlineStr">
        <is>
          <t>84.0</t>
        </is>
      </c>
      <c r="C993" s="42" t="inlineStr">
        <is>
          <t>17.084.00</t>
        </is>
      </c>
      <c r="D993" s="38" t="n">
        <v>201</v>
      </c>
      <c r="E993" s="42" t="n">
        <v>36</v>
      </c>
      <c r="F993" s="42" t="n">
        <v>57.3</v>
      </c>
      <c r="G993" s="42" t="n">
        <v>52.39</v>
      </c>
      <c r="H993" s="42" t="n">
        <v>44.19</v>
      </c>
      <c r="I993" s="42" t="inlineStr">
        <is>
          <t xml:space="preserve">Carne de gado bovino, ovino e bufalino e demais produtos comestíveis resultantes da matança desse gado frescos, refrigerados ou congelados </t>
        </is>
      </c>
      <c r="J993" s="38" t="inlineStr">
        <is>
          <t>Lei nº 1.810, art. 49, § 1º, XXIX</t>
        </is>
      </c>
      <c r="K993" s="43" t="inlineStr">
        <is>
          <t>(Itens 83.0 e 84.0: nova redação dada pelo Decreto nº 14.645/2016. Efeitos a partir de 1º.01.2017.)</t>
        </is>
      </c>
      <c r="L993" s="29">
        <f>IF(D993="NCM/SH","",COUNTIF($D$5:$D$1506,D993))</f>
        <v/>
      </c>
    </row>
    <row r="994" ht="15.75" customHeight="1" thickBot="1">
      <c r="A994" s="1" t="inlineStr">
        <is>
          <t>18Alimentos</t>
        </is>
      </c>
      <c r="B994" s="100" t="n">
        <v>84</v>
      </c>
      <c r="C994" s="45" t="inlineStr">
        <is>
          <t>17.084.00</t>
        </is>
      </c>
      <c r="D994" s="38" t="n">
        <v>202</v>
      </c>
      <c r="E994" s="45" t="n">
        <v>36</v>
      </c>
      <c r="F994" s="45" t="n">
        <v>57.3</v>
      </c>
      <c r="G994" s="45" t="n">
        <v>52.39</v>
      </c>
      <c r="H994" s="45" t="n">
        <v>44.19</v>
      </c>
      <c r="I994" s="45" t="inlineStr">
        <is>
          <t xml:space="preserve">Carne de gado bovino, ovino e bufalino e demais produtos comestíveis resultantes da matança desse gado frescos, refrigerados ou congelados </t>
        </is>
      </c>
      <c r="J994" s="38" t="inlineStr">
        <is>
          <t>Lei nº 1.810, art. 49, § 1º, XXIX</t>
        </is>
      </c>
      <c r="K994" s="43" t="inlineStr">
        <is>
          <t>(Itens 83.0 e 84.0: nova redação dada pelo Decreto nº 14.645/2016. Efeitos a partir de 1º.01.2017.)</t>
        </is>
      </c>
      <c r="L994" s="29">
        <f>IF(D994="NCM/SH","",COUNTIF($D$5:$D$1506,D994))</f>
        <v/>
      </c>
    </row>
    <row r="995" ht="15.75" customHeight="1" thickBot="1">
      <c r="A995" s="1" t="inlineStr">
        <is>
          <t>18Alimentos</t>
        </is>
      </c>
      <c r="B995" s="100" t="n">
        <v>84</v>
      </c>
      <c r="C995" s="45" t="inlineStr">
        <is>
          <t>17.084.00</t>
        </is>
      </c>
      <c r="D995" s="38" t="n">
        <v>204</v>
      </c>
      <c r="E995" s="45" t="n">
        <v>36</v>
      </c>
      <c r="F995" s="45" t="n">
        <v>57.3</v>
      </c>
      <c r="G995" s="45" t="n">
        <v>52.39</v>
      </c>
      <c r="H995" s="45" t="n">
        <v>44.19</v>
      </c>
      <c r="I995" s="45" t="inlineStr">
        <is>
          <t xml:space="preserve">Carne de gado bovino, ovino e bufalino e demais produtos comestíveis resultantes da matança desse gado frescos, refrigerados ou congelados </t>
        </is>
      </c>
      <c r="J995" s="40" t="inlineStr">
        <is>
          <t>Lei nº 1.810, art. 49, § 1º, XXIX</t>
        </is>
      </c>
      <c r="K995" s="43" t="inlineStr">
        <is>
          <t>(Itens 83.0 e 84.0: nova redação dada pelo Decreto nº 14.645/2016. Efeitos a partir de 1º.01.2017.)</t>
        </is>
      </c>
      <c r="L995" s="29">
        <f>IF(D995="NCM/SH","",COUNTIF($D$5:$D$1506,D995))</f>
        <v/>
      </c>
    </row>
    <row r="996" ht="15.75" customHeight="1" thickBot="1">
      <c r="A996" s="1" t="inlineStr">
        <is>
          <t>18Alimentos</t>
        </is>
      </c>
      <c r="B996" s="82" t="n">
        <v>84</v>
      </c>
      <c r="C996" s="46" t="inlineStr">
        <is>
          <t>17.084.00</t>
        </is>
      </c>
      <c r="D996" s="48" t="n">
        <v>206</v>
      </c>
      <c r="E996" s="46" t="n">
        <v>36</v>
      </c>
      <c r="F996" s="46" t="n">
        <v>57.3</v>
      </c>
      <c r="G996" s="46" t="n">
        <v>52.39</v>
      </c>
      <c r="H996" s="46" t="n">
        <v>44.19</v>
      </c>
      <c r="I996" s="46" t="inlineStr">
        <is>
          <t xml:space="preserve">Carne de gado bovino, ovino e bufalino e demais produtos comestíveis resultantes da matança desse gado frescos, refrigerados ou congelados </t>
        </is>
      </c>
      <c r="J996" s="40" t="inlineStr">
        <is>
          <t>Lei nº 1.810, art. 49, § 1º, XXIX</t>
        </is>
      </c>
      <c r="K996" s="43" t="inlineStr">
        <is>
          <t>(Itens 83.0 e 84.0: nova redação dada pelo Decreto nº 14.645/2016. Efeitos a partir de 1º.01.2017.)</t>
        </is>
      </c>
      <c r="L996" s="29">
        <f>IF(D996="NCM/SH","",COUNTIF($D$5:$D$1506,D996))</f>
        <v/>
      </c>
    </row>
    <row r="997" ht="15.75" customHeight="1" thickBot="1">
      <c r="A997" s="1" t="inlineStr">
        <is>
          <t>18Alimentos</t>
        </is>
      </c>
      <c r="B997" s="99" t="inlineStr">
        <is>
          <t>85.0</t>
        </is>
      </c>
      <c r="C997" s="35" t="inlineStr">
        <is>
          <t>17.085.00</t>
        </is>
      </c>
      <c r="D997" s="35" t="n">
        <v>204</v>
      </c>
      <c r="E997" s="35" t="n">
        <v>36</v>
      </c>
      <c r="F997" s="35" t="n">
        <v>57.3</v>
      </c>
      <c r="G997" s="35" t="n">
        <v>52.39</v>
      </c>
      <c r="H997" s="35" t="n">
        <v>44.19</v>
      </c>
      <c r="I997" s="35" t="inlineStr">
        <is>
          <t>Carnes de animais das espécies caprina, frescas, refrigeradas ou congeladas</t>
        </is>
      </c>
      <c r="J997" s="163" t="inlineStr">
        <is>
          <t>Lei nº 1.810, art. 49, § 1º, XXIX</t>
        </is>
      </c>
      <c r="L997" s="29">
        <f>IF(D997="NCM/SH","",COUNTIF($D$5:$D$1506,D997))</f>
        <v/>
      </c>
    </row>
    <row r="998" ht="14.45" customHeight="1">
      <c r="A998" s="1" t="inlineStr">
        <is>
          <t>18Alimentos</t>
        </is>
      </c>
      <c r="B998" s="98" t="inlineStr">
        <is>
          <t>86.0</t>
        </is>
      </c>
      <c r="C998" s="42" t="inlineStr">
        <is>
          <t>17.086.00</t>
        </is>
      </c>
      <c r="D998" s="37" t="inlineStr">
        <is>
          <t>0210.99.00</t>
        </is>
      </c>
      <c r="E998" s="163" t="n">
        <v>36</v>
      </c>
      <c r="F998" s="163" t="n">
        <v>57.3</v>
      </c>
      <c r="G998" s="163" t="n">
        <v>52.39</v>
      </c>
      <c r="H998" s="163" t="n">
        <v>44.19</v>
      </c>
      <c r="I998" s="42" t="inlineStr">
        <is>
          <t>Carnes e demais produtos comestíveis frescos, resfriados, congelados, salgados ou salmourados resultantes do abate de caprinos</t>
        </is>
      </c>
      <c r="J998" s="44" t="inlineStr">
        <is>
          <t>Lei nº 1.810, art. 49, § 1º, XXIX</t>
        </is>
      </c>
      <c r="L998" s="29">
        <f>IF(D998="NCM/SH","",COUNTIF($D$5:$D$1506,D998))</f>
        <v/>
      </c>
    </row>
    <row r="999">
      <c r="A999" s="1" t="inlineStr">
        <is>
          <t>18Alimentos</t>
        </is>
      </c>
      <c r="B999" s="101" t="n">
        <v>86</v>
      </c>
      <c r="C999" s="45" t="inlineStr">
        <is>
          <t>17.086.00</t>
        </is>
      </c>
      <c r="D999" s="37" t="inlineStr">
        <is>
          <t>1502.10.19</t>
        </is>
      </c>
      <c r="E999" s="44" t="n">
        <v>36</v>
      </c>
      <c r="F999" s="44" t="n">
        <v>57.3</v>
      </c>
      <c r="G999" s="44" t="n">
        <v>52.39</v>
      </c>
      <c r="H999" s="44" t="n">
        <v>44.19</v>
      </c>
      <c r="I999" s="45" t="inlineStr">
        <is>
          <t>Carnes e demais produtos comestíveis frescos, resfriados, congelados, salgados ou salmourados resultantes do abate de caprinos</t>
        </is>
      </c>
      <c r="J999" s="44" t="inlineStr">
        <is>
          <t>Lei nº 1.810, art. 49, § 1º, XXIX</t>
        </is>
      </c>
      <c r="L999" s="29">
        <f>IF(D999="NCM/SH","",COUNTIF($D$5:$D$1506,D999))</f>
        <v/>
      </c>
    </row>
    <row r="1000" ht="15.75" customHeight="1" thickBot="1">
      <c r="A1000" s="1" t="inlineStr">
        <is>
          <t>18Alimentos</t>
        </is>
      </c>
      <c r="B1000" s="99" t="n">
        <v>86</v>
      </c>
      <c r="C1000" s="46" t="inlineStr">
        <is>
          <t>17.086.00</t>
        </is>
      </c>
      <c r="D1000" s="35" t="inlineStr">
        <is>
          <t>1502.90.00</t>
        </is>
      </c>
      <c r="E1000" s="164" t="n">
        <v>36</v>
      </c>
      <c r="F1000" s="164" t="n">
        <v>57.3</v>
      </c>
      <c r="G1000" s="164" t="n">
        <v>52.39</v>
      </c>
      <c r="H1000" s="164" t="n">
        <v>44.19</v>
      </c>
      <c r="I1000" s="46" t="inlineStr">
        <is>
          <t>Carnes e demais produtos comestíveis frescos, resfriados, congelados, salgados ou salmourados resultantes do abate de caprinos</t>
        </is>
      </c>
      <c r="J1000" s="44" t="inlineStr">
        <is>
          <t>Lei nº 1.810, art. 49, § 1º, XXIX</t>
        </is>
      </c>
      <c r="L1000" s="29">
        <f>IF(D1000="NCM/SH","",COUNTIF($D$5:$D$1506,D1000))</f>
        <v/>
      </c>
    </row>
    <row r="1001" ht="14.45" customHeight="1" thickBot="1">
      <c r="A1001" s="1" t="inlineStr">
        <is>
          <t>18Alimentos</t>
        </is>
      </c>
      <c r="B1001" s="81" t="inlineStr">
        <is>
          <t>87.0</t>
        </is>
      </c>
      <c r="C1001" s="42" t="inlineStr">
        <is>
          <t>17.087.00</t>
        </is>
      </c>
      <c r="D1001" s="38" t="n">
        <v>207</v>
      </c>
      <c r="E1001" s="42" t="n">
        <v>46</v>
      </c>
      <c r="F1001" s="42" t="n">
        <v>68.87</v>
      </c>
      <c r="G1001" s="42" t="n">
        <v>63.59</v>
      </c>
      <c r="H1001" s="42" t="n">
        <v>54.8</v>
      </c>
      <c r="I1001" s="42" t="inlineStr">
        <is>
          <t>Carnes e demais produtos comestíveis frescos, resfriados, congelados, salgados, em salmoura, simplesmente temperados, secos ou defumados, resultantes do abate de aves, exceto os descritos no CEST 17.087.02</t>
        </is>
      </c>
      <c r="J1001" s="44" t="inlineStr">
        <is>
          <t>Lei nº 1.810, art. 49, § 1º, XXIX</t>
        </is>
      </c>
      <c r="K1001" s="43" t="inlineStr">
        <is>
          <t>(Item 87.0: nova redação dada pelo Decreto nº 14.916/2017. Efeitos a partir de 1º.12.2017.)</t>
        </is>
      </c>
      <c r="L1001" s="29">
        <f>IF(D1001="NCM/SH","",COUNTIF($D$5:$D$1506,D1001))</f>
        <v/>
      </c>
    </row>
    <row r="1002" ht="15.75" customHeight="1" thickBot="1">
      <c r="A1002" s="1" t="inlineStr">
        <is>
          <t>18Alimentos</t>
        </is>
      </c>
      <c r="B1002" s="100" t="n">
        <v>87</v>
      </c>
      <c r="C1002" s="45" t="inlineStr">
        <is>
          <t>17.087.00</t>
        </is>
      </c>
      <c r="D1002" s="38" t="n">
        <v>209</v>
      </c>
      <c r="E1002" s="45" t="n">
        <v>46</v>
      </c>
      <c r="F1002" s="45" t="n">
        <v>68.87</v>
      </c>
      <c r="G1002" s="45" t="n">
        <v>63.59</v>
      </c>
      <c r="H1002" s="45" t="n">
        <v>54.8</v>
      </c>
      <c r="I1002" s="45" t="inlineStr">
        <is>
          <t>Carnes e demais produtos comestíveis frescos, resfriados, congelados, salgados, em salmoura, simplesmente temperados, secos ou defumados, resultantes do abate de aves, exceto os descritos no CEST 17.087.02</t>
        </is>
      </c>
      <c r="J1002" s="44" t="inlineStr">
        <is>
          <t>Lei nº 1.810, art. 49, § 1º, XXIX</t>
        </is>
      </c>
      <c r="K1002" s="43" t="inlineStr">
        <is>
          <t>(Item 87.0: nova redação dada pelo Decreto nº 14.916/2017. Efeitos a partir de 1º.12.2017.)</t>
        </is>
      </c>
      <c r="L1002" s="29">
        <f>IF(D1002="NCM/SH","",COUNTIF($D$5:$D$1506,D1002))</f>
        <v/>
      </c>
    </row>
    <row r="1003" ht="15.75" customHeight="1" thickBot="1">
      <c r="A1003" s="1" t="inlineStr">
        <is>
          <t>18Alimentos</t>
        </is>
      </c>
      <c r="B1003" s="100" t="n">
        <v>87</v>
      </c>
      <c r="C1003" s="45" t="inlineStr">
        <is>
          <t>17.087.00</t>
        </is>
      </c>
      <c r="D1003" s="38" t="inlineStr">
        <is>
          <t>0210.99.00</t>
        </is>
      </c>
      <c r="E1003" s="45" t="n">
        <v>46</v>
      </c>
      <c r="F1003" s="45" t="n">
        <v>68.87</v>
      </c>
      <c r="G1003" s="45" t="n">
        <v>63.59</v>
      </c>
      <c r="H1003" s="45" t="n">
        <v>54.8</v>
      </c>
      <c r="I1003" s="45" t="inlineStr">
        <is>
          <t>Carnes e demais produtos comestíveis frescos, resfriados, congelados, salgados, em salmoura, simplesmente temperados, secos ou defumados, resultantes do abate de aves, exceto os descritos no CEST 17.087.02</t>
        </is>
      </c>
      <c r="J1003" s="44" t="inlineStr">
        <is>
          <t>Lei nº 1.810, art. 49, § 1º, XXIX</t>
        </is>
      </c>
      <c r="K1003" s="43" t="inlineStr">
        <is>
          <t>(Item 87.0: nova redação dada pelo Decreto nº 14.916/2017. Efeitos a partir de 1º.12.2017.)</t>
        </is>
      </c>
      <c r="L1003" s="29">
        <f>IF(D1003="NCM/SH","",COUNTIF($D$5:$D$1506,D1003))</f>
        <v/>
      </c>
    </row>
    <row r="1004" ht="15.75" customHeight="1" thickBot="1">
      <c r="A1004" s="1" t="inlineStr">
        <is>
          <t>18Alimentos</t>
        </is>
      </c>
      <c r="B1004" s="82" t="n">
        <v>87</v>
      </c>
      <c r="C1004" s="46" t="inlineStr">
        <is>
          <t>17.087.00</t>
        </is>
      </c>
      <c r="D1004" s="48" t="n">
        <v>1501</v>
      </c>
      <c r="E1004" s="46" t="n">
        <v>46</v>
      </c>
      <c r="F1004" s="46" t="n">
        <v>68.87</v>
      </c>
      <c r="G1004" s="46" t="n">
        <v>63.59</v>
      </c>
      <c r="H1004" s="46" t="n">
        <v>54.8</v>
      </c>
      <c r="I1004" s="46" t="inlineStr">
        <is>
          <t>Carnes e demais produtos comestíveis frescos, resfriados, congelados, salgados, em salmoura, simplesmente temperados, secos ou defumados, resultantes do abate de aves, exceto os descritos no CEST 17.087.02</t>
        </is>
      </c>
      <c r="J1004" s="44" t="inlineStr">
        <is>
          <t>Lei nº 1.810, art. 49, § 1º, XXIX</t>
        </is>
      </c>
      <c r="K1004" s="43" t="inlineStr">
        <is>
          <t>(Item 87.0: nova redação dada pelo Decreto nº 14.916/2017. Efeitos a partir de 1º.12.2017.)</t>
        </is>
      </c>
      <c r="L1004" s="29">
        <f>IF(D1004="NCM/SH","",COUNTIF($D$5:$D$1506,D1004))</f>
        <v/>
      </c>
    </row>
    <row r="1005" ht="14.45" customHeight="1" thickBot="1">
      <c r="A1005" s="1" t="inlineStr">
        <is>
          <t>18Alimentos</t>
        </is>
      </c>
      <c r="B1005" s="100" t="inlineStr">
        <is>
          <t>87.1</t>
        </is>
      </c>
      <c r="C1005" s="42" t="inlineStr">
        <is>
          <t>17.087.01</t>
        </is>
      </c>
      <c r="D1005" s="38" t="n">
        <v>203</v>
      </c>
      <c r="E1005" s="42" t="n">
        <v>53</v>
      </c>
      <c r="F1005" s="42" t="n">
        <v>76.95999999999999</v>
      </c>
      <c r="G1005" s="42" t="n">
        <v>71.43000000000001</v>
      </c>
      <c r="H1005" s="42" t="n">
        <v>62.22</v>
      </c>
      <c r="I1005" s="42" t="inlineStr">
        <is>
          <t>Carnes e demais produtos comestíveis frescos, resfriados, congelados, salgados, em salmoura, simplesmente temperados, secos ou defumados, resultantes do abate de suínos</t>
        </is>
      </c>
      <c r="J1005" s="163" t="inlineStr">
        <is>
          <t>Lei nº 1.810, art. 49, § 1º, XXIX</t>
        </is>
      </c>
      <c r="K1005" s="43" t="inlineStr">
        <is>
          <t>(Item 87.1: acrescentado pelo Decreto nº 14.645/2016. Efeitos a partir de 1º.01.2017.)</t>
        </is>
      </c>
      <c r="L1005" s="29">
        <f>IF(D1005="NCM/SH","",COUNTIF($D$5:$D$1506,D1005))</f>
        <v/>
      </c>
    </row>
    <row r="1006" ht="15.75" customHeight="1" thickBot="1">
      <c r="A1006" s="1" t="inlineStr">
        <is>
          <t>18Alimentos</t>
        </is>
      </c>
      <c r="B1006" s="100" t="n">
        <v>87.09999999999999</v>
      </c>
      <c r="C1006" s="45" t="inlineStr">
        <is>
          <t>17.087.01</t>
        </is>
      </c>
      <c r="D1006" s="38" t="n">
        <v>206</v>
      </c>
      <c r="E1006" s="45" t="n">
        <v>53</v>
      </c>
      <c r="F1006" s="45" t="n">
        <v>76.95999999999999</v>
      </c>
      <c r="G1006" s="45" t="n">
        <v>71.43000000000001</v>
      </c>
      <c r="H1006" s="45" t="n">
        <v>62.22</v>
      </c>
      <c r="I1006" s="45" t="inlineStr">
        <is>
          <t>Carnes e demais produtos comestíveis frescos, resfriados, congelados, salgados, em salmoura, simplesmente temperados, secos ou defumados, resultantes do abate de suínos</t>
        </is>
      </c>
      <c r="J1006" s="44" t="inlineStr">
        <is>
          <t>Lei nº 1.810, art. 49, § 1º, XXIX</t>
        </is>
      </c>
      <c r="K1006" s="43" t="inlineStr">
        <is>
          <t>(Item 87.1: acrescentado pelo Decreto nº 14.645/2016. Efeitos a partir de 1º.01.2017.)</t>
        </is>
      </c>
      <c r="L1006" s="29">
        <f>IF(D1006="NCM/SH","",COUNTIF($D$5:$D$1506,D1006))</f>
        <v/>
      </c>
    </row>
    <row r="1007" ht="15.75" customHeight="1" thickBot="1">
      <c r="A1007" s="1" t="inlineStr">
        <is>
          <t>18Alimentos</t>
        </is>
      </c>
      <c r="B1007" s="100" t="n">
        <v>87.09999999999999</v>
      </c>
      <c r="C1007" s="45" t="inlineStr">
        <is>
          <t>17.087.01</t>
        </is>
      </c>
      <c r="D1007" s="38" t="n">
        <v>209</v>
      </c>
      <c r="E1007" s="45" t="n">
        <v>53</v>
      </c>
      <c r="F1007" s="45" t="n">
        <v>76.95999999999999</v>
      </c>
      <c r="G1007" s="45" t="n">
        <v>71.43000000000001</v>
      </c>
      <c r="H1007" s="45" t="n">
        <v>62.22</v>
      </c>
      <c r="I1007" s="45" t="inlineStr">
        <is>
          <t>Carnes e demais produtos comestíveis frescos, resfriados, congelados, salgados, em salmoura, simplesmente temperados, secos ou defumados, resultantes do abate de suínos</t>
        </is>
      </c>
      <c r="J1007" s="44" t="inlineStr">
        <is>
          <t>Lei nº 1.810, art. 49, § 1º, XXIX</t>
        </is>
      </c>
      <c r="K1007" s="43" t="inlineStr">
        <is>
          <t>(Item 87.1: acrescentado pelo Decreto nº 14.645/2016. Efeitos a partir de 1º.01.2017.)</t>
        </is>
      </c>
      <c r="L1007" s="29">
        <f>IF(D1007="NCM/SH","",COUNTIF($D$5:$D$1506,D1007))</f>
        <v/>
      </c>
    </row>
    <row r="1008" ht="15.75" customHeight="1" thickBot="1">
      <c r="A1008" s="1" t="inlineStr">
        <is>
          <t>18Alimentos</t>
        </is>
      </c>
      <c r="B1008" s="100" t="n">
        <v>87.09999999999999</v>
      </c>
      <c r="C1008" s="45" t="inlineStr">
        <is>
          <t>17.087.01</t>
        </is>
      </c>
      <c r="D1008" s="38" t="inlineStr">
        <is>
          <t>0210.1</t>
        </is>
      </c>
      <c r="E1008" s="45" t="n">
        <v>53</v>
      </c>
      <c r="F1008" s="45" t="n">
        <v>76.95999999999999</v>
      </c>
      <c r="G1008" s="45" t="n">
        <v>71.43000000000001</v>
      </c>
      <c r="H1008" s="45" t="n">
        <v>62.22</v>
      </c>
      <c r="I1008" s="45" t="inlineStr">
        <is>
          <t>Carnes e demais produtos comestíveis frescos, resfriados, congelados, salgados, em salmoura, simplesmente temperados, secos ou defumados, resultantes do abate de suínos</t>
        </is>
      </c>
      <c r="J1008" s="44" t="inlineStr">
        <is>
          <t>Lei nº 1.810, art. 49, § 1º, XXIX</t>
        </is>
      </c>
      <c r="K1008" s="43" t="inlineStr">
        <is>
          <t>(Item 87.1: acrescentado pelo Decreto nº 14.645/2016. Efeitos a partir de 1º.01.2017.)</t>
        </is>
      </c>
      <c r="L1008" s="29">
        <f>IF(D1008="NCM/SH","",COUNTIF($D$5:$D$1506,D1008))</f>
        <v/>
      </c>
    </row>
    <row r="1009" ht="15.75" customHeight="1" thickBot="1">
      <c r="A1009" s="1" t="inlineStr">
        <is>
          <t>18Alimentos</t>
        </is>
      </c>
      <c r="B1009" s="100" t="n">
        <v>87.09999999999999</v>
      </c>
      <c r="C1009" s="45" t="inlineStr">
        <is>
          <t>17.087.01</t>
        </is>
      </c>
      <c r="D1009" s="38" t="inlineStr">
        <is>
          <t>0210.99.00</t>
        </is>
      </c>
      <c r="E1009" s="45" t="n">
        <v>53</v>
      </c>
      <c r="F1009" s="45" t="n">
        <v>76.95999999999999</v>
      </c>
      <c r="G1009" s="45" t="n">
        <v>71.43000000000001</v>
      </c>
      <c r="H1009" s="45" t="n">
        <v>62.22</v>
      </c>
      <c r="I1009" s="45" t="inlineStr">
        <is>
          <t>Carnes e demais produtos comestíveis frescos, resfriados, congelados, salgados, em salmoura, simplesmente temperados, secos ou defumados, resultantes do abate de suínos</t>
        </is>
      </c>
      <c r="J1009" s="44" t="inlineStr">
        <is>
          <t>Lei nº 1.810, art. 49, § 1º, XXIX</t>
        </is>
      </c>
      <c r="K1009" s="43" t="inlineStr">
        <is>
          <t>(Item 87.1: acrescentado pelo Decreto nº 14.645/2016. Efeitos a partir de 1º.01.2017.)</t>
        </is>
      </c>
      <c r="L1009" s="29">
        <f>IF(D1009="NCM/SH","",COUNTIF($D$5:$D$1506,D1009))</f>
        <v/>
      </c>
    </row>
    <row r="1010" ht="15.75" customHeight="1" thickBot="1">
      <c r="A1010" s="1" t="inlineStr">
        <is>
          <t>18Alimentos</t>
        </is>
      </c>
      <c r="B1010" s="82" t="n">
        <v>87.09999999999999</v>
      </c>
      <c r="C1010" s="46" t="inlineStr">
        <is>
          <t>17.087.01</t>
        </is>
      </c>
      <c r="D1010" s="48" t="n">
        <v>1501</v>
      </c>
      <c r="E1010" s="46" t="n">
        <v>53</v>
      </c>
      <c r="F1010" s="46" t="n">
        <v>76.95999999999999</v>
      </c>
      <c r="G1010" s="46" t="n">
        <v>71.43000000000001</v>
      </c>
      <c r="H1010" s="46" t="n">
        <v>62.22</v>
      </c>
      <c r="I1010" s="46" t="inlineStr">
        <is>
          <t>Carnes e demais produtos comestíveis frescos, resfriados, congelados, salgados, em salmoura, simplesmente temperados, secos ou defumados, resultantes do abate de suínos</t>
        </is>
      </c>
      <c r="J1010" s="44" t="inlineStr">
        <is>
          <t>Lei nº 1.810, art. 49, § 1º, XXIX</t>
        </is>
      </c>
      <c r="K1010" s="43" t="inlineStr">
        <is>
          <t>(Item 87.1: acrescentado pelo Decreto nº 14.645/2016. Efeitos a partir de 1º.01.2017.)</t>
        </is>
      </c>
      <c r="L1010" s="29">
        <f>IF(D1010="NCM/SH","",COUNTIF($D$5:$D$1506,D1010))</f>
        <v/>
      </c>
    </row>
    <row r="1011" ht="14.45" customHeight="1" thickBot="1">
      <c r="A1011" s="1" t="inlineStr">
        <is>
          <t>18Alimentos</t>
        </is>
      </c>
      <c r="B1011" s="81" t="inlineStr">
        <is>
          <t>87.2</t>
        </is>
      </c>
      <c r="C1011" s="42" t="inlineStr">
        <is>
          <t>17.087.02</t>
        </is>
      </c>
      <c r="D1011" s="38" t="inlineStr">
        <is>
          <t>0207.1</t>
        </is>
      </c>
      <c r="E1011" s="42" t="n">
        <v>46</v>
      </c>
      <c r="F1011" s="42" t="n">
        <v>68.87</v>
      </c>
      <c r="G1011" s="42" t="n">
        <v>63.59</v>
      </c>
      <c r="H1011" s="42" t="n">
        <v>54.8</v>
      </c>
      <c r="I1011" s="163" t="inlineStr">
        <is>
          <t>Carnes de aves inteiras e com peso unitário superior a 3 kg, temperadas</t>
        </is>
      </c>
      <c r="J1011" s="44" t="inlineStr">
        <is>
          <t>Lei nº 1.810, art. 49, § 1º, XXIX</t>
        </is>
      </c>
      <c r="K1011" s="49" t="inlineStr">
        <is>
          <t>(Item 87.2: acrescentado pelo Decreto n° 14.916/2017. Efeitos a partir de 1°.12.2017.)</t>
        </is>
      </c>
      <c r="L1011" s="29">
        <f>IF(D1011="NCM/SH","",COUNTIF($D$5:$D$1506,D1011))</f>
        <v/>
      </c>
    </row>
    <row r="1012" ht="15.75" customHeight="1" thickBot="1">
      <c r="A1012" s="1" t="inlineStr">
        <is>
          <t>18Alimentos</t>
        </is>
      </c>
      <c r="B1012" s="82" t="n">
        <v>87.2</v>
      </c>
      <c r="C1012" s="46" t="inlineStr">
        <is>
          <t>17.087.02</t>
        </is>
      </c>
      <c r="D1012" s="48" t="inlineStr">
        <is>
          <t>0207.2</t>
        </is>
      </c>
      <c r="E1012" s="46" t="n">
        <v>46</v>
      </c>
      <c r="F1012" s="46" t="n">
        <v>68.87</v>
      </c>
      <c r="G1012" s="46" t="n">
        <v>63.59</v>
      </c>
      <c r="H1012" s="46" t="n">
        <v>54.8</v>
      </c>
      <c r="I1012" s="164" t="inlineStr">
        <is>
          <t>Carnes de aves inteiras e com peso unitário superior a 3 kg, temperadas</t>
        </is>
      </c>
      <c r="J1012" s="44" t="inlineStr">
        <is>
          <t>Lei nº 1.810, art. 49, § 1º, XXIX</t>
        </is>
      </c>
      <c r="K1012" s="49" t="inlineStr">
        <is>
          <t>(Item 87.2: acrescentado pelo Decreto n° 14.916/2017. Efeitos a partir de 1°.12.2017.)</t>
        </is>
      </c>
      <c r="L1012" s="29">
        <f>IF(D1012="NCM/SH","",COUNTIF($D$5:$D$1506,D1012))</f>
        <v/>
      </c>
    </row>
    <row r="1013" ht="15.75" customHeight="1" thickBot="1">
      <c r="A1013" s="1" t="inlineStr">
        <is>
          <t>18Alimentos</t>
        </is>
      </c>
      <c r="B1013" s="99" t="inlineStr">
        <is>
          <t>88.0</t>
        </is>
      </c>
      <c r="C1013" s="35" t="inlineStr">
        <is>
          <t>17.088.00</t>
        </is>
      </c>
      <c r="D1013" s="35" t="n">
        <v>710</v>
      </c>
      <c r="E1013" s="35" t="n">
        <v>54.6</v>
      </c>
      <c r="F1013" s="35" t="n">
        <v>78.81</v>
      </c>
      <c r="G1013" s="35" t="n">
        <v>73.23</v>
      </c>
      <c r="H1013" s="35" t="n">
        <v>63.91</v>
      </c>
      <c r="I1013" s="35" t="inlineStr">
        <is>
          <t xml:space="preserve">Produtos hortícolas, cozidos em água ou vapor, congelados, em embalagens de conteúdo inferior ou igual a 1 kg </t>
        </is>
      </c>
      <c r="J1013" s="163" t="inlineStr">
        <is>
          <t>Lei nº 1.810, art. 49, § 1º, XXIX</t>
        </is>
      </c>
      <c r="L1013" s="29">
        <f>IF(D1013="NCM/SH","",COUNTIF($D$5:$D$1506,D1013))</f>
        <v/>
      </c>
    </row>
    <row r="1014" ht="15.75" customHeight="1" thickBot="1">
      <c r="A1014" s="1" t="inlineStr">
        <is>
          <t>18Alimentos</t>
        </is>
      </c>
      <c r="B1014" s="165" t="inlineStr">
        <is>
          <t>88.1</t>
        </is>
      </c>
      <c r="C1014" s="35" t="inlineStr">
        <is>
          <t>17.088.01</t>
        </is>
      </c>
      <c r="D1014" s="35" t="n">
        <v>710</v>
      </c>
      <c r="E1014" s="35" t="n">
        <v>54.6</v>
      </c>
      <c r="F1014" s="35" t="n">
        <v>78.81</v>
      </c>
      <c r="G1014" s="35" t="n">
        <v>73.23</v>
      </c>
      <c r="H1014" s="35" t="n">
        <v>63.91</v>
      </c>
      <c r="I1014" s="35" t="inlineStr">
        <is>
          <t>Produtos hortícolas, cozidos em água ou vapor, congelados, em embalagens de conteúdo superior a 1 kg</t>
        </is>
      </c>
      <c r="J1014" s="44" t="inlineStr">
        <is>
          <t>Lei nº 1.810, art. 49, § 1º, XXIX</t>
        </is>
      </c>
      <c r="L1014" s="29">
        <f>IF(D1014="NCM/SH","",COUNTIF($D$5:$D$1506,D1014))</f>
        <v/>
      </c>
    </row>
    <row r="1015" ht="15.75" customHeight="1" thickBot="1">
      <c r="A1015" s="1" t="inlineStr">
        <is>
          <t>18Alimentos</t>
        </is>
      </c>
      <c r="B1015" s="165" t="inlineStr">
        <is>
          <t>89.0</t>
        </is>
      </c>
      <c r="C1015" s="35" t="inlineStr">
        <is>
          <t>17.089.00</t>
        </is>
      </c>
      <c r="D1015" s="35" t="n">
        <v>811</v>
      </c>
      <c r="E1015" s="35" t="n">
        <v>54.6</v>
      </c>
      <c r="F1015" s="35" t="n">
        <v>78.81</v>
      </c>
      <c r="G1015" s="35" t="n">
        <v>73.23</v>
      </c>
      <c r="H1015" s="35" t="n">
        <v>63.91</v>
      </c>
      <c r="I1015" s="35" t="inlineStr">
        <is>
          <t xml:space="preserve">Frutas, não cozidas ou cozidas em água ou vapor, congeladas, mesmo adicionadas de açúcar ou de outros edulcorantes, em embalagens de conteúdo inferior ou igual a 1 kg </t>
        </is>
      </c>
      <c r="J1015" s="44" t="inlineStr">
        <is>
          <t>Lei nº 1.810, art. 49, § 1º, XXIX</t>
        </is>
      </c>
      <c r="L1015" s="29">
        <f>IF(D1015="NCM/SH","",COUNTIF($D$5:$D$1506,D1015))</f>
        <v/>
      </c>
    </row>
    <row r="1016" ht="15.75" customHeight="1" thickBot="1">
      <c r="A1016" s="1" t="inlineStr">
        <is>
          <t>18Alimentos</t>
        </is>
      </c>
      <c r="B1016" s="165" t="inlineStr">
        <is>
          <t>89.1</t>
        </is>
      </c>
      <c r="C1016" s="35" t="inlineStr">
        <is>
          <t>17.089.01</t>
        </is>
      </c>
      <c r="D1016" s="35" t="n">
        <v>811</v>
      </c>
      <c r="E1016" s="35" t="n">
        <v>54.6</v>
      </c>
      <c r="F1016" s="35" t="n">
        <v>78.81</v>
      </c>
      <c r="G1016" s="35" t="n">
        <v>73.23</v>
      </c>
      <c r="H1016" s="35" t="n">
        <v>63.91</v>
      </c>
      <c r="I1016" s="35" t="inlineStr">
        <is>
          <t>Frutas, não cozidas ou cozidas em água ou vapor, congeladas, mesmo adicionadas de açúcar ou de outros edulcorantes, em embalagens de conteúdo superior a 1 kg</t>
        </is>
      </c>
      <c r="J1016" s="44" t="inlineStr">
        <is>
          <t>Lei nº 1.810, art. 49, § 1º, XXIX</t>
        </is>
      </c>
      <c r="L1016" s="29">
        <f>IF(D1016="NCM/SH","",COUNTIF($D$5:$D$1506,D1016))</f>
        <v/>
      </c>
    </row>
    <row r="1017" ht="15.75" customHeight="1" thickBot="1">
      <c r="A1017" s="1" t="inlineStr">
        <is>
          <t>18Alimentos</t>
        </is>
      </c>
      <c r="B1017" s="165" t="inlineStr">
        <is>
          <t>90.0</t>
        </is>
      </c>
      <c r="C1017" s="35" t="inlineStr">
        <is>
          <t>17.090.00</t>
        </is>
      </c>
      <c r="D1017" s="35" t="n">
        <v>2001</v>
      </c>
      <c r="E1017" s="35" t="n">
        <v>54.6</v>
      </c>
      <c r="F1017" s="35" t="n">
        <v>78.81</v>
      </c>
      <c r="G1017" s="35" t="n">
        <v>73.23</v>
      </c>
      <c r="H1017" s="35" t="n">
        <v>63.91</v>
      </c>
      <c r="I1017" s="35" t="inlineStr">
        <is>
          <t xml:space="preserve">Produtos hortícolas, frutas e outras partes comestíveis de plantas, preparados ou conservados em vinagre ou em ácido acético, em embalagens de conteúdo inferior ou igual a 1 kg </t>
        </is>
      </c>
      <c r="J1017" s="44" t="inlineStr">
        <is>
          <t>Lei nº 1.810, art. 49, § 1º, XXIX</t>
        </is>
      </c>
      <c r="L1017" s="29">
        <f>IF(D1017="NCM/SH","",COUNTIF($D$5:$D$1506,D1017))</f>
        <v/>
      </c>
    </row>
    <row r="1018" ht="15.75" customHeight="1" thickBot="1">
      <c r="A1018" s="1" t="inlineStr">
        <is>
          <t>18Alimentos</t>
        </is>
      </c>
      <c r="B1018" s="165" t="inlineStr">
        <is>
          <t>90.1</t>
        </is>
      </c>
      <c r="C1018" s="35" t="inlineStr">
        <is>
          <t>17.090.01</t>
        </is>
      </c>
      <c r="D1018" s="35" t="n">
        <v>2001</v>
      </c>
      <c r="E1018" s="35" t="n">
        <v>54.6</v>
      </c>
      <c r="F1018" s="35" t="n">
        <v>78.81</v>
      </c>
      <c r="G1018" s="35" t="n">
        <v>73.23</v>
      </c>
      <c r="H1018" s="35" t="n">
        <v>63.91</v>
      </c>
      <c r="I1018" s="35" t="inlineStr">
        <is>
          <t xml:space="preserve">Produtos hortícolas, frutas e outras partes comestíveis de plantas, preparados ou conservados em vinagre ou em ácido acético, em embalagens de conteúdo superior a 1 kg </t>
        </is>
      </c>
      <c r="J1018" s="164" t="inlineStr">
        <is>
          <t>Lei nº 1.810, art. 49, § 1º, XXIX</t>
        </is>
      </c>
      <c r="L1018" s="29">
        <f>IF(D1018="NCM/SH","",COUNTIF($D$5:$D$1506,D1018))</f>
        <v/>
      </c>
    </row>
    <row r="1019" ht="15.75" customHeight="1" thickBot="1">
      <c r="A1019" s="1" t="inlineStr">
        <is>
          <t>18Alimentos</t>
        </is>
      </c>
      <c r="B1019" s="165" t="inlineStr">
        <is>
          <t>91.0</t>
        </is>
      </c>
      <c r="C1019" s="35" t="inlineStr">
        <is>
          <t>17.091.00</t>
        </is>
      </c>
      <c r="D1019" s="35" t="n">
        <v>2004</v>
      </c>
      <c r="E1019" s="35" t="n">
        <v>54.6</v>
      </c>
      <c r="F1019" s="35" t="n">
        <v>78.81</v>
      </c>
      <c r="G1019" s="35" t="n">
        <v>73.23</v>
      </c>
      <c r="H1019" s="35" t="n">
        <v>63.91</v>
      </c>
      <c r="I1019" s="35" t="inlineStr">
        <is>
          <t xml:space="preserve">Outros produtos hortícolas preparados ou conservados, exceto em vinagre ou em ácido acético, congelados, com exceção dos produtos da posição 20.06, em embalagens de conteúdo inferior ou igual a 1 kg </t>
        </is>
      </c>
      <c r="J1019" s="38" t="inlineStr">
        <is>
          <t>Lei nº 1.810, art. 49, § 1º, XXIX</t>
        </is>
      </c>
      <c r="L1019" s="29">
        <f>IF(D1019="NCM/SH","",COUNTIF($D$5:$D$1506,D1019))</f>
        <v/>
      </c>
    </row>
    <row r="1020" ht="15.75" customHeight="1" thickBot="1">
      <c r="A1020" s="1" t="inlineStr">
        <is>
          <t>18Alimentos</t>
        </is>
      </c>
      <c r="B1020" s="165" t="inlineStr">
        <is>
          <t>91.1</t>
        </is>
      </c>
      <c r="C1020" s="35" t="inlineStr">
        <is>
          <t>17.091.01</t>
        </is>
      </c>
      <c r="D1020" s="35" t="n">
        <v>2004</v>
      </c>
      <c r="E1020" s="35" t="n">
        <v>54.6</v>
      </c>
      <c r="F1020" s="35" t="n">
        <v>78.81</v>
      </c>
      <c r="G1020" s="35" t="n">
        <v>73.23</v>
      </c>
      <c r="H1020" s="35" t="n">
        <v>63.91</v>
      </c>
      <c r="I1020" s="35" t="inlineStr">
        <is>
          <t xml:space="preserve">Outros produtos hortícolas preparados ou conservados, exceto em vinagre ou em ácido acético, congelados, com exceção dos produtos da posição 20.06, em embalagens de conteúdo superior a 1 kg </t>
        </is>
      </c>
      <c r="J1020" s="38" t="inlineStr">
        <is>
          <t>Lei nº 1.810, art. 49, § 1º, XXIX</t>
        </is>
      </c>
      <c r="L1020" s="29">
        <f>IF(D1020="NCM/SH","",COUNTIF($D$5:$D$1506,D1020))</f>
        <v/>
      </c>
    </row>
    <row r="1021" ht="15.75" customHeight="1" thickBot="1">
      <c r="A1021" s="1" t="inlineStr">
        <is>
          <t>18Alimentos</t>
        </is>
      </c>
      <c r="B1021" s="165" t="inlineStr">
        <is>
          <t>92.0</t>
        </is>
      </c>
      <c r="C1021" s="35" t="inlineStr">
        <is>
          <t>17.092.00</t>
        </is>
      </c>
      <c r="D1021" s="35" t="n">
        <v>2005</v>
      </c>
      <c r="E1021" s="35" t="n">
        <v>54.6</v>
      </c>
      <c r="F1021" s="35" t="n">
        <v>78.81</v>
      </c>
      <c r="G1021" s="35" t="n">
        <v>73.23</v>
      </c>
      <c r="H1021" s="35" t="n">
        <v>63.91</v>
      </c>
      <c r="I1021" s="35" t="inlineStr">
        <is>
          <t xml:space="preserve">Outros produtos hortícolas preparados ou conservados, exceto em vinagre ou em ácido acético, não congelados, com exceção dos produtos da posição 20.06, excluídos batata, inhame e mandioca fritos, em embalagens de conteúdo inferior ou igual a 1 kg </t>
        </is>
      </c>
      <c r="J1021" s="40" t="inlineStr">
        <is>
          <t>Lei nº 1.810, art. 49, § 1º, XXIX</t>
        </is>
      </c>
      <c r="L1021" s="29">
        <f>IF(D1021="NCM/SH","",COUNTIF($D$5:$D$1506,D1021))</f>
        <v/>
      </c>
    </row>
    <row r="1022" ht="15.75" customHeight="1" thickBot="1">
      <c r="A1022" s="1" t="inlineStr">
        <is>
          <t>18Alimentos</t>
        </is>
      </c>
      <c r="B1022" s="165" t="inlineStr">
        <is>
          <t>92.1</t>
        </is>
      </c>
      <c r="C1022" s="35" t="inlineStr">
        <is>
          <t>17.092.01</t>
        </is>
      </c>
      <c r="D1022" s="35" t="n">
        <v>2005</v>
      </c>
      <c r="E1022" s="35" t="n">
        <v>54.6</v>
      </c>
      <c r="F1022" s="35" t="n">
        <v>78.81</v>
      </c>
      <c r="G1022" s="35" t="n">
        <v>73.23</v>
      </c>
      <c r="H1022" s="35" t="n">
        <v>63.91</v>
      </c>
      <c r="I1022" s="35" t="inlineStr">
        <is>
          <t xml:space="preserve">Outros produtos hortícolas preparados ou conservados, exceto em vinagre ou em ácido acético, não congelados, com exceção dos produtos da posição 20.06, excluídos batata, inhame e mandioca fritos, em embalagens de conteúdo superior a 1 kg </t>
        </is>
      </c>
      <c r="J1022" s="40" t="inlineStr">
        <is>
          <t>Lei nº 1.810, art. 49, § 1º, XXIX</t>
        </is>
      </c>
      <c r="L1022" s="29">
        <f>IF(D1022="NCM/SH","",COUNTIF($D$5:$D$1506,D1022))</f>
        <v/>
      </c>
    </row>
    <row r="1023" ht="15.75" customHeight="1" thickBot="1">
      <c r="A1023" s="1" t="inlineStr">
        <is>
          <t>18Alimentos</t>
        </is>
      </c>
      <c r="B1023" s="165" t="inlineStr">
        <is>
          <t>93.0</t>
        </is>
      </c>
      <c r="C1023" s="35" t="inlineStr">
        <is>
          <t>17.093.00</t>
        </is>
      </c>
      <c r="D1023" s="35" t="inlineStr">
        <is>
          <t>2006.00.00</t>
        </is>
      </c>
      <c r="E1023" s="35" t="n">
        <v>54.6</v>
      </c>
      <c r="F1023" s="35" t="n">
        <v>78.81</v>
      </c>
      <c r="G1023" s="35" t="n">
        <v>73.23</v>
      </c>
      <c r="H1023" s="35" t="n">
        <v>63.91</v>
      </c>
      <c r="I1023" s="35" t="inlineStr">
        <is>
          <t xml:space="preserve">Produtos hortícolas, frutas, cascas de frutas e outras partes de plantas, conservados com açúcar (passados por calda, glaceados ou cristalizados), em embalagens de conteúdo inferior ou igual a 1 kg </t>
        </is>
      </c>
      <c r="J1023" s="40" t="inlineStr">
        <is>
          <t>Lei nº 1.810, art. 49, § 1º, XXIX</t>
        </is>
      </c>
      <c r="L1023" s="29">
        <f>IF(D1023="NCM/SH","",COUNTIF($D$5:$D$1506,D1023))</f>
        <v/>
      </c>
    </row>
    <row r="1024" ht="15.75" customHeight="1" thickBot="1">
      <c r="A1024" s="1" t="inlineStr">
        <is>
          <t>18Alimentos</t>
        </is>
      </c>
      <c r="B1024" s="165" t="inlineStr">
        <is>
          <t>93.1</t>
        </is>
      </c>
      <c r="C1024" s="35" t="inlineStr">
        <is>
          <t>17.093.01</t>
        </is>
      </c>
      <c r="D1024" s="35" t="inlineStr">
        <is>
          <t>2006.00.00</t>
        </is>
      </c>
      <c r="E1024" s="35" t="n">
        <v>54.6</v>
      </c>
      <c r="F1024" s="35" t="n">
        <v>78.81</v>
      </c>
      <c r="G1024" s="35" t="n">
        <v>73.23</v>
      </c>
      <c r="H1024" s="35" t="n">
        <v>63.91</v>
      </c>
      <c r="I1024" s="35" t="inlineStr">
        <is>
          <t>Produtos hortícolas, frutas, cascas de frutas e outras partes de plantas, conservados com açúcar (passados por calda, glaceados ou cristalizados), em embalagens de conteúdo superior a 1 kg</t>
        </is>
      </c>
      <c r="J1024" s="40" t="inlineStr">
        <is>
          <t>Lei nº 1.810, art. 49, § 1º, XXIX</t>
        </is>
      </c>
      <c r="L1024" s="29">
        <f>IF(D1024="NCM/SH","",COUNTIF($D$5:$D$1506,D1024))</f>
        <v/>
      </c>
    </row>
    <row r="1025" ht="15.75" customHeight="1" thickBot="1">
      <c r="A1025" s="1" t="inlineStr">
        <is>
          <t>18Alimentos</t>
        </is>
      </c>
      <c r="B1025" s="165" t="inlineStr">
        <is>
          <t>94.0</t>
        </is>
      </c>
      <c r="C1025" s="35" t="inlineStr">
        <is>
          <t>17.094.00</t>
        </is>
      </c>
      <c r="D1025" s="35" t="n">
        <v>2007</v>
      </c>
      <c r="E1025" s="35" t="n">
        <v>54.6</v>
      </c>
      <c r="F1025" s="35" t="n">
        <v>78.81</v>
      </c>
      <c r="G1025" s="35" t="n">
        <v>73.23</v>
      </c>
      <c r="H1025" s="35" t="n">
        <v>63.91</v>
      </c>
      <c r="I1025" s="35" t="inlineStr">
        <is>
          <t>Doces, geleias, “marmelades”, purês e pastas de frutas, obtidos por cozimento, com ou sem adição de açúcar ou de outros edulcorantes, em embalagens de conteúdo inferior ou igual a 1 kg, exceto as embalagens individuais de conteúdo inferior ou igual a 10 g</t>
        </is>
      </c>
      <c r="J1025" s="41" t="inlineStr">
        <is>
          <t>Lei nº 1.810, art. 49, § 1º, XXIX</t>
        </is>
      </c>
      <c r="L1025" s="29">
        <f>IF(D1025="NCM/SH","",COUNTIF($D$5:$D$1506,D1025))</f>
        <v/>
      </c>
    </row>
    <row r="1026" ht="15.75" customHeight="1" thickBot="1">
      <c r="A1026" s="1" t="inlineStr">
        <is>
          <t>18Alimentos</t>
        </is>
      </c>
      <c r="B1026" s="165" t="inlineStr">
        <is>
          <t>94.1</t>
        </is>
      </c>
      <c r="C1026" s="35" t="inlineStr">
        <is>
          <t>17.094.01</t>
        </is>
      </c>
      <c r="D1026" s="35" t="n">
        <v>2007</v>
      </c>
      <c r="E1026" s="35" t="n">
        <v>54.6</v>
      </c>
      <c r="F1026" s="35" t="n">
        <v>78.81</v>
      </c>
      <c r="G1026" s="35" t="n">
        <v>73.23</v>
      </c>
      <c r="H1026" s="35" t="n">
        <v>63.91</v>
      </c>
      <c r="I1026" s="35" t="inlineStr">
        <is>
          <t>Doces, geleias, “marmelades”, purês e pastas de frutas, obtidos por cozimento, com ou sem adição de açúcar ou de outros edulcorantes, em embalagens de conteúdo superior a 1 kg</t>
        </is>
      </c>
      <c r="J1026" s="38" t="inlineStr">
        <is>
          <t>Lei nº 1.810, art. 49, § 1º, XXIX</t>
        </is>
      </c>
      <c r="L1026" s="29">
        <f>IF(D1026="NCM/SH","",COUNTIF($D$5:$D$1506,D1026))</f>
        <v/>
      </c>
    </row>
    <row r="1027" ht="15.75" customHeight="1" thickBot="1">
      <c r="A1027" s="1" t="inlineStr">
        <is>
          <t>18Alimentos</t>
        </is>
      </c>
      <c r="B1027" s="165" t="inlineStr">
        <is>
          <t>95.0</t>
        </is>
      </c>
      <c r="C1027" s="35" t="inlineStr">
        <is>
          <t>17.095.00</t>
        </is>
      </c>
      <c r="D1027" s="35" t="n">
        <v>2008</v>
      </c>
      <c r="E1027" s="35" t="n">
        <v>54.6</v>
      </c>
      <c r="F1027" s="35" t="n">
        <v>78.81</v>
      </c>
      <c r="G1027" s="35" t="n">
        <v>73.23</v>
      </c>
      <c r="H1027" s="35" t="n">
        <v>63.91</v>
      </c>
      <c r="I1027" s="35" t="inlineStr">
        <is>
          <t xml:space="preserve">Frutas e outras partes comestíveis de plantas, preparadas ou conservadas de outro modo, com ou sem adição de açúcar ou de outros edulcorantes ou de álcool, não especificadas nem compreendidas em outras posições, excluídos os amendoins e castanhas tipo aperitivo, da posição 2008.1, em embalagens de conteúdo inferior ou igual a 1 kg </t>
        </is>
      </c>
      <c r="J1027" s="38" t="inlineStr">
        <is>
          <t>Lei nº 1.810, art. 49, § 1º, XXIX</t>
        </is>
      </c>
      <c r="L1027" s="29">
        <f>IF(D1027="NCM/SH","",COUNTIF($D$5:$D$1506,D1027))</f>
        <v/>
      </c>
    </row>
    <row r="1028" ht="15.75" customHeight="1" thickBot="1">
      <c r="A1028" s="1" t="inlineStr">
        <is>
          <t>18Alimentos</t>
        </is>
      </c>
      <c r="B1028" s="165" t="inlineStr">
        <is>
          <t>95.1</t>
        </is>
      </c>
      <c r="C1028" s="35" t="inlineStr">
        <is>
          <t>17.095.01</t>
        </is>
      </c>
      <c r="D1028" s="35" t="n">
        <v>2008</v>
      </c>
      <c r="E1028" s="35" t="n">
        <v>54.6</v>
      </c>
      <c r="F1028" s="35" t="n">
        <v>78.81</v>
      </c>
      <c r="G1028" s="35" t="n">
        <v>73.23</v>
      </c>
      <c r="H1028" s="35" t="n">
        <v>63.91</v>
      </c>
      <c r="I1028" s="35" t="inlineStr">
        <is>
          <t xml:space="preserve">Frutas e outras partes comestíveis de plantas, preparadas ou conservadas de outro modo, com ou sem adição de açúcar ou de outros edulcorantes ou de álcool, não especificadas nem compreendidas em outras posições, excluídos os amendoins e castanhas tipo aperitivo, da posição 2008.1, em embalagens superior a 1 kg </t>
        </is>
      </c>
      <c r="J1028" s="41" t="inlineStr">
        <is>
          <t>Lei nº 1.810, art. 49, § 1º, XXIX</t>
        </is>
      </c>
      <c r="L1028" s="29">
        <f>IF(D1028="NCM/SH","",COUNTIF($D$5:$D$1506,D1028))</f>
        <v/>
      </c>
    </row>
    <row r="1029" ht="15.75" customHeight="1" thickBot="1">
      <c r="A1029" s="1" t="inlineStr">
        <is>
          <t>18Alimentos</t>
        </is>
      </c>
      <c r="B1029" s="165" t="inlineStr">
        <is>
          <t>96.0</t>
        </is>
      </c>
      <c r="C1029" s="35" t="inlineStr">
        <is>
          <t>17.096.00</t>
        </is>
      </c>
      <c r="D1029" s="35" t="n">
        <v>901</v>
      </c>
      <c r="E1029" s="35" t="n">
        <v>20</v>
      </c>
      <c r="F1029" s="35" t="n">
        <v>38.8</v>
      </c>
      <c r="G1029" s="35" t="n">
        <v>34.46</v>
      </c>
      <c r="H1029" s="35" t="n">
        <v>27.23</v>
      </c>
      <c r="I1029" s="35" t="inlineStr">
        <is>
          <t>Café torrado e moído, em embalagens de conteúdo inferior ou igual a 2 kg, exceto os classificados nos CEST 17.096.04 e 17.096.05</t>
        </is>
      </c>
      <c r="J1029" s="163" t="inlineStr">
        <is>
          <t>Lei 1.810, art. 49, § 1º, VI</t>
        </is>
      </c>
      <c r="K1029" s="43" t="inlineStr">
        <is>
          <t>(Item 96.0: nova redação dada pelo Decreto nº 14.916/2017. Efeitos a partir de 1º.12.2017.)</t>
        </is>
      </c>
      <c r="L1029" s="29">
        <f>IF(D1029="NCM/SH","",COUNTIF($D$5:$D$1506,D1029))</f>
        <v/>
      </c>
    </row>
    <row r="1030" ht="15.75" customHeight="1" thickBot="1">
      <c r="A1030" s="1" t="inlineStr">
        <is>
          <t>18Alimentos</t>
        </is>
      </c>
      <c r="B1030" s="165" t="inlineStr">
        <is>
          <t>96.1</t>
        </is>
      </c>
      <c r="C1030" s="35" t="inlineStr">
        <is>
          <t>17.096.01</t>
        </is>
      </c>
      <c r="D1030" s="35" t="n">
        <v>901</v>
      </c>
      <c r="E1030" s="35" t="n">
        <v>20</v>
      </c>
      <c r="F1030" s="35" t="n">
        <v>38.8</v>
      </c>
      <c r="G1030" s="35" t="n">
        <v>34.46</v>
      </c>
      <c r="H1030" s="35" t="n">
        <v>27.23</v>
      </c>
      <c r="I1030" s="35" t="inlineStr">
        <is>
          <t>Café torrado e moído, em embalagens de conteúdo superior a 2 kg</t>
        </is>
      </c>
      <c r="J1030" s="164" t="inlineStr">
        <is>
          <t>Lei 1.810, art. 49, § 1º, VI</t>
        </is>
      </c>
      <c r="L1030" s="29">
        <f>IF(D1030="NCM/SH","",COUNTIF($D$5:$D$1506,D1030))</f>
        <v/>
      </c>
    </row>
    <row r="1031" ht="15.75" customHeight="1" thickBot="1">
      <c r="A1031" s="1" t="inlineStr">
        <is>
          <t>18Alimentos</t>
        </is>
      </c>
      <c r="B1031" s="78" t="inlineStr">
        <is>
          <t>96.2</t>
        </is>
      </c>
      <c r="C1031" s="48" t="inlineStr">
        <is>
          <t>17.096.02</t>
        </is>
      </c>
      <c r="D1031" s="48" t="n">
        <v>901</v>
      </c>
      <c r="E1031" s="48" t="n">
        <v>20</v>
      </c>
      <c r="F1031" s="48" t="n">
        <v>38.8</v>
      </c>
      <c r="G1031" s="48" t="n">
        <v>34.46</v>
      </c>
      <c r="H1031" s="48" t="n">
        <v>27.23</v>
      </c>
      <c r="I1031" s="48" t="inlineStr">
        <is>
          <t>Café torrado em grãos, em embalagens de conteúdo inferior ou igual a 2 kg</t>
        </is>
      </c>
      <c r="J1031" s="48" t="inlineStr">
        <is>
          <t>Lei 1.810, art. 49, § 1º, VI</t>
        </is>
      </c>
      <c r="K1031" s="43" t="inlineStr">
        <is>
          <t>(Itens 96.2 e 96.3: acrescentados pelo Decreto nº 14.645/2016. Efeitos a partir de 1º.01.2017.)</t>
        </is>
      </c>
      <c r="L1031" s="29">
        <f>IF(D1031="NCM/SH","",COUNTIF($D$5:$D$1506,D1031))</f>
        <v/>
      </c>
    </row>
    <row r="1032" ht="15.75" customHeight="1" thickBot="1">
      <c r="A1032" s="1" t="inlineStr">
        <is>
          <t>18Alimentos</t>
        </is>
      </c>
      <c r="B1032" s="78" t="inlineStr">
        <is>
          <t>96.3</t>
        </is>
      </c>
      <c r="C1032" s="48" t="inlineStr">
        <is>
          <t>17.096.03</t>
        </is>
      </c>
      <c r="D1032" s="48" t="n">
        <v>901</v>
      </c>
      <c r="E1032" s="48" t="n">
        <v>20</v>
      </c>
      <c r="F1032" s="48" t="n">
        <v>38.8</v>
      </c>
      <c r="G1032" s="48" t="n">
        <v>34.46</v>
      </c>
      <c r="H1032" s="48" t="n">
        <v>27.23</v>
      </c>
      <c r="I1032" s="48" t="inlineStr">
        <is>
          <t>Café torrado em grãos, em embalagens de conteúdo superior a 2 kg</t>
        </is>
      </c>
      <c r="J1032" s="48" t="inlineStr">
        <is>
          <t>Lei 1.810, art. 49, § 1º, VI</t>
        </is>
      </c>
      <c r="K1032" s="43" t="inlineStr">
        <is>
          <t>(Itens 96.2 e 96.3: acrescentados pelo Decreto nº 14.645/2016. Efeitos a partir de 1º.01.2017.)</t>
        </is>
      </c>
      <c r="L1032" s="29">
        <f>IF(D1032="NCM/SH","",COUNTIF($D$5:$D$1506,D1032))</f>
        <v/>
      </c>
    </row>
    <row r="1033" ht="15.75" customHeight="1" thickBot="1">
      <c r="A1033" s="1" t="inlineStr">
        <is>
          <t>18Alimentos</t>
        </is>
      </c>
      <c r="B1033" s="82" t="inlineStr">
        <is>
          <t>96.4</t>
        </is>
      </c>
      <c r="C1033" s="48" t="inlineStr">
        <is>
          <t>17.096.04</t>
        </is>
      </c>
      <c r="D1033" s="48" t="n">
        <v>901</v>
      </c>
      <c r="E1033" s="35" t="n">
        <v>20</v>
      </c>
      <c r="F1033" s="35" t="n">
        <v>38.8</v>
      </c>
      <c r="G1033" s="35" t="n">
        <v>34.46</v>
      </c>
      <c r="H1033" s="35" t="n">
        <v>27.23</v>
      </c>
      <c r="I1033" s="48" t="inlineStr">
        <is>
          <t>Café torrado e moído, em cápsulas, exceto os descritos no CEST 17.096.05</t>
        </is>
      </c>
      <c r="J1033" s="163" t="inlineStr">
        <is>
          <t>Lei 1.810, art. 49, § 1º, XXIX</t>
        </is>
      </c>
      <c r="K1033" s="43" t="inlineStr">
        <is>
          <t>(Item 96.4: nova redação dada pelo Decreto nº 14.916/2017. Efeitos a partir de 1º.12.2017.)</t>
        </is>
      </c>
      <c r="L1033" s="29">
        <f>IF(D1033="NCM/SH","",COUNTIF($D$5:$D$1506,D1033))</f>
        <v/>
      </c>
    </row>
    <row r="1034" ht="15.75" customHeight="1" thickBot="1">
      <c r="A1034" s="1" t="inlineStr">
        <is>
          <t>18Alimentos</t>
        </is>
      </c>
      <c r="B1034" s="78" t="inlineStr">
        <is>
          <t>96.5</t>
        </is>
      </c>
      <c r="C1034" s="48" t="inlineStr">
        <is>
          <t>17.096.05</t>
        </is>
      </c>
      <c r="D1034" s="48" t="n">
        <v>901</v>
      </c>
      <c r="E1034" s="35" t="n">
        <v>20</v>
      </c>
      <c r="F1034" s="35" t="n">
        <v>38.8</v>
      </c>
      <c r="G1034" s="35" t="n">
        <v>34.46</v>
      </c>
      <c r="H1034" s="35" t="n">
        <v>27.23</v>
      </c>
      <c r="I1034" s="48" t="inlineStr">
        <is>
          <t>Café descafeinado torrado e moído, em cápsulas</t>
        </is>
      </c>
      <c r="J1034" s="48" t="inlineStr">
        <is>
          <t>Lei 1.810, art. 49, § 1º, XXIX</t>
        </is>
      </c>
      <c r="K1034" s="49" t="inlineStr">
        <is>
          <t>(Item 96.5: acrescentado pelo Decreto n° 14.916/2017. Efeitos a partir de 1°.12.2017.)</t>
        </is>
      </c>
      <c r="L1034" s="29">
        <f>IF(D1034="NCM/SH","",COUNTIF($D$5:$D$1506,D1034))</f>
        <v/>
      </c>
    </row>
    <row r="1035">
      <c r="A1035" s="1" t="inlineStr">
        <is>
          <t>18Alimentos</t>
        </is>
      </c>
      <c r="B1035" s="98" t="inlineStr">
        <is>
          <t>97.0</t>
        </is>
      </c>
      <c r="C1035" s="163" t="inlineStr">
        <is>
          <t>17.097.00</t>
        </is>
      </c>
      <c r="D1035" s="37" t="n">
        <v>902</v>
      </c>
      <c r="E1035" s="163" t="n">
        <v>54.88</v>
      </c>
      <c r="F1035" s="163" t="n">
        <v>79.14</v>
      </c>
      <c r="G1035" s="163" t="n">
        <v>73.54000000000001</v>
      </c>
      <c r="H1035" s="163" t="n">
        <v>64.20999999999999</v>
      </c>
      <c r="I1035" s="163" t="inlineStr">
        <is>
          <t xml:space="preserve">Chá, mesmo aromatizado </t>
        </is>
      </c>
      <c r="J1035" s="38" t="inlineStr">
        <is>
          <t>Lei nº 1.810, art. 49, § 1º, XXIX</t>
        </is>
      </c>
      <c r="L1035" s="29">
        <f>IF(D1035="NCM/SH","",COUNTIF($D$5:$D$1506,D1035))</f>
        <v/>
      </c>
    </row>
    <row r="1036">
      <c r="A1036" s="1" t="inlineStr">
        <is>
          <t>18Alimentos</t>
        </is>
      </c>
      <c r="B1036" s="101" t="n">
        <v>97</v>
      </c>
      <c r="C1036" s="44" t="inlineStr">
        <is>
          <t>17.097.00</t>
        </is>
      </c>
      <c r="D1036" s="37" t="inlineStr">
        <is>
          <t>1211.90.90</t>
        </is>
      </c>
      <c r="E1036" s="44" t="n">
        <v>54.88</v>
      </c>
      <c r="F1036" s="44" t="n">
        <v>79.14</v>
      </c>
      <c r="G1036" s="44" t="n">
        <v>73.54000000000001</v>
      </c>
      <c r="H1036" s="44" t="n">
        <v>64.20999999999999</v>
      </c>
      <c r="I1036" s="44" t="inlineStr">
        <is>
          <t xml:space="preserve">Chá, mesmo aromatizado </t>
        </is>
      </c>
      <c r="J1036" s="38" t="inlineStr">
        <is>
          <t>Lei nº 1.810, art. 49, § 1º, XXIX</t>
        </is>
      </c>
      <c r="L1036" s="29">
        <f>IF(D1036="NCM/SH","",COUNTIF($D$5:$D$1506,D1036))</f>
        <v/>
      </c>
    </row>
    <row r="1037" ht="15.75" customHeight="1" thickBot="1">
      <c r="A1037" s="1" t="inlineStr">
        <is>
          <t>18Alimentos</t>
        </is>
      </c>
      <c r="B1037" s="99" t="n">
        <v>97</v>
      </c>
      <c r="C1037" s="164" t="inlineStr">
        <is>
          <t>17.097.00</t>
        </is>
      </c>
      <c r="D1037" s="35" t="inlineStr">
        <is>
          <t>2106.90.90</t>
        </is>
      </c>
      <c r="E1037" s="164" t="n">
        <v>54.88</v>
      </c>
      <c r="F1037" s="164" t="n">
        <v>79.14</v>
      </c>
      <c r="G1037" s="164" t="n">
        <v>73.54000000000001</v>
      </c>
      <c r="H1037" s="164" t="n">
        <v>64.20999999999999</v>
      </c>
      <c r="I1037" s="164" t="inlineStr">
        <is>
          <t xml:space="preserve">Chá, mesmo aromatizado </t>
        </is>
      </c>
      <c r="J1037" s="40" t="inlineStr">
        <is>
          <t>Lei nº 1.810, art. 49, § 1º, XXIX</t>
        </is>
      </c>
      <c r="L1037" s="29">
        <f>IF(D1037="NCM/SH","",COUNTIF($D$5:$D$1506,D1037))</f>
        <v/>
      </c>
    </row>
    <row r="1038" ht="15.75" customHeight="1" thickBot="1">
      <c r="A1038" s="1" t="inlineStr">
        <is>
          <t>18Alimentos</t>
        </is>
      </c>
      <c r="B1038" s="165" t="inlineStr">
        <is>
          <t>98.0</t>
        </is>
      </c>
      <c r="C1038" s="35" t="inlineStr">
        <is>
          <t>17.098.00</t>
        </is>
      </c>
      <c r="D1038" s="35" t="inlineStr">
        <is>
          <t>0903.00</t>
        </is>
      </c>
      <c r="E1038" s="35" t="n">
        <v>54.88</v>
      </c>
      <c r="F1038" s="35" t="n">
        <v>79.14</v>
      </c>
      <c r="G1038" s="35" t="n">
        <v>73.54000000000001</v>
      </c>
      <c r="H1038" s="35" t="n">
        <v>64.20999999999999</v>
      </c>
      <c r="I1038" s="35" t="inlineStr">
        <is>
          <t xml:space="preserve">Mate </t>
        </is>
      </c>
      <c r="J1038" s="41" t="inlineStr">
        <is>
          <t>Lei nº 1.810, art. 49, § 1º, XXIX</t>
        </is>
      </c>
      <c r="L1038" s="29">
        <f>IF(D1038="NCM/SH","",COUNTIF($D$5:$D$1506,D1038))</f>
        <v/>
      </c>
    </row>
    <row r="1039" ht="14.45" customHeight="1">
      <c r="A1039" s="1" t="inlineStr">
        <is>
          <t>18Alimentos</t>
        </is>
      </c>
      <c r="B1039" s="98" t="inlineStr">
        <is>
          <t>99.0</t>
        </is>
      </c>
      <c r="C1039" s="163" t="inlineStr">
        <is>
          <t>17.099.00</t>
        </is>
      </c>
      <c r="D1039" s="37" t="inlineStr">
        <is>
          <t>1701.1</t>
        </is>
      </c>
      <c r="E1039" s="163" t="n">
        <v>10</v>
      </c>
      <c r="F1039" s="163" t="n">
        <v>27.23</v>
      </c>
      <c r="G1039" s="163" t="n">
        <v>23.25</v>
      </c>
      <c r="H1039" s="163" t="n">
        <v>16.63</v>
      </c>
      <c r="I1039" s="163" t="inlineStr">
        <is>
          <t xml:space="preserve">Açúcar refinado, em embalagens de conteúdo inferior ou igual a 2 kg, exceto as embalagens contendo envelopes individualizados (sachês) de conteúdo inferior ou igual a 10 g </t>
        </is>
      </c>
      <c r="J1039" s="163" t="inlineStr">
        <is>
          <t>Lei 1.810, art. 49, § 1º, I; Protocolo ICMS 21/91</t>
        </is>
      </c>
      <c r="L1039" s="29">
        <f>IF(D1039="NCM/SH","",COUNTIF($D$5:$D$1506,D1039))</f>
        <v/>
      </c>
    </row>
    <row r="1040" ht="15.75" customHeight="1" thickBot="1">
      <c r="A1040" s="1" t="inlineStr">
        <is>
          <t>18Alimentos</t>
        </is>
      </c>
      <c r="B1040" s="99" t="n">
        <v>99</v>
      </c>
      <c r="C1040" s="164" t="inlineStr">
        <is>
          <t>17.099.00</t>
        </is>
      </c>
      <c r="D1040" s="35" t="inlineStr">
        <is>
          <t>1701.99.00</t>
        </is>
      </c>
      <c r="E1040" s="164" t="n">
        <v>10</v>
      </c>
      <c r="F1040" s="164" t="n">
        <v>27.23</v>
      </c>
      <c r="G1040" s="164" t="n">
        <v>23.25</v>
      </c>
      <c r="H1040" s="164" t="n">
        <v>16.63</v>
      </c>
      <c r="I1040" s="164" t="inlineStr">
        <is>
          <t xml:space="preserve">Açúcar refinado, em embalagens de conteúdo inferior ou igual a 2 kg, exceto as embalagens contendo envelopes individualizados (sachês) de conteúdo inferior ou igual a 10 g </t>
        </is>
      </c>
      <c r="J1040" s="164" t="inlineStr">
        <is>
          <t>Lei 1.810, art. 49, § 1º, I; Protocolo ICMS 21/91</t>
        </is>
      </c>
      <c r="L1040" s="29">
        <f>IF(D1040="NCM/SH","",COUNTIF($D$5:$D$1506,D1040))</f>
        <v/>
      </c>
    </row>
    <row r="1041" ht="14.45" customHeight="1">
      <c r="A1041" s="1" t="inlineStr">
        <is>
          <t>18Alimentos</t>
        </is>
      </c>
      <c r="B1041" s="98" t="inlineStr">
        <is>
          <t>99.1</t>
        </is>
      </c>
      <c r="C1041" s="163" t="inlineStr">
        <is>
          <t>17.099.01</t>
        </is>
      </c>
      <c r="D1041" s="37" t="inlineStr">
        <is>
          <t>1701.1</t>
        </is>
      </c>
      <c r="E1041" s="163" t="n">
        <v>10</v>
      </c>
      <c r="F1041" s="163" t="n">
        <v>27.23</v>
      </c>
      <c r="G1041" s="163" t="n">
        <v>23.25</v>
      </c>
      <c r="H1041" s="163" t="n">
        <v>16.63</v>
      </c>
      <c r="I1041" s="163" t="inlineStr">
        <is>
          <t>Açúcar refinado, em embalagens de conteúdo superior a 2 kg e inferior ou igual a 5 kg</t>
        </is>
      </c>
      <c r="J1041" s="163" t="inlineStr">
        <is>
          <t>Lei nº 1.810, art. 49, § 1º, I; Protocolo ICMS 21/91</t>
        </is>
      </c>
      <c r="L1041" s="29">
        <f>IF(D1041="NCM/SH","",COUNTIF($D$5:$D$1506,D1041))</f>
        <v/>
      </c>
    </row>
    <row r="1042" ht="15.75" customHeight="1" thickBot="1">
      <c r="A1042" s="1" t="inlineStr">
        <is>
          <t>18Alimentos</t>
        </is>
      </c>
      <c r="B1042" s="99" t="n">
        <v>99.09999999999999</v>
      </c>
      <c r="C1042" s="164" t="inlineStr">
        <is>
          <t>17.099.01</t>
        </is>
      </c>
      <c r="D1042" s="35" t="inlineStr">
        <is>
          <t>1701.99.00</t>
        </is>
      </c>
      <c r="E1042" s="164" t="n">
        <v>10</v>
      </c>
      <c r="F1042" s="164" t="n">
        <v>27.23</v>
      </c>
      <c r="G1042" s="164" t="n">
        <v>23.25</v>
      </c>
      <c r="H1042" s="164" t="n">
        <v>16.63</v>
      </c>
      <c r="I1042" s="164" t="inlineStr">
        <is>
          <t>Açúcar refinado, em embalagens de conteúdo superior a 2 kg e inferior ou igual a 5 kg</t>
        </is>
      </c>
      <c r="J1042" s="44" t="inlineStr">
        <is>
          <t>Lei nº 1.810, art. 49, § 1º, I; Protocolo ICMS 21/91</t>
        </is>
      </c>
      <c r="L1042" s="29">
        <f>IF(D1042="NCM/SH","",COUNTIF($D$5:$D$1506,D1042))</f>
        <v/>
      </c>
    </row>
    <row r="1043" ht="14.45" customHeight="1">
      <c r="A1043" s="1" t="inlineStr">
        <is>
          <t>18Alimentos</t>
        </is>
      </c>
      <c r="B1043" s="98" t="inlineStr">
        <is>
          <t>99.2</t>
        </is>
      </c>
      <c r="C1043" s="163" t="inlineStr">
        <is>
          <t>17.099.02</t>
        </is>
      </c>
      <c r="D1043" s="37" t="inlineStr">
        <is>
          <t>1701.1</t>
        </is>
      </c>
      <c r="E1043" s="163" t="n">
        <v>10</v>
      </c>
      <c r="F1043" s="163" t="n">
        <v>27.23</v>
      </c>
      <c r="G1043" s="163" t="n">
        <v>23.25</v>
      </c>
      <c r="H1043" s="163" t="n">
        <v>16.63</v>
      </c>
      <c r="I1043" s="163" t="inlineStr">
        <is>
          <t>Açúcar refinado, em embalagens de conteúdo superior a 5 kg</t>
        </is>
      </c>
      <c r="J1043" s="44" t="inlineStr">
        <is>
          <t>Lei nº 1.810, art. 49, § 1º, I; Protocolo ICMS 21/91</t>
        </is>
      </c>
      <c r="L1043" s="29">
        <f>IF(D1043="NCM/SH","",COUNTIF($D$5:$D$1506,D1043))</f>
        <v/>
      </c>
    </row>
    <row r="1044" ht="15.75" customHeight="1" thickBot="1">
      <c r="A1044" s="1" t="inlineStr">
        <is>
          <t>18Alimentos</t>
        </is>
      </c>
      <c r="B1044" s="99" t="n">
        <v>99.2</v>
      </c>
      <c r="C1044" s="164" t="inlineStr">
        <is>
          <t>17.099.02</t>
        </is>
      </c>
      <c r="D1044" s="35" t="inlineStr">
        <is>
          <t>1701.99.00</t>
        </is>
      </c>
      <c r="E1044" s="164" t="n">
        <v>10</v>
      </c>
      <c r="F1044" s="164" t="n">
        <v>27.23</v>
      </c>
      <c r="G1044" s="164" t="n">
        <v>23.25</v>
      </c>
      <c r="H1044" s="164" t="n">
        <v>16.63</v>
      </c>
      <c r="I1044" s="164" t="inlineStr">
        <is>
          <t>Açúcar refinado, em embalagens de conteúdo superior a 5 kg</t>
        </is>
      </c>
      <c r="J1044" s="44" t="inlineStr">
        <is>
          <t>Lei nº 1.810, art. 49, § 1º, I; Protocolo ICMS 21/91</t>
        </is>
      </c>
      <c r="L1044" s="29">
        <f>IF(D1044="NCM/SH","",COUNTIF($D$5:$D$1506,D1044))</f>
        <v/>
      </c>
    </row>
    <row r="1045" ht="15.75" customHeight="1" thickBot="1">
      <c r="A1045" s="1" t="inlineStr">
        <is>
          <t>18Alimentos</t>
        </is>
      </c>
      <c r="B1045" s="165" t="inlineStr">
        <is>
          <t>100.0</t>
        </is>
      </c>
      <c r="C1045" s="35" t="inlineStr">
        <is>
          <t>17.100.00</t>
        </is>
      </c>
      <c r="D1045" s="35" t="inlineStr">
        <is>
          <t>1701.91.00</t>
        </is>
      </c>
      <c r="E1045" s="35" t="n">
        <v>10</v>
      </c>
      <c r="F1045" s="35" t="n">
        <v>27.23</v>
      </c>
      <c r="G1045" s="35" t="n">
        <v>23.25</v>
      </c>
      <c r="H1045" s="35" t="n">
        <v>16.63</v>
      </c>
      <c r="I1045" s="35" t="inlineStr">
        <is>
          <t>Açúcar refinado adicionado de aromatizante ou de corante em embalagens de conteúdo inferior ou igual a 2 kg, exceto as embalagens contendo envelopes individualizados (sachês) de conteúdo inferior ou igual a 10 g</t>
        </is>
      </c>
      <c r="J1045" s="44" t="inlineStr">
        <is>
          <t>Lei nº 1.810, art. 49, § 1º, I; Protocolo ICMS 21/91</t>
        </is>
      </c>
      <c r="L1045" s="29">
        <f>IF(D1045="NCM/SH","",COUNTIF($D$5:$D$1506,D1045))</f>
        <v/>
      </c>
    </row>
    <row r="1046" ht="15.75" customHeight="1" thickBot="1">
      <c r="A1046" s="1" t="inlineStr">
        <is>
          <t>18Alimentos</t>
        </is>
      </c>
      <c r="B1046" s="165" t="inlineStr">
        <is>
          <t>100.1</t>
        </is>
      </c>
      <c r="C1046" s="35" t="inlineStr">
        <is>
          <t>17.100.01</t>
        </is>
      </c>
      <c r="D1046" s="35" t="inlineStr">
        <is>
          <t>1701.91.00</t>
        </is>
      </c>
      <c r="E1046" s="35" t="n">
        <v>10</v>
      </c>
      <c r="F1046" s="35" t="n">
        <v>27.23</v>
      </c>
      <c r="G1046" s="35" t="n">
        <v>23.25</v>
      </c>
      <c r="H1046" s="35" t="n">
        <v>16.63</v>
      </c>
      <c r="I1046" s="35" t="inlineStr">
        <is>
          <t>Açúcar refinado adicionado de aromatizante ou de corante em embalagens de conteúdo superior a 2 kg e inferior ou igual a 5 kg</t>
        </is>
      </c>
      <c r="J1046" s="44" t="inlineStr">
        <is>
          <t>Lei nº 1.810, art. 49, § 1º, I; Protocolo ICMS 21/91</t>
        </is>
      </c>
      <c r="L1046" s="29">
        <f>IF(D1046="NCM/SH","",COUNTIF($D$5:$D$1506,D1046))</f>
        <v/>
      </c>
    </row>
    <row r="1047" ht="15.75" customHeight="1" thickBot="1">
      <c r="A1047" s="1" t="inlineStr">
        <is>
          <t>18Alimentos</t>
        </is>
      </c>
      <c r="B1047" s="165" t="inlineStr">
        <is>
          <t>100.2</t>
        </is>
      </c>
      <c r="C1047" s="35" t="inlineStr">
        <is>
          <t>17.100.02</t>
        </is>
      </c>
      <c r="D1047" s="35" t="inlineStr">
        <is>
          <t>1701.91.00</t>
        </is>
      </c>
      <c r="E1047" s="35" t="n">
        <v>10</v>
      </c>
      <c r="F1047" s="35" t="n">
        <v>27.23</v>
      </c>
      <c r="G1047" s="35" t="n">
        <v>23.25</v>
      </c>
      <c r="H1047" s="35" t="n">
        <v>16.63</v>
      </c>
      <c r="I1047" s="35" t="inlineStr">
        <is>
          <t>Açúcar refinado adicionado de aromatizante ou de corante em embalagens de conteúdo superior a 5 kg</t>
        </is>
      </c>
      <c r="J1047" s="44" t="inlineStr">
        <is>
          <t>Lei nº 1.810, art. 49, § 1º, I; Protocolo ICMS 21/91</t>
        </is>
      </c>
      <c r="L1047" s="29">
        <f>IF(D1047="NCM/SH","",COUNTIF($D$5:$D$1506,D1047))</f>
        <v/>
      </c>
    </row>
    <row r="1048" ht="14.45" customHeight="1">
      <c r="A1048" s="1" t="inlineStr">
        <is>
          <t>18Alimentos</t>
        </is>
      </c>
      <c r="B1048" s="98" t="inlineStr">
        <is>
          <t>101.0</t>
        </is>
      </c>
      <c r="C1048" s="163" t="inlineStr">
        <is>
          <t>17.101.00</t>
        </is>
      </c>
      <c r="D1048" s="37" t="inlineStr">
        <is>
          <t>1701.1</t>
        </is>
      </c>
      <c r="E1048" s="163" t="n">
        <v>15</v>
      </c>
      <c r="F1048" s="163" t="n">
        <v>33.01</v>
      </c>
      <c r="G1048" s="163" t="n">
        <v>28.86</v>
      </c>
      <c r="H1048" s="163" t="n">
        <v>21.93</v>
      </c>
      <c r="I1048" s="163" t="inlineStr">
        <is>
          <t xml:space="preserve">Açúcar cristal, em embalagens de conteúdo inferior ou igual a 2 kg, exceto as embalagens contendo envelopes individualizados (sachês) de conteúdo inferior ou igual a 10 g </t>
        </is>
      </c>
      <c r="J1048" s="44" t="inlineStr">
        <is>
          <t>Lei nº 1.810, art. 49, § 1º, I; Protocolo ICMS 21/91</t>
        </is>
      </c>
      <c r="L1048" s="29">
        <f>IF(D1048="NCM/SH","",COUNTIF($D$5:$D$1506,D1048))</f>
        <v/>
      </c>
    </row>
    <row r="1049" ht="15.75" customHeight="1" thickBot="1">
      <c r="A1049" s="1" t="inlineStr">
        <is>
          <t>18Alimentos</t>
        </is>
      </c>
      <c r="B1049" s="99" t="n">
        <v>101</v>
      </c>
      <c r="C1049" s="164" t="inlineStr">
        <is>
          <t>17.101.00</t>
        </is>
      </c>
      <c r="D1049" s="35" t="inlineStr">
        <is>
          <t>1701.99.00</t>
        </is>
      </c>
      <c r="E1049" s="164" t="n">
        <v>15</v>
      </c>
      <c r="F1049" s="164" t="n">
        <v>33.01</v>
      </c>
      <c r="G1049" s="164" t="n">
        <v>28.86</v>
      </c>
      <c r="H1049" s="164" t="n">
        <v>21.93</v>
      </c>
      <c r="I1049" s="164" t="inlineStr">
        <is>
          <t xml:space="preserve">Açúcar cristal, em embalagens de conteúdo inferior ou igual a 2 kg, exceto as embalagens contendo envelopes individualizados (sachês) de conteúdo inferior ou igual a 10 g </t>
        </is>
      </c>
      <c r="J1049" s="44" t="inlineStr">
        <is>
          <t>Lei nº 1.810, art. 49, § 1º, I; Protocolo ICMS 21/91</t>
        </is>
      </c>
      <c r="L1049" s="29">
        <f>IF(D1049="NCM/SH","",COUNTIF($D$5:$D$1506,D1049))</f>
        <v/>
      </c>
    </row>
    <row r="1050" ht="14.45" customHeight="1">
      <c r="A1050" s="1" t="inlineStr">
        <is>
          <t>18Alimentos</t>
        </is>
      </c>
      <c r="B1050" s="98" t="inlineStr">
        <is>
          <t>101.1</t>
        </is>
      </c>
      <c r="C1050" s="163" t="inlineStr">
        <is>
          <t>17.101.01</t>
        </is>
      </c>
      <c r="D1050" s="37" t="inlineStr">
        <is>
          <t>1701.1</t>
        </is>
      </c>
      <c r="E1050" s="163" t="n">
        <v>15</v>
      </c>
      <c r="F1050" s="163" t="n">
        <v>33.01</v>
      </c>
      <c r="G1050" s="163" t="n">
        <v>28.86</v>
      </c>
      <c r="H1050" s="163" t="n">
        <v>21.93</v>
      </c>
      <c r="I1050" s="163" t="inlineStr">
        <is>
          <t>Açúcar cristal, em embalagens de conteúdo superior a 2 kg e inferior ou igual a 5 kg</t>
        </is>
      </c>
      <c r="J1050" s="44" t="inlineStr">
        <is>
          <t>Lei nº 1.810, art. 49, § 1º, I; Protocolo ICMS 21/91</t>
        </is>
      </c>
      <c r="L1050" s="29">
        <f>IF(D1050="NCM/SH","",COUNTIF($D$5:$D$1506,D1050))</f>
        <v/>
      </c>
    </row>
    <row r="1051" ht="15.75" customHeight="1" thickBot="1">
      <c r="A1051" s="1" t="inlineStr">
        <is>
          <t>18Alimentos</t>
        </is>
      </c>
      <c r="B1051" s="99" t="n">
        <v>101.1</v>
      </c>
      <c r="C1051" s="164" t="inlineStr">
        <is>
          <t>17.101.01</t>
        </is>
      </c>
      <c r="D1051" s="35" t="inlineStr">
        <is>
          <t>1701.99.00</t>
        </is>
      </c>
      <c r="E1051" s="164" t="n">
        <v>15</v>
      </c>
      <c r="F1051" s="164" t="n">
        <v>33.01</v>
      </c>
      <c r="G1051" s="164" t="n">
        <v>28.86</v>
      </c>
      <c r="H1051" s="164" t="n">
        <v>21.93</v>
      </c>
      <c r="I1051" s="164" t="inlineStr">
        <is>
          <t>Açúcar cristal, em embalagens de conteúdo superior a 2 kg e inferior ou igual a 5 kg</t>
        </is>
      </c>
      <c r="J1051" s="44" t="inlineStr">
        <is>
          <t>Lei nº 1.810, art. 49, § 1º, I; Protocolo ICMS 21/91</t>
        </is>
      </c>
      <c r="L1051" s="29">
        <f>IF(D1051="NCM/SH","",COUNTIF($D$5:$D$1506,D1051))</f>
        <v/>
      </c>
    </row>
    <row r="1052" ht="14.45" customHeight="1">
      <c r="A1052" s="1" t="inlineStr">
        <is>
          <t>18Alimentos</t>
        </is>
      </c>
      <c r="B1052" s="98" t="inlineStr">
        <is>
          <t>101.2</t>
        </is>
      </c>
      <c r="C1052" s="163" t="inlineStr">
        <is>
          <t>17.101.02</t>
        </is>
      </c>
      <c r="D1052" s="37" t="inlineStr">
        <is>
          <t>1701.1</t>
        </is>
      </c>
      <c r="E1052" s="163" t="n">
        <v>15</v>
      </c>
      <c r="F1052" s="163" t="n">
        <v>33.01</v>
      </c>
      <c r="G1052" s="163" t="n">
        <v>28.86</v>
      </c>
      <c r="H1052" s="163" t="n">
        <v>21.93</v>
      </c>
      <c r="I1052" s="163" t="inlineStr">
        <is>
          <t>Açúcar cristal, em embalagens de conteúdo superior a 5 kg</t>
        </is>
      </c>
      <c r="J1052" s="44" t="inlineStr">
        <is>
          <t>Lei nº 1.810, art. 49, § 1º, I; Protocolo ICMS 21/91</t>
        </is>
      </c>
      <c r="L1052" s="29">
        <f>IF(D1052="NCM/SH","",COUNTIF($D$5:$D$1506,D1052))</f>
        <v/>
      </c>
    </row>
    <row r="1053" ht="15.75" customHeight="1" thickBot="1">
      <c r="A1053" s="1" t="inlineStr">
        <is>
          <t>18Alimentos</t>
        </is>
      </c>
      <c r="B1053" s="99" t="n">
        <v>101.2</v>
      </c>
      <c r="C1053" s="164" t="inlineStr">
        <is>
          <t>17.101.02</t>
        </is>
      </c>
      <c r="D1053" s="35" t="inlineStr">
        <is>
          <t>1701.99.00</t>
        </is>
      </c>
      <c r="E1053" s="164" t="n">
        <v>15</v>
      </c>
      <c r="F1053" s="164" t="n">
        <v>33.01</v>
      </c>
      <c r="G1053" s="164" t="n">
        <v>28.86</v>
      </c>
      <c r="H1053" s="164" t="n">
        <v>21.93</v>
      </c>
      <c r="I1053" s="164" t="inlineStr">
        <is>
          <t>Açúcar cristal, em embalagens de conteúdo superior a 5 kg</t>
        </is>
      </c>
      <c r="J1053" s="44" t="inlineStr">
        <is>
          <t>Lei nº 1.810, art. 49, § 1º, I; Protocolo ICMS 21/91</t>
        </is>
      </c>
      <c r="L1053" s="29">
        <f>IF(D1053="NCM/SH","",COUNTIF($D$5:$D$1506,D1053))</f>
        <v/>
      </c>
    </row>
    <row r="1054" ht="15.75" customHeight="1" thickBot="1">
      <c r="A1054" s="1" t="inlineStr">
        <is>
          <t>18Alimentos</t>
        </is>
      </c>
      <c r="B1054" s="165" t="inlineStr">
        <is>
          <t>102.0</t>
        </is>
      </c>
      <c r="C1054" s="35" t="inlineStr">
        <is>
          <t>17.102.00</t>
        </is>
      </c>
      <c r="D1054" s="35" t="inlineStr">
        <is>
          <t>1701.91.00</t>
        </is>
      </c>
      <c r="E1054" s="35" t="n">
        <v>15</v>
      </c>
      <c r="F1054" s="35" t="n">
        <v>33.01</v>
      </c>
      <c r="G1054" s="35" t="n">
        <v>28.86</v>
      </c>
      <c r="H1054" s="35" t="n">
        <v>21.93</v>
      </c>
      <c r="I1054" s="35" t="inlineStr">
        <is>
          <t>Açúcar cristal adicionado de aromatizante ou de corante, em embalagens de conteúdo inferior ou igual a 2 kg, exceto as embalagens contendo envelopes individualizados (sachês) de conteúdo inferior ou igual a 10 g</t>
        </is>
      </c>
      <c r="J1054" s="44" t="inlineStr">
        <is>
          <t>Lei nº 1.810, art. 49, § 1º, I; Protocolo ICMS 21/91</t>
        </is>
      </c>
      <c r="L1054" s="29">
        <f>IF(D1054="NCM/SH","",COUNTIF($D$5:$D$1506,D1054))</f>
        <v/>
      </c>
    </row>
    <row r="1055" ht="15.75" customHeight="1" thickBot="1">
      <c r="A1055" s="1" t="inlineStr">
        <is>
          <t>18Alimentos</t>
        </is>
      </c>
      <c r="B1055" s="165" t="inlineStr">
        <is>
          <t>102.1</t>
        </is>
      </c>
      <c r="C1055" s="35" t="inlineStr">
        <is>
          <t>17.102.01</t>
        </is>
      </c>
      <c r="D1055" s="35" t="inlineStr">
        <is>
          <t>1701.91.00</t>
        </is>
      </c>
      <c r="E1055" s="35" t="n">
        <v>15</v>
      </c>
      <c r="F1055" s="35" t="n">
        <v>33.01</v>
      </c>
      <c r="G1055" s="35" t="n">
        <v>28.86</v>
      </c>
      <c r="H1055" s="35" t="n">
        <v>21.93</v>
      </c>
      <c r="I1055" s="35" t="inlineStr">
        <is>
          <t>Açúcar cristal adicionado de aromatizante ou de corante, em embalagens de conteúdo superior a 2 kg e inferior ou igual a 5 kg</t>
        </is>
      </c>
      <c r="J1055" s="44" t="inlineStr">
        <is>
          <t>Lei nº 1.810, art. 49, § 1º, I; Protocolo ICMS 21/91</t>
        </is>
      </c>
      <c r="L1055" s="29">
        <f>IF(D1055="NCM/SH","",COUNTIF($D$5:$D$1506,D1055))</f>
        <v/>
      </c>
    </row>
    <row r="1056" ht="15.75" customHeight="1" thickBot="1">
      <c r="A1056" s="1" t="inlineStr">
        <is>
          <t>18Alimentos</t>
        </is>
      </c>
      <c r="B1056" s="165" t="inlineStr">
        <is>
          <t>102.2</t>
        </is>
      </c>
      <c r="C1056" s="35" t="inlineStr">
        <is>
          <t>17.102.02</t>
        </is>
      </c>
      <c r="D1056" s="35" t="inlineStr">
        <is>
          <t>1701.91</t>
        </is>
      </c>
      <c r="E1056" s="35" t="n">
        <v>15</v>
      </c>
      <c r="F1056" s="35" t="n">
        <v>33.01</v>
      </c>
      <c r="G1056" s="35" t="n">
        <v>28.86</v>
      </c>
      <c r="H1056" s="35" t="n">
        <v>21.93</v>
      </c>
      <c r="I1056" s="35" t="inlineStr">
        <is>
          <t>Açúcar cristal adicionado de aromatizante ou de corante, em embalagens de conteúdo superior a 5 kg</t>
        </is>
      </c>
      <c r="J1056" s="164" t="inlineStr">
        <is>
          <t>Lei nº 1.810, art. 49, § 1º, I; Protocolo ICMS 21/91</t>
        </is>
      </c>
      <c r="L1056" s="29">
        <f>IF(D1056="NCM/SH","",COUNTIF($D$5:$D$1506,D1056))</f>
        <v/>
      </c>
    </row>
    <row r="1057" ht="14.45" customHeight="1">
      <c r="A1057" s="1" t="inlineStr">
        <is>
          <t>18Alimentos</t>
        </is>
      </c>
      <c r="B1057" s="98" t="inlineStr">
        <is>
          <t>103.0</t>
        </is>
      </c>
      <c r="C1057" s="163" t="inlineStr">
        <is>
          <t>17.103.00</t>
        </is>
      </c>
      <c r="D1057" s="37" t="inlineStr">
        <is>
          <t>1701.1</t>
        </is>
      </c>
      <c r="E1057" s="163" t="n">
        <v>20</v>
      </c>
      <c r="F1057" s="163" t="n">
        <v>38.8</v>
      </c>
      <c r="G1057" s="163" t="n">
        <v>34.46</v>
      </c>
      <c r="H1057" s="163" t="n">
        <v>27.23</v>
      </c>
      <c r="I1057" s="163" t="inlineStr">
        <is>
          <t xml:space="preserve">Outros tipos de açúcar, em embalagens de conteúdo inferior ou igual a 2 kg, exceto as embalagens contendo envelopes individualizados (sachês) de conteúdo inferior ou igual a 10 g </t>
        </is>
      </c>
      <c r="J1057" s="163" t="inlineStr">
        <is>
          <t>Lei nº 1.810, art. 49, § 1º, I; Protocolo ICMS 21/91</t>
        </is>
      </c>
      <c r="L1057" s="29">
        <f>IF(D1057="NCM/SH","",COUNTIF($D$5:$D$1506,D1057))</f>
        <v/>
      </c>
    </row>
    <row r="1058" ht="15.75" customHeight="1" thickBot="1">
      <c r="A1058" s="1" t="inlineStr">
        <is>
          <t>18Alimentos</t>
        </is>
      </c>
      <c r="B1058" s="99" t="n">
        <v>103</v>
      </c>
      <c r="C1058" s="164" t="inlineStr">
        <is>
          <t>17.103.00</t>
        </is>
      </c>
      <c r="D1058" s="35" t="inlineStr">
        <is>
          <t>1701.99.00</t>
        </is>
      </c>
      <c r="E1058" s="164" t="n">
        <v>20</v>
      </c>
      <c r="F1058" s="164" t="n">
        <v>38.8</v>
      </c>
      <c r="G1058" s="164" t="n">
        <v>34.46</v>
      </c>
      <c r="H1058" s="164" t="n">
        <v>27.23</v>
      </c>
      <c r="I1058" s="164" t="inlineStr">
        <is>
          <t xml:space="preserve">Outros tipos de açúcar, em embalagens de conteúdo inferior ou igual a 2 kg, exceto as embalagens contendo envelopes individualizados (sachês) de conteúdo inferior ou igual a 10 g </t>
        </is>
      </c>
      <c r="J1058" s="44" t="inlineStr">
        <is>
          <t>Lei nº 1.810, art. 49, § 1º, I; Protocolo ICMS 21/91</t>
        </is>
      </c>
      <c r="L1058" s="29">
        <f>IF(D1058="NCM/SH","",COUNTIF($D$5:$D$1506,D1058))</f>
        <v/>
      </c>
    </row>
    <row r="1059" ht="14.45" customHeight="1">
      <c r="A1059" s="1" t="inlineStr">
        <is>
          <t>18Alimentos</t>
        </is>
      </c>
      <c r="B1059" s="98" t="inlineStr">
        <is>
          <t>103.1</t>
        </is>
      </c>
      <c r="C1059" s="163" t="inlineStr">
        <is>
          <t>17.103.01</t>
        </is>
      </c>
      <c r="D1059" s="37" t="inlineStr">
        <is>
          <t>1701.1</t>
        </is>
      </c>
      <c r="E1059" s="163" t="n">
        <v>20</v>
      </c>
      <c r="F1059" s="163" t="n">
        <v>38.8</v>
      </c>
      <c r="G1059" s="163" t="n">
        <v>34.46</v>
      </c>
      <c r="H1059" s="163" t="n">
        <v>27.23</v>
      </c>
      <c r="I1059" s="163" t="inlineStr">
        <is>
          <t>Outros tipos de açúcar, em embalagens de conteúdo superior a 2 kg e inferior ou igual a 5 kg</t>
        </is>
      </c>
      <c r="J1059" s="44" t="inlineStr">
        <is>
          <t>Lei nº 1.810, art. 49, § 1º, I; Protocolo ICMS 21/91</t>
        </is>
      </c>
      <c r="L1059" s="29">
        <f>IF(D1059="NCM/SH","",COUNTIF($D$5:$D$1506,D1059))</f>
        <v/>
      </c>
    </row>
    <row r="1060" ht="15.75" customHeight="1" thickBot="1">
      <c r="A1060" s="1" t="inlineStr">
        <is>
          <t>18Alimentos</t>
        </is>
      </c>
      <c r="B1060" s="99" t="n">
        <v>103.1</v>
      </c>
      <c r="C1060" s="164" t="inlineStr">
        <is>
          <t>17.103.01</t>
        </is>
      </c>
      <c r="D1060" s="35" t="inlineStr">
        <is>
          <t>1701.99.00</t>
        </is>
      </c>
      <c r="E1060" s="164" t="n">
        <v>20</v>
      </c>
      <c r="F1060" s="164" t="n">
        <v>38.8</v>
      </c>
      <c r="G1060" s="164" t="n">
        <v>34.46</v>
      </c>
      <c r="H1060" s="164" t="n">
        <v>27.23</v>
      </c>
      <c r="I1060" s="164" t="inlineStr">
        <is>
          <t>Outros tipos de açúcar, em embalagens de conteúdo superior a 2 kg e inferior ou igual a 5 kg</t>
        </is>
      </c>
      <c r="J1060" s="44" t="inlineStr">
        <is>
          <t>Lei nº 1.810, art. 49, § 1º, I; Protocolo ICMS 21/91</t>
        </is>
      </c>
      <c r="L1060" s="29">
        <f>IF(D1060="NCM/SH","",COUNTIF($D$5:$D$1506,D1060))</f>
        <v/>
      </c>
    </row>
    <row r="1061" ht="14.45" customHeight="1">
      <c r="A1061" s="1" t="inlineStr">
        <is>
          <t>18Alimentos</t>
        </is>
      </c>
      <c r="B1061" s="98" t="inlineStr">
        <is>
          <t>103.2</t>
        </is>
      </c>
      <c r="C1061" s="163" t="inlineStr">
        <is>
          <t>17.103.02</t>
        </is>
      </c>
      <c r="D1061" s="37" t="inlineStr">
        <is>
          <t>1701.1</t>
        </is>
      </c>
      <c r="E1061" s="163" t="n">
        <v>20</v>
      </c>
      <c r="F1061" s="163" t="n">
        <v>38.8</v>
      </c>
      <c r="G1061" s="163" t="n">
        <v>34.46</v>
      </c>
      <c r="H1061" s="163" t="n">
        <v>27.23</v>
      </c>
      <c r="I1061" s="163" t="inlineStr">
        <is>
          <t>Outros tipos de açúcar, em embalagens de conteúdo superior a 5 kg</t>
        </is>
      </c>
      <c r="J1061" s="44" t="inlineStr">
        <is>
          <t>Lei nº 1.810, art. 49, § 1º, I; Protocolo ICMS 21/91</t>
        </is>
      </c>
      <c r="L1061" s="29">
        <f>IF(D1061="NCM/SH","",COUNTIF($D$5:$D$1506,D1061))</f>
        <v/>
      </c>
    </row>
    <row r="1062" ht="15.75" customHeight="1" thickBot="1">
      <c r="A1062" s="1" t="inlineStr">
        <is>
          <t>18Alimentos</t>
        </is>
      </c>
      <c r="B1062" s="99" t="n">
        <v>103.2</v>
      </c>
      <c r="C1062" s="164" t="inlineStr">
        <is>
          <t>17.103.02</t>
        </is>
      </c>
      <c r="D1062" s="35" t="inlineStr">
        <is>
          <t>1701.99.00</t>
        </is>
      </c>
      <c r="E1062" s="164" t="n">
        <v>20</v>
      </c>
      <c r="F1062" s="164" t="n">
        <v>38.8</v>
      </c>
      <c r="G1062" s="164" t="n">
        <v>34.46</v>
      </c>
      <c r="H1062" s="164" t="n">
        <v>27.23</v>
      </c>
      <c r="I1062" s="164" t="inlineStr">
        <is>
          <t>Outros tipos de açúcar, em embalagens de conteúdo superior a 5 kg</t>
        </is>
      </c>
      <c r="J1062" s="44" t="inlineStr">
        <is>
          <t>Lei nº 1.810, art. 49, § 1º, I; Protocolo ICMS 21/91</t>
        </is>
      </c>
      <c r="L1062" s="29">
        <f>IF(D1062="NCM/SH","",COUNTIF($D$5:$D$1506,D1062))</f>
        <v/>
      </c>
    </row>
    <row r="1063" ht="15.75" customHeight="1" thickBot="1">
      <c r="A1063" s="1" t="inlineStr">
        <is>
          <t>18Alimentos</t>
        </is>
      </c>
      <c r="B1063" s="165" t="inlineStr">
        <is>
          <t>104.0</t>
        </is>
      </c>
      <c r="C1063" s="35" t="inlineStr">
        <is>
          <t>17.104.00</t>
        </is>
      </c>
      <c r="D1063" s="35" t="inlineStr">
        <is>
          <t>1701.91.00</t>
        </is>
      </c>
      <c r="E1063" s="35" t="n">
        <v>20</v>
      </c>
      <c r="F1063" s="35" t="n">
        <v>38.8</v>
      </c>
      <c r="G1063" s="35" t="n">
        <v>34.46</v>
      </c>
      <c r="H1063" s="35" t="n">
        <v>27.23</v>
      </c>
      <c r="I1063" s="35" t="inlineStr">
        <is>
          <t>Outros tipos de açúcar adicionado de aromatizante ou de corante, em embalagens de conteúdo inferior ou igual a 2 kg, exceto as embalagens contendo envelopes individualizados (sachês) de conteúdo inferior ou igual a 10 g</t>
        </is>
      </c>
      <c r="J1063" s="44" t="inlineStr">
        <is>
          <t>Lei nº 1.810, art. 49, § 1º, I; Protocolo ICMS 21/91</t>
        </is>
      </c>
      <c r="L1063" s="29">
        <f>IF(D1063="NCM/SH","",COUNTIF($D$5:$D$1506,D1063))</f>
        <v/>
      </c>
    </row>
    <row r="1064" ht="15.75" customHeight="1" thickBot="1">
      <c r="A1064" s="1" t="inlineStr">
        <is>
          <t>18Alimentos</t>
        </is>
      </c>
      <c r="B1064" s="165" t="inlineStr">
        <is>
          <t>104.1</t>
        </is>
      </c>
      <c r="C1064" s="35" t="inlineStr">
        <is>
          <t>17.104.01</t>
        </is>
      </c>
      <c r="D1064" s="35" t="inlineStr">
        <is>
          <t>1701.91.00</t>
        </is>
      </c>
      <c r="E1064" s="35" t="n">
        <v>20</v>
      </c>
      <c r="F1064" s="35" t="n">
        <v>38.8</v>
      </c>
      <c r="G1064" s="35" t="n">
        <v>34.46</v>
      </c>
      <c r="H1064" s="35" t="n">
        <v>27.23</v>
      </c>
      <c r="I1064" s="35" t="inlineStr">
        <is>
          <t>Outros tipos de açúcar adicionado de aromatizante ou de corante, em embalagens de conteúdo superior a 2 kg e inferior ou igual a 5 kg</t>
        </is>
      </c>
      <c r="J1064" s="44" t="inlineStr">
        <is>
          <t>Lei nº 1.810, art. 49, § 1º, I; Protocolo ICMS 21/91</t>
        </is>
      </c>
      <c r="L1064" s="29">
        <f>IF(D1064="NCM/SH","",COUNTIF($D$5:$D$1506,D1064))</f>
        <v/>
      </c>
    </row>
    <row r="1065" ht="15.75" customHeight="1" thickBot="1">
      <c r="A1065" s="1" t="inlineStr">
        <is>
          <t>18Alimentos</t>
        </is>
      </c>
      <c r="B1065" s="165" t="inlineStr">
        <is>
          <t>104.2</t>
        </is>
      </c>
      <c r="C1065" s="35" t="inlineStr">
        <is>
          <t>17.104.02</t>
        </is>
      </c>
      <c r="D1065" s="35" t="inlineStr">
        <is>
          <t>1701.91.00</t>
        </is>
      </c>
      <c r="E1065" s="35" t="n">
        <v>20</v>
      </c>
      <c r="F1065" s="35" t="n">
        <v>38.8</v>
      </c>
      <c r="G1065" s="35" t="n">
        <v>34.46</v>
      </c>
      <c r="H1065" s="35" t="n">
        <v>27.23</v>
      </c>
      <c r="I1065" s="35" t="inlineStr">
        <is>
          <t>Outros tipos de açúcar adicionado de aromatizante ou de corante, em embalagens de conteúdo superior a 5 kg</t>
        </is>
      </c>
      <c r="J1065" s="44" t="inlineStr">
        <is>
          <t>Lei nº 1.810, art. 49, § 1º, I; Protocolo ICMS 21/91</t>
        </is>
      </c>
      <c r="L1065" s="29">
        <f>IF(D1065="NCM/SH","",COUNTIF($D$5:$D$1506,D1065))</f>
        <v/>
      </c>
    </row>
    <row r="1066" ht="15.75" customHeight="1" thickBot="1">
      <c r="A1066" s="1" t="inlineStr">
        <is>
          <t>18Alimentos</t>
        </is>
      </c>
      <c r="B1066" s="165" t="inlineStr">
        <is>
          <t>105.0</t>
        </is>
      </c>
      <c r="C1066" s="35" t="inlineStr">
        <is>
          <t>17.105.00</t>
        </is>
      </c>
      <c r="D1066" s="35" t="n">
        <v>1702</v>
      </c>
      <c r="E1066" s="35" t="n">
        <v>20</v>
      </c>
      <c r="F1066" s="35" t="n">
        <v>38.8</v>
      </c>
      <c r="G1066" s="35" t="n">
        <v>34.46</v>
      </c>
      <c r="H1066" s="35" t="n">
        <v>27.23</v>
      </c>
      <c r="I1066" s="35" t="inlineStr">
        <is>
          <t>Outros açúcares em embalagens de conteúdo inferior ou igual a 2 kg, exceto as embalagens contendo envelopes individualizados (sachês) de conteúdo inferior ou igual a 10 g</t>
        </is>
      </c>
      <c r="J1066" s="44" t="inlineStr">
        <is>
          <t>Lei nº 1.810, art. 49, § 1º, I; Protocolo ICMS 21/91</t>
        </is>
      </c>
      <c r="L1066" s="29">
        <f>IF(D1066="NCM/SH","",COUNTIF($D$5:$D$1506,D1066))</f>
        <v/>
      </c>
    </row>
    <row r="1067" ht="15.75" customHeight="1" thickBot="1">
      <c r="A1067" s="1" t="inlineStr">
        <is>
          <t>18Alimentos</t>
        </is>
      </c>
      <c r="B1067" s="165" t="inlineStr">
        <is>
          <t>105.1</t>
        </is>
      </c>
      <c r="C1067" s="35" t="inlineStr">
        <is>
          <t>17.105.01</t>
        </is>
      </c>
      <c r="D1067" s="35" t="n">
        <v>1702</v>
      </c>
      <c r="E1067" s="35" t="n">
        <v>20</v>
      </c>
      <c r="F1067" s="35" t="n">
        <v>38.8</v>
      </c>
      <c r="G1067" s="35" t="n">
        <v>34.46</v>
      </c>
      <c r="H1067" s="35" t="n">
        <v>27.23</v>
      </c>
      <c r="I1067" s="35" t="inlineStr">
        <is>
          <t>Outros açúcares, em embalagens de conteúdo superior a 2 kg e inferior ou igual a 5 kg</t>
        </is>
      </c>
      <c r="J1067" s="44" t="inlineStr">
        <is>
          <t>Lei nº 1.810, art. 49, § 1º, I; Protocolo ICMS 21/91</t>
        </is>
      </c>
      <c r="L1067" s="29">
        <f>IF(D1067="NCM/SH","",COUNTIF($D$5:$D$1506,D1067))</f>
        <v/>
      </c>
    </row>
    <row r="1068" ht="15.75" customHeight="1" thickBot="1">
      <c r="A1068" s="1" t="inlineStr">
        <is>
          <t>18Alimentos</t>
        </is>
      </c>
      <c r="B1068" s="165" t="inlineStr">
        <is>
          <t>105.2</t>
        </is>
      </c>
      <c r="C1068" s="35" t="inlineStr">
        <is>
          <t>17.105.02</t>
        </is>
      </c>
      <c r="D1068" s="35" t="n">
        <v>1702</v>
      </c>
      <c r="E1068" s="35" t="n">
        <v>20</v>
      </c>
      <c r="F1068" s="35" t="n">
        <v>38.8</v>
      </c>
      <c r="G1068" s="35" t="n">
        <v>34.46</v>
      </c>
      <c r="H1068" s="35" t="n">
        <v>27.23</v>
      </c>
      <c r="I1068" s="35" t="inlineStr">
        <is>
          <t>Outros açúcares, em embalagens de conteúdo superior a 5 kg</t>
        </is>
      </c>
      <c r="J1068" s="164" t="inlineStr">
        <is>
          <t>Lei nº 1.810, art. 49, § 1º, I; Protocolo ICMS 21/91</t>
        </is>
      </c>
      <c r="L1068" s="29">
        <f>IF(D1068="NCM/SH","",COUNTIF($D$5:$D$1506,D1068))</f>
        <v/>
      </c>
    </row>
    <row r="1069" ht="15.75" customHeight="1" thickBot="1">
      <c r="A1069" s="1" t="inlineStr">
        <is>
          <t>18Alimentos</t>
        </is>
      </c>
      <c r="B1069" s="81" t="inlineStr">
        <is>
          <t>106.0</t>
        </is>
      </c>
      <c r="C1069" s="42" t="inlineStr">
        <is>
          <t>17.106.00</t>
        </is>
      </c>
      <c r="D1069" s="42" t="inlineStr">
        <is>
          <t>2008.19.00</t>
        </is>
      </c>
      <c r="E1069" s="42" t="n">
        <v>66.93000000000001</v>
      </c>
      <c r="F1069" s="42" t="n">
        <v>93.08</v>
      </c>
      <c r="G1069" s="42" t="n">
        <v>87.04000000000001</v>
      </c>
      <c r="H1069" s="42" t="n">
        <v>76.98999999999999</v>
      </c>
      <c r="I1069" s="42" t="inlineStr">
        <is>
          <t xml:space="preserve">Milho para pipoca (micro-ondas) </t>
        </is>
      </c>
      <c r="J1069" s="38" t="inlineStr">
        <is>
          <t>Lei nº 1.810, art. 49, § 1º, XXIX</t>
        </is>
      </c>
      <c r="K1069" s="43" t="inlineStr">
        <is>
          <t>(Item 106.0: nova redação dada pelo Decreto nº 14.645/2016. Efeitos a partir de 1º.01.2017.)</t>
        </is>
      </c>
      <c r="L1069" s="29">
        <f>IF(D1069="NCM/SH","",COUNTIF($D$5:$D$1506,D1069))</f>
        <v/>
      </c>
    </row>
    <row r="1070" ht="15.75" customHeight="1" thickBot="1">
      <c r="A1070" s="1" t="inlineStr">
        <is>
          <t>18Alimentos</t>
        </is>
      </c>
      <c r="B1070" s="99" t="inlineStr">
        <is>
          <t>107.0</t>
        </is>
      </c>
      <c r="C1070" s="35" t="inlineStr">
        <is>
          <t>17.107.00</t>
        </is>
      </c>
      <c r="D1070" s="35" t="inlineStr">
        <is>
          <t>2101.1</t>
        </is>
      </c>
      <c r="E1070" s="35" t="n">
        <v>52.2</v>
      </c>
      <c r="F1070" s="35" t="n">
        <v>76.04000000000001</v>
      </c>
      <c r="G1070" s="35" t="n">
        <v>70.54000000000001</v>
      </c>
      <c r="H1070" s="35" t="n">
        <v>61.37</v>
      </c>
      <c r="I1070" s="48" t="inlineStr">
        <is>
          <t>Extratos, essências e concentrados de café e preparações à base destes extratos, essências ou concentrados ou à base de café, em embalagens de conteúdo inferior ou igual a 500 g, exceto os classificados no CEST 17.107.01 e 17.109.00</t>
        </is>
      </c>
      <c r="J1070" s="35" t="inlineStr">
        <is>
          <t>Lei 1.810, art. 49, § 1º, XXIX</t>
        </is>
      </c>
      <c r="K1070" s="43" t="inlineStr">
        <is>
          <t>(Item 107.0: nova redação dada pelo Decreto nº 14.774/2017. Efeitos a partir de 1º.07.2017.)</t>
        </is>
      </c>
      <c r="L1070" s="29">
        <f>IF(D1070="NCM/SH","",COUNTIF($D$5:$D$1506,D1070))</f>
        <v/>
      </c>
    </row>
    <row r="1071" ht="15.75" customHeight="1" thickBot="1">
      <c r="A1071" s="1" t="inlineStr">
        <is>
          <t>18Alimentos</t>
        </is>
      </c>
      <c r="B1071" s="165" t="inlineStr">
        <is>
          <t>107.1</t>
        </is>
      </c>
      <c r="C1071" s="35" t="inlineStr">
        <is>
          <t>17.107.01</t>
        </is>
      </c>
      <c r="D1071" s="35" t="inlineStr">
        <is>
          <t>2101.1</t>
        </is>
      </c>
      <c r="E1071" s="35" t="n">
        <v>52.2</v>
      </c>
      <c r="F1071" s="35" t="n">
        <v>76.04000000000001</v>
      </c>
      <c r="G1071" s="35" t="n">
        <v>70.54000000000001</v>
      </c>
      <c r="H1071" s="35" t="n">
        <v>61.37</v>
      </c>
      <c r="I1071" s="48" t="inlineStr">
        <is>
          <t>Extratos, essências e concentrados de café e preparações à base destes extratos, essências ou concentrados ou à base de café, em cápsulas</t>
        </is>
      </c>
      <c r="J1071" s="37" t="inlineStr">
        <is>
          <t>Lei 1.810, art. 49, § 1º, XXIX</t>
        </is>
      </c>
      <c r="K1071" s="71" t="inlineStr">
        <is>
          <t>(Item 107.1: acrescentado pelo Decreto nº 14.774/2017. Efeitos a partir de 1º.07.2017.)</t>
        </is>
      </c>
      <c r="L1071" s="29">
        <f>IF(D1071="NCM/SH","",COUNTIF($D$5:$D$1506,D1071))</f>
        <v/>
      </c>
    </row>
    <row r="1072" ht="15.75" customHeight="1" thickBot="1">
      <c r="A1072" s="1" t="inlineStr">
        <is>
          <t>18Alimentos</t>
        </is>
      </c>
      <c r="B1072" s="165" t="inlineStr">
        <is>
          <t>108.0</t>
        </is>
      </c>
      <c r="C1072" s="35" t="inlineStr">
        <is>
          <t>17.108.00</t>
        </is>
      </c>
      <c r="D1072" s="35" t="inlineStr">
        <is>
          <t>2101.20</t>
        </is>
      </c>
      <c r="E1072" s="35" t="n">
        <v>52.2</v>
      </c>
      <c r="F1072" s="35" t="n">
        <v>76.04000000000001</v>
      </c>
      <c r="G1072" s="35" t="n">
        <v>70.54000000000001</v>
      </c>
      <c r="H1072" s="35" t="n">
        <v>61.37</v>
      </c>
      <c r="I1072" s="35" t="inlineStr">
        <is>
          <t xml:space="preserve">Extratos, essências e concentrados de chá ou de mate e preparações à base destes extratos, essências ou concentrados ou à base de chá ou de mate, em embalagens de conteúdo inferior ou igual a 500 g, exceto as bebidas prontas à base de mate ou chá e os itens classificados no CEST 17.108.01 </t>
        </is>
      </c>
      <c r="J1072" s="38" t="inlineStr">
        <is>
          <t>Lei nº 1.810, art. 49, § 1º, XXIX</t>
        </is>
      </c>
      <c r="K1072" s="43" t="inlineStr">
        <is>
          <t>(Item 108.0: nova redação dada pelo Decreto nº 14.774/2017. Efeitos a partir de 1º.07.2017.)</t>
        </is>
      </c>
      <c r="L1072" s="29">
        <f>IF(D1072="NCM/SH","",COUNTIF($D$5:$D$1506,D1072))</f>
        <v/>
      </c>
    </row>
    <row r="1073" ht="41.45" customHeight="1" thickBot="1">
      <c r="A1073" s="1" t="inlineStr">
        <is>
          <t>18Alimentos</t>
        </is>
      </c>
      <c r="B1073" s="165" t="inlineStr">
        <is>
          <t>108.1</t>
        </is>
      </c>
      <c r="C1073" s="35" t="inlineStr">
        <is>
          <t>17.108.01</t>
        </is>
      </c>
      <c r="D1073" s="35" t="inlineStr">
        <is>
          <t>2101.20</t>
        </is>
      </c>
      <c r="E1073" s="35" t="n">
        <v>52.2</v>
      </c>
      <c r="F1073" s="35" t="n">
        <v>76.04000000000001</v>
      </c>
      <c r="G1073" s="35" t="n">
        <v>70.54000000000001</v>
      </c>
      <c r="H1073" s="35" t="n">
        <v>61.37</v>
      </c>
      <c r="I1073" s="48" t="inlineStr">
        <is>
          <t>Extratos, essências e concentrados de chá ou de mate e preparações à base destes extratos, essências ou concentrados ou à base de chá ou de mate, em cápsulas</t>
        </is>
      </c>
      <c r="J1073" s="40" t="inlineStr">
        <is>
          <t>Lei nº 1.810, art. 49, § 1º, XXIX</t>
        </is>
      </c>
      <c r="K1073" s="43" t="inlineStr">
        <is>
          <t>(Item 108.1: acrescentado pelo Decreto nº 14.774/2017. Efeitos a partir de 1º.07.2017.)</t>
        </is>
      </c>
      <c r="L1073" s="29">
        <f>IF(D1073="NCM/SH","",COUNTIF($D$5:$D$1506,D1073))</f>
        <v/>
      </c>
    </row>
    <row r="1074" ht="14.45" customHeight="1">
      <c r="A1074" s="1" t="inlineStr">
        <is>
          <t>18Alimentos</t>
        </is>
      </c>
      <c r="B1074" s="98" t="inlineStr">
        <is>
          <t>109.0</t>
        </is>
      </c>
      <c r="C1074" s="163" t="inlineStr">
        <is>
          <t>17.109.00</t>
        </is>
      </c>
      <c r="D1074" s="37" t="inlineStr">
        <is>
          <t>1901.90.90</t>
        </is>
      </c>
      <c r="E1074" s="163" t="n">
        <v>52.2</v>
      </c>
      <c r="F1074" s="163" t="n">
        <v>76.04000000000001</v>
      </c>
      <c r="G1074" s="163" t="n">
        <v>70.54000000000001</v>
      </c>
      <c r="H1074" s="163" t="n">
        <v>61.37</v>
      </c>
      <c r="I1074" s="163" t="inlineStr">
        <is>
          <t xml:space="preserve">Preparações em pó para cappuccino e similares, em embalagens de conteúdo inferior ou igual a 500 g </t>
        </is>
      </c>
      <c r="J1074" s="40" t="inlineStr">
        <is>
          <t>Lei nº 1.810, art. 49, § 1º, XXIX</t>
        </is>
      </c>
      <c r="L1074" s="29">
        <f>IF(D1074="NCM/SH","",COUNTIF($D$5:$D$1506,D1074))</f>
        <v/>
      </c>
    </row>
    <row r="1075">
      <c r="A1075" s="1" t="inlineStr">
        <is>
          <t>18Alimentos</t>
        </is>
      </c>
      <c r="B1075" s="101" t="n">
        <v>109</v>
      </c>
      <c r="C1075" s="44" t="inlineStr">
        <is>
          <t>17.109.00</t>
        </is>
      </c>
      <c r="D1075" s="37" t="inlineStr">
        <is>
          <t>2101.11.90</t>
        </is>
      </c>
      <c r="E1075" s="44" t="n">
        <v>52.2</v>
      </c>
      <c r="F1075" s="44" t="n">
        <v>76.04000000000001</v>
      </c>
      <c r="G1075" s="44" t="n">
        <v>70.54000000000001</v>
      </c>
      <c r="H1075" s="44" t="n">
        <v>61.37</v>
      </c>
      <c r="I1075" s="44" t="inlineStr">
        <is>
          <t xml:space="preserve">Preparações em pó para cappuccino e similares, em embalagens de conteúdo inferior ou igual a 500 g </t>
        </is>
      </c>
      <c r="J1075" s="40" t="inlineStr">
        <is>
          <t>Lei nº 1.810, art. 49, § 1º, XXIX</t>
        </is>
      </c>
      <c r="L1075" s="29">
        <f>IF(D1075="NCM/SH","",COUNTIF($D$5:$D$1506,D1075))</f>
        <v/>
      </c>
    </row>
    <row r="1076" ht="15.75" customHeight="1" thickBot="1">
      <c r="A1076" s="1" t="inlineStr">
        <is>
          <t>18Alimentos</t>
        </is>
      </c>
      <c r="B1076" s="99" t="n">
        <v>109</v>
      </c>
      <c r="C1076" s="164" t="inlineStr">
        <is>
          <t>17.109.00</t>
        </is>
      </c>
      <c r="D1076" s="35" t="inlineStr">
        <is>
          <t>2101.12.00</t>
        </is>
      </c>
      <c r="E1076" s="164" t="n">
        <v>52.2</v>
      </c>
      <c r="F1076" s="164" t="n">
        <v>76.04000000000001</v>
      </c>
      <c r="G1076" s="164" t="n">
        <v>70.54000000000001</v>
      </c>
      <c r="H1076" s="164" t="n">
        <v>61.37</v>
      </c>
      <c r="I1076" s="164" t="inlineStr">
        <is>
          <t xml:space="preserve">Preparações em pó para cappuccino e similares, em embalagens de conteúdo inferior ou igual a 500 g </t>
        </is>
      </c>
      <c r="J1076" s="41" t="inlineStr">
        <is>
          <t>Lei nº 1.810, art. 49, § 1º, XXIX</t>
        </is>
      </c>
      <c r="L1076" s="29">
        <f>IF(D1076="NCM/SH","",COUNTIF($D$5:$D$1506,D1076))</f>
        <v/>
      </c>
    </row>
    <row r="1077" ht="15.75" customHeight="1" thickBot="1">
      <c r="A1077" s="1" t="inlineStr">
        <is>
          <t>18Alimentos</t>
        </is>
      </c>
      <c r="B1077" s="78" t="inlineStr">
        <is>
          <t>110.0</t>
        </is>
      </c>
      <c r="C1077" s="48" t="inlineStr">
        <is>
          <t>17.110.00</t>
        </is>
      </c>
      <c r="D1077" s="48" t="inlineStr">
        <is>
          <t>2202.10.00</t>
        </is>
      </c>
      <c r="E1077" s="48" t="n">
        <v>45.65</v>
      </c>
      <c r="F1077" s="48" t="n">
        <v>68.45999999999999</v>
      </c>
      <c r="G1077" s="48" t="n">
        <v>63.2</v>
      </c>
      <c r="H1077" s="48" t="n">
        <v>54.43</v>
      </c>
      <c r="I1077" s="48" t="inlineStr">
        <is>
          <t>Refrescos e outras bebidas prontas para beber, à base de chá e de mate</t>
        </is>
      </c>
      <c r="J1077" s="37" t="inlineStr">
        <is>
          <t>Lei nº 1.810, art. 49, § 1º, XXIX</t>
        </is>
      </c>
      <c r="K1077" s="43" t="inlineStr">
        <is>
          <t>(Item 110.0: nova redação dada pelo Decreto nº 14.916/2017. Efeitos a partir de 1º.12.2017.)</t>
        </is>
      </c>
      <c r="L1077" s="29">
        <f>IF(D1077="NCM/SH","",COUNTIF($D$5:$D$1506,D1077))</f>
        <v/>
      </c>
    </row>
    <row r="1078" ht="15.75" customHeight="1" thickBot="1">
      <c r="A1078" s="1" t="inlineStr">
        <is>
          <t>18Alimentos</t>
        </is>
      </c>
      <c r="B1078" s="78" t="inlineStr">
        <is>
          <t>111.0</t>
        </is>
      </c>
      <c r="C1078" s="48" t="inlineStr">
        <is>
          <t>17.111.00</t>
        </is>
      </c>
      <c r="D1078" s="48" t="inlineStr">
        <is>
          <t>2202.10.00</t>
        </is>
      </c>
      <c r="E1078" s="48" t="n">
        <v>45.65</v>
      </c>
      <c r="F1078" s="48" t="n">
        <v>68.45999999999999</v>
      </c>
      <c r="G1078" s="48" t="n">
        <v>63.2</v>
      </c>
      <c r="H1078" s="48" t="n">
        <v>54.43</v>
      </c>
      <c r="I1078" s="48" t="inlineStr">
        <is>
          <t>Refrescos e outras bebidas não alcoólicas, exceto os refrigerantes e as demais bebidas nos CEST 03.007.00 e 17.110.00</t>
        </is>
      </c>
      <c r="J1078" s="37" t="inlineStr">
        <is>
          <t>Lei nº 1.810, art. 49, § 1º, XXIX</t>
        </is>
      </c>
      <c r="K1078" s="43" t="inlineStr">
        <is>
          <t>(Item 111.0: acrescentado pelo Decreto nº 14.645/2016. Efeitos a partir de 1º.01.2017.)</t>
        </is>
      </c>
      <c r="L1078" s="29">
        <f>IF(D1078="NCM/SH","",COUNTIF($D$5:$D$1506,D1078))</f>
        <v/>
      </c>
    </row>
    <row r="1079" ht="14.45" customHeight="1" thickBot="1">
      <c r="A1079" s="1" t="inlineStr">
        <is>
          <t>18Alimentos</t>
        </is>
      </c>
      <c r="B1079" s="81" t="inlineStr">
        <is>
          <t>112.0</t>
        </is>
      </c>
      <c r="C1079" s="42" t="inlineStr">
        <is>
          <t>17.112.00</t>
        </is>
      </c>
      <c r="D1079" s="42" t="inlineStr">
        <is>
          <t>2202.99.00</t>
        </is>
      </c>
      <c r="E1079" s="42" t="n">
        <v>45.65</v>
      </c>
      <c r="F1079" s="42" t="n">
        <v>68.45999999999999</v>
      </c>
      <c r="G1079" s="42" t="n">
        <v>63.2</v>
      </c>
      <c r="H1079" s="42" t="n">
        <v>54.43</v>
      </c>
      <c r="I1079" s="163" t="inlineStr">
        <is>
          <t>Néctares de frutas e outras bebidas não alcoólicas prontas para beber, exceto bebidas hidroeletrolíticas e energéticos</t>
        </is>
      </c>
      <c r="J1079" s="38" t="inlineStr">
        <is>
          <t>Lei nº 1.810, art. 49, § 1º, XXIX</t>
        </is>
      </c>
      <c r="K1079" s="43" t="inlineStr">
        <is>
          <t>(Item 112.0: nova redação dada pelo Decreto nº 15.657/2021. Efeitos a partir de 1º.12.2020.)</t>
        </is>
      </c>
      <c r="L1079" s="29">
        <f>IF(D1079="NCM/SH","",COUNTIF($D$5:$D$1506,D1079))</f>
        <v/>
      </c>
    </row>
    <row r="1080" ht="15.75" customHeight="1" thickBot="1">
      <c r="A1080" s="1" t="inlineStr">
        <is>
          <t>18Alimentos</t>
        </is>
      </c>
      <c r="B1080" s="81" t="inlineStr">
        <is>
          <t>113.0</t>
        </is>
      </c>
      <c r="C1080" s="42" t="inlineStr">
        <is>
          <t>17.113.00</t>
        </is>
      </c>
      <c r="D1080" s="38" t="inlineStr">
        <is>
          <t>2101.20</t>
        </is>
      </c>
      <c r="E1080" s="42" t="n">
        <v>45.65</v>
      </c>
      <c r="F1080" s="42" t="n">
        <v>68.45999999999999</v>
      </c>
      <c r="G1080" s="42" t="n">
        <v>63.2</v>
      </c>
      <c r="H1080" s="42" t="n">
        <v>54.43</v>
      </c>
      <c r="I1080" s="42" t="inlineStr">
        <is>
          <t>Bebidas prontas à base de mate ou chá</t>
        </is>
      </c>
      <c r="J1080" s="38" t="inlineStr">
        <is>
          <t>Lei nº 1.810, art. 49, § 1º, XXIX</t>
        </is>
      </c>
      <c r="K1080" s="43" t="inlineStr">
        <is>
          <t>(Item 113.0: nova redação dada pelo Decreto nº 14.774/2017. Efeitos a partir de 1º.07.2017.)</t>
        </is>
      </c>
      <c r="L1080" s="29">
        <f>IF(D1080="NCM/SH","",COUNTIF($D$5:$D$1506,D1080))</f>
        <v/>
      </c>
    </row>
    <row r="1081" ht="15.75" customHeight="1" thickBot="1">
      <c r="A1081" s="1" t="inlineStr">
        <is>
          <t>18Alimentos</t>
        </is>
      </c>
      <c r="B1081" s="82" t="n">
        <v>113</v>
      </c>
      <c r="C1081" s="46" t="inlineStr">
        <is>
          <t>17.113.00</t>
        </is>
      </c>
      <c r="D1081" s="48" t="inlineStr">
        <is>
          <t>2202.99.00</t>
        </is>
      </c>
      <c r="E1081" s="46" t="n">
        <v>45.65</v>
      </c>
      <c r="F1081" s="46" t="n">
        <v>68.45999999999999</v>
      </c>
      <c r="G1081" s="46" t="n">
        <v>63.2</v>
      </c>
      <c r="H1081" s="46" t="n">
        <v>54.43</v>
      </c>
      <c r="I1081" s="46" t="inlineStr">
        <is>
          <t>Bebidas prontas à base de mate ou chá</t>
        </is>
      </c>
      <c r="J1081" s="48" t="inlineStr">
        <is>
          <t>Lei nº 1.810, art. 49, § 1º, XXIX</t>
        </is>
      </c>
      <c r="K1081" s="43" t="inlineStr">
        <is>
          <t>(Item 113.0: nova redação dada pelo Decreto nº 14.774/2017. Efeitos a partir de 1º.07.2017.)</t>
        </is>
      </c>
      <c r="L1081" s="29">
        <f>IF(D1081="NCM/SH","",COUNTIF($D$5:$D$1506,D1081))</f>
        <v/>
      </c>
    </row>
    <row r="1082" ht="15.75" customHeight="1" thickBot="1">
      <c r="A1082" s="1" t="inlineStr">
        <is>
          <t>18Alimentos</t>
        </is>
      </c>
      <c r="B1082" s="81" t="inlineStr">
        <is>
          <t>114.0</t>
        </is>
      </c>
      <c r="C1082" s="42" t="inlineStr">
        <is>
          <t>17.114.00</t>
        </is>
      </c>
      <c r="D1082" s="42" t="inlineStr">
        <is>
          <t>2202.99.00</t>
        </is>
      </c>
      <c r="E1082" s="42" t="n">
        <v>45.65</v>
      </c>
      <c r="F1082" s="42" t="n">
        <v>68.45999999999999</v>
      </c>
      <c r="G1082" s="42" t="n">
        <v>63.2</v>
      </c>
      <c r="H1082" s="42" t="n">
        <v>54.43</v>
      </c>
      <c r="I1082" s="42" t="inlineStr">
        <is>
          <t>Bebidas prontas à base de café</t>
        </is>
      </c>
      <c r="J1082" s="38" t="inlineStr">
        <is>
          <t>Lei nº 1.810, art. 49, § 1º, XXIX</t>
        </is>
      </c>
      <c r="K1082" s="43" t="inlineStr">
        <is>
          <t>(Item 114.0: nova redação dada pelo Decreto nº 14.774/2017. Efeitos a partir de 1º.07.2017.)</t>
        </is>
      </c>
      <c r="L1082" s="29">
        <f>IF(D1082="NCM/SH","",COUNTIF($D$5:$D$1506,D1082))</f>
        <v/>
      </c>
    </row>
    <row r="1083" ht="14.45" customHeight="1" thickBot="1">
      <c r="A1083" s="1" t="inlineStr">
        <is>
          <t>18Alimentos</t>
        </is>
      </c>
      <c r="B1083" s="81" t="inlineStr">
        <is>
          <t>115.0</t>
        </is>
      </c>
      <c r="C1083" s="42" t="inlineStr">
        <is>
          <t>17.115.00</t>
        </is>
      </c>
      <c r="D1083" s="42" t="inlineStr">
        <is>
          <t>2202.99.00</t>
        </is>
      </c>
      <c r="E1083" s="42" t="n">
        <v>45.65</v>
      </c>
      <c r="F1083" s="42" t="n">
        <v>68.45999999999999</v>
      </c>
      <c r="G1083" s="42" t="n">
        <v>63.2</v>
      </c>
      <c r="H1083" s="42" t="n">
        <v>54.43</v>
      </c>
      <c r="I1083" s="42" t="inlineStr">
        <is>
          <t>Bebidas alimentares prontas à base de soja, leite ou cacau, inclusive os produtos denominados bebidas lácteas</t>
        </is>
      </c>
      <c r="J1083" s="38" t="inlineStr">
        <is>
          <t>Lei nº 1.810, art. 49, § 1º, XXIX</t>
        </is>
      </c>
      <c r="K1083" s="43" t="inlineStr">
        <is>
          <t>(Item 115.0: nova redação dada pelo Decreto nº 14.774/2017. Efeitos a partir de 1º.07.2017.)</t>
        </is>
      </c>
      <c r="L1083" s="29">
        <f>IF(D1083="NCM/SH","",COUNTIF($D$5:$D$1506,D1083))</f>
        <v/>
      </c>
    </row>
    <row r="1084" ht="14.45" customHeight="1" thickBot="1">
      <c r="A1084" s="1" t="inlineStr">
        <is>
          <t>18Alimentos</t>
        </is>
      </c>
      <c r="B1084" s="98" t="inlineStr">
        <is>
          <t>116.0</t>
        </is>
      </c>
      <c r="C1084" s="163" t="inlineStr">
        <is>
          <t>17.116.00</t>
        </is>
      </c>
      <c r="D1084" s="37" t="inlineStr">
        <is>
          <t>008.13</t>
        </is>
      </c>
      <c r="E1084" s="42" t="n">
        <v>45.65</v>
      </c>
      <c r="F1084" s="42" t="n">
        <v>68.45999999999999</v>
      </c>
      <c r="G1084" s="42" t="n">
        <v>63.2</v>
      </c>
      <c r="H1084" s="42" t="n">
        <v>54.43</v>
      </c>
      <c r="I1084" s="163" t="inlineStr">
        <is>
          <t>Sementes de anis (erva-doce), badiana (anis-estrelado), funcho, coentro, cominho ou alcaravia; bagas de zimbro; fruta seca, misturas de fruta seca ou de fruta de casa rija; quando acondicionadas em saquinhos, especialmente, para a preparação de infusões ou de tisanas (“chás”)</t>
        </is>
      </c>
      <c r="J1084" s="38" t="inlineStr">
        <is>
          <t>Lei nº 1.810, art. 49, § 1º, III</t>
        </is>
      </c>
      <c r="K1084" s="43" t="inlineStr">
        <is>
          <t>(Item 116.0: acrescentado pelo Decreto nº 15.520/2020. Efeitos a contar de 1º.09.2020.)</t>
        </is>
      </c>
      <c r="L1084" s="29">
        <f>IF(D1084="NCM/SH","",COUNTIF($D$5:$D$1506,D1084))</f>
        <v/>
      </c>
    </row>
    <row r="1085" ht="15.75" customHeight="1" thickBot="1">
      <c r="A1085" s="1" t="inlineStr">
        <is>
          <t>18Alimentos</t>
        </is>
      </c>
      <c r="B1085" s="99" t="n">
        <v>116</v>
      </c>
      <c r="C1085" s="164" t="inlineStr">
        <is>
          <t>17.116.00</t>
        </is>
      </c>
      <c r="D1085" s="35" t="inlineStr">
        <is>
          <t>009.09</t>
        </is>
      </c>
      <c r="E1085" s="46" t="n">
        <v>45.65</v>
      </c>
      <c r="F1085" s="46" t="n">
        <v>68.45999999999999</v>
      </c>
      <c r="G1085" s="46" t="n">
        <v>63.2</v>
      </c>
      <c r="H1085" s="46" t="n">
        <v>54.43</v>
      </c>
      <c r="I1085" s="164" t="inlineStr">
        <is>
          <t>Sementes de anis (erva-doce), badiana (anis-estrelado), funcho, coentro, cominho ou alcaravia; bagas de zimbro; fruta seca, misturas de fruta seca ou de fruta de casa rija; quando acondicionadas em saquinhos, especialmente, para a preparação de infusões ou de tisanas (“chás”)</t>
        </is>
      </c>
      <c r="J1085" s="48" t="inlineStr">
        <is>
          <t>Lei nº 1.810, art. 49, § 1º, III</t>
        </is>
      </c>
      <c r="K1085" s="43" t="inlineStr">
        <is>
          <t>(Item 116.0: acrescentado pelo Decreto nº 15.520/2020. Efeitos a contar de 1º.09.2020.)</t>
        </is>
      </c>
      <c r="L1085" s="29">
        <f>IF(D1085="NCM/SH","",COUNTIF($D$5:$D$1506,D1085))</f>
        <v/>
      </c>
    </row>
    <row r="1086" ht="14.45" customHeight="1">
      <c r="A1086" s="1" t="inlineStr">
        <is>
          <t>18Alimentos</t>
        </is>
      </c>
      <c r="B1086" s="98" t="inlineStr">
        <is>
          <t>117.0</t>
        </is>
      </c>
      <c r="C1086" s="163" t="inlineStr">
        <is>
          <t>17.117.00</t>
        </is>
      </c>
      <c r="D1086" s="163" t="inlineStr">
        <is>
          <t>1806.20.00</t>
        </is>
      </c>
      <c r="E1086" s="42" t="n">
        <v>107.43</v>
      </c>
      <c r="F1086" s="42" t="n">
        <v>139.92</v>
      </c>
      <c r="G1086" s="42" t="n">
        <v>132.42</v>
      </c>
      <c r="H1086" s="42" t="n">
        <v>119.93</v>
      </c>
      <c r="I1086" s="163" t="inlineStr">
        <is>
          <t>Outras preparações em blocos ou em barras, com peso superior a 2 kg, ou no estado líquido, em pasta, em pó, grânulos ou formas semelhantes, em recipientes ou embalagens imediatas de conteúdo superior a 2 kg</t>
        </is>
      </c>
      <c r="J1086" s="38" t="inlineStr">
        <is>
          <t>Lei nº 1.810, art. 49, § 1º, III</t>
        </is>
      </c>
      <c r="K1086" s="103" t="inlineStr">
        <is>
          <t>(Item 117: acrescentado pelo Decreto nº 16.048/2022. Efeitos a partir de 1º.5.2023.)</t>
        </is>
      </c>
      <c r="L1086" s="29">
        <f>IF(D1086="NCM/SH","",COUNTIF($D$5:$D$1506,D1086))</f>
        <v/>
      </c>
    </row>
    <row r="1087">
      <c r="B1087" s="65" t="n"/>
      <c r="C1087" s="65" t="n"/>
      <c r="D1087" s="65" t="n"/>
      <c r="E1087" s="65" t="n"/>
      <c r="F1087" s="65" t="n"/>
      <c r="G1087" s="65" t="n"/>
      <c r="H1087" s="65" t="n"/>
      <c r="I1087" s="65" t="n"/>
      <c r="J1087" s="65" t="n"/>
      <c r="K1087" s="65" t="n"/>
      <c r="L1087" s="29">
        <f>IF(D1087="NCM/SH","",COUNTIF($D$5:$D$1506,D1087))</f>
        <v/>
      </c>
    </row>
    <row r="1088">
      <c r="B1088" s="28" t="n"/>
      <c r="L1088" s="29">
        <f>IF(D1088="NCM/SH","",COUNTIF($D$5:$D$1506,D1088))</f>
        <v/>
      </c>
    </row>
    <row r="1089">
      <c r="A1089" s="1" t="inlineStr">
        <is>
          <t>19Ceremica</t>
        </is>
      </c>
      <c r="B1089" s="28" t="inlineStr">
        <is>
          <t>Tabela XIX</t>
        </is>
      </c>
      <c r="C1089" s="28" t="inlineStr">
        <is>
          <t>PRODUTOS CERÂMICOS (Tabela XIX: REVOGADA pelo Decreto nº 14.645/2016. Efeitos a partir de 1º.01.2017.)</t>
        </is>
      </c>
      <c r="L1089" s="29">
        <f>IF(D1089="NCM/SH","",COUNTIF($D$5:$D$1506,D1089))</f>
        <v/>
      </c>
    </row>
    <row r="1090">
      <c r="L1090" s="29">
        <f>IF(D1090="NCM/SH","",COUNTIF($D$5:$D$1506,D1090))</f>
        <v/>
      </c>
    </row>
    <row r="1091">
      <c r="B1091" s="30" t="n"/>
      <c r="L1091" s="29">
        <f>IF(D1091="NCM/SH","",COUNTIF($D$5:$D$1506,D1091))</f>
        <v/>
      </c>
    </row>
    <row r="1092">
      <c r="B1092" s="28" t="n"/>
      <c r="L1092" s="29">
        <f>IF(D1092="NCM/SH","",COUNTIF($D$5:$D$1506,D1092))</f>
        <v/>
      </c>
    </row>
    <row r="1093">
      <c r="B1093" s="28" t="n"/>
      <c r="L1093" s="29">
        <f>IF(D1093="NCM/SH","",COUNTIF($D$5:$D$1506,D1093))</f>
        <v/>
      </c>
    </row>
    <row r="1094">
      <c r="A1094" s="1" t="inlineStr">
        <is>
          <t>20Papelaria</t>
        </is>
      </c>
      <c r="B1094" s="28" t="inlineStr">
        <is>
          <t>Tabela XX</t>
        </is>
      </c>
      <c r="C1094" s="28" t="inlineStr">
        <is>
          <t>PRODUTOS DE PAPELARIA (Tabela XX: Revogada pelo Decreto nº 16.467/2024. Efeitos a partir de 1°.8.2024.)</t>
        </is>
      </c>
      <c r="L1094" s="29">
        <f>IF(D1094="NCM/SH","",COUNTIF($D$5:$D$1506,D1094))</f>
        <v/>
      </c>
    </row>
    <row r="1095">
      <c r="L1095" s="29">
        <f>IF(D1095="NCM/SH","",COUNTIF($D$5:$D$1506,D1095))</f>
        <v/>
      </c>
    </row>
    <row r="1096">
      <c r="B1096" s="113" t="n"/>
      <c r="L1096" s="29">
        <f>IF(D1096="NCM/SH","",COUNTIF($D$5:$D$1506,D1096))</f>
        <v/>
      </c>
    </row>
    <row r="1097">
      <c r="B1097" s="30" t="n"/>
      <c r="L1097" s="29">
        <f>IF(D1097="NCM/SH","",COUNTIF($D$5:$D$1506,D1097))</f>
        <v/>
      </c>
    </row>
    <row r="1098">
      <c r="B1098" s="28" t="n"/>
      <c r="L1098" s="29">
        <f>IF(D1098="NCM/SH","",COUNTIF($D$5:$D$1506,D1098))</f>
        <v/>
      </c>
    </row>
    <row r="1099" ht="15.75" customHeight="1" thickBot="1">
      <c r="A1099" s="1" t="inlineStr">
        <is>
          <t>21Cosmetico</t>
        </is>
      </c>
      <c r="B1099" s="28" t="inlineStr">
        <is>
          <t>Tabela XXI</t>
        </is>
      </c>
      <c r="C1099" s="62" t="inlineStr">
        <is>
          <t>PRODUTOS DE PERFUMARIA E DE HIGIENE PESSOAL E COSMÉTICOS</t>
        </is>
      </c>
      <c r="D1099" s="62" t="n"/>
      <c r="E1099" s="62" t="n"/>
      <c r="F1099" s="62" t="n"/>
      <c r="G1099" s="62" t="n"/>
      <c r="H1099" s="62" t="n"/>
      <c r="L1099" s="29">
        <f>IF(D1099="NCM/SH","",COUNTIF($D$5:$D$1506,D1099))</f>
        <v/>
      </c>
    </row>
    <row r="1100" ht="15" customHeight="1" thickBot="1">
      <c r="A1100" s="1" t="inlineStr">
        <is>
          <t>21Cosmetico</t>
        </is>
      </c>
      <c r="B1100" s="163" t="inlineStr">
        <is>
          <t>ITEM</t>
        </is>
      </c>
      <c r="C1100" s="163" t="inlineStr">
        <is>
          <t>CEST</t>
        </is>
      </c>
      <c r="D1100" s="163" t="inlineStr">
        <is>
          <t>NCM/SH</t>
        </is>
      </c>
      <c r="E1100" s="165" t="inlineStr">
        <is>
          <t>MARGEM DE VALOR AGREGADO</t>
        </is>
      </c>
      <c r="F1100" s="166" t="n"/>
      <c r="G1100" s="166" t="n"/>
      <c r="H1100" s="167" t="n"/>
      <c r="I1100" s="163" t="inlineStr">
        <is>
          <t xml:space="preserve">DESCRIÇÃO </t>
        </is>
      </c>
      <c r="J1100" s="163" t="inlineStr">
        <is>
          <t>DISPOSITIVO LEGAL</t>
        </is>
      </c>
      <c r="L1100" s="29">
        <f>IF(D1100="NCM/SH","",COUNTIF($D$5:$D$1506,D1100))</f>
        <v/>
      </c>
    </row>
    <row r="1101" ht="15.75" customHeight="1" thickBot="1">
      <c r="A1101" s="1" t="inlineStr">
        <is>
          <t>21Cosmetico</t>
        </is>
      </c>
      <c r="B1101" s="164" t="inlineStr">
        <is>
          <t>ITEM</t>
        </is>
      </c>
      <c r="C1101" s="164" t="inlineStr">
        <is>
          <t>CEST</t>
        </is>
      </c>
      <c r="D1101" s="164" t="inlineStr">
        <is>
          <t>NCM/SH</t>
        </is>
      </c>
      <c r="E1101" s="35" t="inlineStr">
        <is>
          <t>Oper. interna</t>
        </is>
      </c>
      <c r="F1101" s="167" t="inlineStr">
        <is>
          <t>Alíq. 4%</t>
        </is>
      </c>
      <c r="G1101" s="167" t="inlineStr">
        <is>
          <t>Alíq. 7%</t>
        </is>
      </c>
      <c r="H1101" s="167" t="inlineStr">
        <is>
          <t>Alíq. 12%</t>
        </is>
      </c>
      <c r="I1101" s="164" t="inlineStr">
        <is>
          <t xml:space="preserve">DESCRIÇÃO </t>
        </is>
      </c>
      <c r="J1101" s="164" t="inlineStr">
        <is>
          <t>DISPOSITIVO LEGAL</t>
        </is>
      </c>
      <c r="L1101" s="29">
        <f>IF(D1101="NCM/SH","",COUNTIF($D$5:$D$1506,D1101))</f>
        <v/>
      </c>
    </row>
    <row r="1102" ht="15.75" customHeight="1" thickBot="1">
      <c r="A1102" s="1" t="inlineStr">
        <is>
          <t>21Cosmetico</t>
        </is>
      </c>
      <c r="B1102" s="164" t="inlineStr">
        <is>
          <t>1.0</t>
        </is>
      </c>
      <c r="C1102" s="35" t="inlineStr">
        <is>
          <t>20.001.00</t>
        </is>
      </c>
      <c r="D1102" s="35" t="inlineStr">
        <is>
          <t>1211.90.90</t>
        </is>
      </c>
      <c r="E1102" s="35" t="n">
        <v>43</v>
      </c>
      <c r="F1102" s="35" t="n">
        <v>71.59999999999999</v>
      </c>
      <c r="G1102" s="35" t="n">
        <v>66.23999999999999</v>
      </c>
      <c r="H1102" s="35" t="n">
        <v>57.3</v>
      </c>
      <c r="I1102" s="35" t="inlineStr">
        <is>
          <t xml:space="preserve">Henna (embalagens de conteúdo inferior ou igual a 200 g) </t>
        </is>
      </c>
      <c r="J1102" s="163" t="inlineStr">
        <is>
          <t>Lei nº 1.810, art. 49, § 1º, XXVIII</t>
        </is>
      </c>
      <c r="L1102" s="29">
        <f>IF(D1102="NCM/SH","",COUNTIF($D$5:$D$1506,D1102))</f>
        <v/>
      </c>
    </row>
    <row r="1103" ht="15.75" customHeight="1" thickBot="1">
      <c r="A1103" s="1" t="inlineStr">
        <is>
          <t>21Cosmetico</t>
        </is>
      </c>
      <c r="B1103" s="164" t="inlineStr">
        <is>
          <t>1.1</t>
        </is>
      </c>
      <c r="C1103" s="35" t="inlineStr">
        <is>
          <t>20.001.01</t>
        </is>
      </c>
      <c r="D1103" s="35" t="inlineStr">
        <is>
          <t>1211.90.90</t>
        </is>
      </c>
      <c r="E1103" s="35" t="n">
        <v>43</v>
      </c>
      <c r="F1103" s="35" t="n">
        <v>71.59999999999999</v>
      </c>
      <c r="G1103" s="35" t="n">
        <v>66.23999999999999</v>
      </c>
      <c r="H1103" s="35" t="n">
        <v>57.3</v>
      </c>
      <c r="I1103" s="35" t="inlineStr">
        <is>
          <t>Henna (embalagens de conteúdo superior a 200 g)</t>
        </is>
      </c>
      <c r="J1103" s="44" t="inlineStr">
        <is>
          <t>Lei nº 1.810, art. 49, § 1º, XXVIII</t>
        </is>
      </c>
      <c r="L1103" s="29">
        <f>IF(D1103="NCM/SH","",COUNTIF($D$5:$D$1506,D1103))</f>
        <v/>
      </c>
    </row>
    <row r="1104" ht="15.75" customHeight="1" thickBot="1">
      <c r="A1104" s="1" t="inlineStr">
        <is>
          <t>21Cosmetico</t>
        </is>
      </c>
      <c r="B1104" s="164" t="inlineStr">
        <is>
          <t>2.0</t>
        </is>
      </c>
      <c r="C1104" s="35" t="inlineStr">
        <is>
          <t>20.002.00</t>
        </is>
      </c>
      <c r="D1104" s="35" t="inlineStr">
        <is>
          <t xml:space="preserve">2712.10.00 </t>
        </is>
      </c>
      <c r="E1104" s="35" t="n">
        <v>43</v>
      </c>
      <c r="F1104" s="35" t="n">
        <v>65.16</v>
      </c>
      <c r="G1104" s="35" t="n">
        <v>60</v>
      </c>
      <c r="H1104" s="35" t="n">
        <v>51.4</v>
      </c>
      <c r="I1104" s="35" t="inlineStr">
        <is>
          <t xml:space="preserve">Vaselina </t>
        </is>
      </c>
      <c r="J1104" s="44" t="inlineStr">
        <is>
          <t>Lei nº 1.810, art. 49, § 1º, XXVIII</t>
        </is>
      </c>
      <c r="L1104" s="29">
        <f>IF(D1104="NCM/SH","",COUNTIF($D$5:$D$1506,D1104))</f>
        <v/>
      </c>
    </row>
    <row r="1105" ht="15.75" customHeight="1" thickBot="1">
      <c r="A1105" s="1" t="inlineStr">
        <is>
          <t>21Cosmetico</t>
        </is>
      </c>
      <c r="B1105" s="164" t="inlineStr">
        <is>
          <t>3.0</t>
        </is>
      </c>
      <c r="C1105" s="35" t="inlineStr">
        <is>
          <t>20.003.00</t>
        </is>
      </c>
      <c r="D1105" s="35" t="inlineStr">
        <is>
          <t xml:space="preserve">2814.20.00 </t>
        </is>
      </c>
      <c r="E1105" s="35" t="n">
        <v>43</v>
      </c>
      <c r="F1105" s="35" t="n">
        <v>65.16</v>
      </c>
      <c r="G1105" s="35" t="n">
        <v>60</v>
      </c>
      <c r="H1105" s="35" t="n">
        <v>51.4</v>
      </c>
      <c r="I1105" s="35" t="inlineStr">
        <is>
          <t xml:space="preserve">Amoníaco em solução aquosa (amônia) </t>
        </is>
      </c>
      <c r="J1105" s="44" t="inlineStr">
        <is>
          <t>Lei nº 1.810, art. 49, § 1º, XXVIII</t>
        </is>
      </c>
      <c r="L1105" s="29">
        <f>IF(D1105="NCM/SH","",COUNTIF($D$5:$D$1506,D1105))</f>
        <v/>
      </c>
    </row>
    <row r="1106" ht="15.75" customHeight="1" thickBot="1">
      <c r="A1106" s="1" t="inlineStr">
        <is>
          <t>21Cosmetico</t>
        </is>
      </c>
      <c r="B1106" s="164" t="inlineStr">
        <is>
          <t>4.0</t>
        </is>
      </c>
      <c r="C1106" s="35" t="inlineStr">
        <is>
          <t>20.004.00</t>
        </is>
      </c>
      <c r="D1106" s="35" t="inlineStr">
        <is>
          <t xml:space="preserve">2847.00.00 </t>
        </is>
      </c>
      <c r="E1106" s="35" t="n">
        <v>43</v>
      </c>
      <c r="F1106" s="35" t="n">
        <v>65.16</v>
      </c>
      <c r="G1106" s="35" t="n">
        <v>60</v>
      </c>
      <c r="H1106" s="35" t="n">
        <v>51.4</v>
      </c>
      <c r="I1106" s="35" t="inlineStr">
        <is>
          <t xml:space="preserve">Peróxido de hidrogênio, em embalagens de conteúdo inferior ou igual a 500 ml </t>
        </is>
      </c>
      <c r="J1106" s="164" t="inlineStr">
        <is>
          <t>Lei nº 1.810, art. 49, § 1º, XXVIII</t>
        </is>
      </c>
      <c r="L1106" s="29">
        <f>IF(D1106="NCM/SH","",COUNTIF($D$5:$D$1506,D1106))</f>
        <v/>
      </c>
    </row>
    <row r="1107" ht="15.75" customHeight="1" thickBot="1">
      <c r="A1107" s="1" t="inlineStr">
        <is>
          <t>21Cosmetico</t>
        </is>
      </c>
      <c r="B1107" s="163" t="inlineStr">
        <is>
          <t>5.0</t>
        </is>
      </c>
      <c r="C1107" s="163" t="inlineStr">
        <is>
          <t>20.005.00</t>
        </is>
      </c>
      <c r="D1107" s="163" t="inlineStr">
        <is>
          <t xml:space="preserve">3006.70.00 </t>
        </is>
      </c>
      <c r="E1107" s="163" t="n">
        <v>43</v>
      </c>
      <c r="F1107" s="163" t="n">
        <v>65.16</v>
      </c>
      <c r="G1107" s="163" t="n">
        <v>60</v>
      </c>
      <c r="H1107" s="163" t="n">
        <v>51.4</v>
      </c>
      <c r="I1107" s="163" t="inlineStr">
        <is>
          <t xml:space="preserve">Lubrificação íntima </t>
        </is>
      </c>
      <c r="J1107" s="38" t="inlineStr">
        <is>
          <t>Lei nº 1.810, art. 49, § 1º, XXIX</t>
        </is>
      </c>
      <c r="L1107" s="29">
        <f>IF(D1107="NCM/SH","",COUNTIF($D$5:$D$1506,D1107))</f>
        <v/>
      </c>
    </row>
    <row r="1108" ht="15.75" customHeight="1" thickBot="1">
      <c r="A1108" s="1" t="inlineStr">
        <is>
          <t>21Cosmetico</t>
        </is>
      </c>
      <c r="B1108" s="164" t="inlineStr">
        <is>
          <t>6.0</t>
        </is>
      </c>
      <c r="C1108" s="35" t="inlineStr">
        <is>
          <t>20.006.00</t>
        </is>
      </c>
      <c r="D1108" s="35" t="n">
        <v>3301</v>
      </c>
      <c r="E1108" s="35" t="n">
        <v>43</v>
      </c>
      <c r="F1108" s="35" t="n">
        <v>71.59999999999999</v>
      </c>
      <c r="G1108" s="35" t="n">
        <v>66.23999999999999</v>
      </c>
      <c r="H1108" s="35" t="n">
        <v>57.3</v>
      </c>
      <c r="I1108" s="35" t="inlineStr">
        <is>
          <t xml:space="preserve">Óleos essenciais (desterpenados ou não), incluídos os chamados "concretos" ou "absolutos"; resinóides; oleorresinas de extração; soluções concentradas de óleos essenciais em gorduras, em óleos fixos, em ceras ou em matérias análogas, obtidas portratamento de flores através de substâncias gordas ou por maceração; subprodutos terpênicos residuais da desterpenação dos óleos essenciais; águas destiladas aromáticas e soluções aquosas de óleos essenciais, em embalagens de conteúdo inferior ou igual a 500 ml </t>
        </is>
      </c>
      <c r="J1108" s="163" t="inlineStr">
        <is>
          <t>Lei nº 1.810, art. 49, § 1º, XXVIII</t>
        </is>
      </c>
      <c r="L1108" s="29">
        <f>IF(D1108="NCM/SH","",COUNTIF($D$5:$D$1506,D1108))</f>
        <v/>
      </c>
    </row>
    <row r="1109" ht="15.75" customHeight="1" thickBot="1">
      <c r="A1109" s="1" t="inlineStr">
        <is>
          <t>21Cosmetico</t>
        </is>
      </c>
      <c r="B1109" s="164" t="inlineStr">
        <is>
          <t>7.0</t>
        </is>
      </c>
      <c r="C1109" s="35" t="inlineStr">
        <is>
          <t>20.007.00</t>
        </is>
      </c>
      <c r="D1109" s="35" t="inlineStr">
        <is>
          <t xml:space="preserve">3303.00.10 </t>
        </is>
      </c>
      <c r="E1109" s="35" t="n">
        <v>43</v>
      </c>
      <c r="F1109" s="35" t="n">
        <v>71.59999999999999</v>
      </c>
      <c r="G1109" s="35" t="n">
        <v>66.23999999999999</v>
      </c>
      <c r="H1109" s="35" t="n">
        <v>57.3</v>
      </c>
      <c r="I1109" s="35" t="inlineStr">
        <is>
          <t>Perfumes (extratos)</t>
        </is>
      </c>
      <c r="J1109" s="44" t="inlineStr">
        <is>
          <t>Lei nº 1.810, art. 49, § 1º, XXVIII</t>
        </is>
      </c>
      <c r="L1109" s="29">
        <f>IF(D1109="NCM/SH","",COUNTIF($D$5:$D$1506,D1109))</f>
        <v/>
      </c>
    </row>
    <row r="1110" ht="15.75" customHeight="1" thickBot="1">
      <c r="A1110" s="1" t="inlineStr">
        <is>
          <t>21Cosmetico</t>
        </is>
      </c>
      <c r="B1110" s="164" t="inlineStr">
        <is>
          <t>8.0</t>
        </is>
      </c>
      <c r="C1110" s="35" t="inlineStr">
        <is>
          <t>20.008.00</t>
        </is>
      </c>
      <c r="D1110" s="35" t="inlineStr">
        <is>
          <t xml:space="preserve">3303.00.20 </t>
        </is>
      </c>
      <c r="E1110" s="35" t="n">
        <v>43</v>
      </c>
      <c r="F1110" s="35" t="n">
        <v>71.59999999999999</v>
      </c>
      <c r="G1110" s="35" t="n">
        <v>66.23999999999999</v>
      </c>
      <c r="H1110" s="35" t="n">
        <v>57.3</v>
      </c>
      <c r="I1110" s="35" t="inlineStr">
        <is>
          <t xml:space="preserve">Águas-de-colônia </t>
        </is>
      </c>
      <c r="J1110" s="44" t="inlineStr">
        <is>
          <t>Lei nº 1.810, art. 49, § 1º, XXVIII</t>
        </is>
      </c>
      <c r="L1110" s="29">
        <f>IF(D1110="NCM/SH","",COUNTIF($D$5:$D$1506,D1110))</f>
        <v/>
      </c>
    </row>
    <row r="1111" ht="15.75" customHeight="1" thickBot="1">
      <c r="A1111" s="1" t="inlineStr">
        <is>
          <t>21Cosmetico</t>
        </is>
      </c>
      <c r="B1111" s="164" t="inlineStr">
        <is>
          <t>9.0</t>
        </is>
      </c>
      <c r="C1111" s="35" t="inlineStr">
        <is>
          <t>20.009.00</t>
        </is>
      </c>
      <c r="D1111" s="35" t="inlineStr">
        <is>
          <t xml:space="preserve">3304.10.00 </t>
        </is>
      </c>
      <c r="E1111" s="35" t="n">
        <v>43</v>
      </c>
      <c r="F1111" s="35" t="n">
        <v>71.59999999999999</v>
      </c>
      <c r="G1111" s="35" t="n">
        <v>66.23999999999999</v>
      </c>
      <c r="H1111" s="35" t="n">
        <v>57.3</v>
      </c>
      <c r="I1111" s="35" t="inlineStr">
        <is>
          <t xml:space="preserve">Produtos de maquilagem para os lábios </t>
        </is>
      </c>
      <c r="J1111" s="44" t="inlineStr">
        <is>
          <t>Lei nº 1.810, art. 49, § 1º, XXVIII</t>
        </is>
      </c>
      <c r="L1111" s="29">
        <f>IF(D1111="NCM/SH","",COUNTIF($D$5:$D$1506,D1111))</f>
        <v/>
      </c>
    </row>
    <row r="1112" ht="15.75" customHeight="1" thickBot="1">
      <c r="A1112" s="1" t="inlineStr">
        <is>
          <t>21Cosmetico</t>
        </is>
      </c>
      <c r="B1112" s="164" t="inlineStr">
        <is>
          <t>10.0</t>
        </is>
      </c>
      <c r="C1112" s="35" t="inlineStr">
        <is>
          <t>20.010.00</t>
        </is>
      </c>
      <c r="D1112" s="35" t="inlineStr">
        <is>
          <t xml:space="preserve">3304.20.10 </t>
        </is>
      </c>
      <c r="E1112" s="35" t="n">
        <v>43</v>
      </c>
      <c r="F1112" s="35" t="n">
        <v>71.59999999999999</v>
      </c>
      <c r="G1112" s="35" t="n">
        <v>66.23999999999999</v>
      </c>
      <c r="H1112" s="35" t="n">
        <v>57.3</v>
      </c>
      <c r="I1112" s="35" t="inlineStr">
        <is>
          <t xml:space="preserve">Sombra, delineador, lápis para sobrancelhas e rímel </t>
        </is>
      </c>
      <c r="J1112" s="44" t="inlineStr">
        <is>
          <t>Lei nº 1.810, art. 49, § 1º, XXVIII</t>
        </is>
      </c>
      <c r="L1112" s="29">
        <f>IF(D1112="NCM/SH","",COUNTIF($D$5:$D$1506,D1112))</f>
        <v/>
      </c>
    </row>
    <row r="1113" ht="15.75" customHeight="1" thickBot="1">
      <c r="A1113" s="1" t="inlineStr">
        <is>
          <t>21Cosmetico</t>
        </is>
      </c>
      <c r="B1113" s="164" t="inlineStr">
        <is>
          <t>11.0</t>
        </is>
      </c>
      <c r="C1113" s="35" t="inlineStr">
        <is>
          <t>20.011.00</t>
        </is>
      </c>
      <c r="D1113" s="35" t="inlineStr">
        <is>
          <t xml:space="preserve">3304.20.90 </t>
        </is>
      </c>
      <c r="E1113" s="35" t="n">
        <v>43</v>
      </c>
      <c r="F1113" s="35" t="n">
        <v>71.59999999999999</v>
      </c>
      <c r="G1113" s="35" t="n">
        <v>66.23999999999999</v>
      </c>
      <c r="H1113" s="35" t="n">
        <v>57.3</v>
      </c>
      <c r="I1113" s="35" t="inlineStr">
        <is>
          <t xml:space="preserve">Outros produtos de maquilagem para os olhos </t>
        </is>
      </c>
      <c r="J1113" s="44" t="inlineStr">
        <is>
          <t>Lei nº 1.810, art. 49, § 1º, XXVIII</t>
        </is>
      </c>
      <c r="L1113" s="29">
        <f>IF(D1113="NCM/SH","",COUNTIF($D$5:$D$1506,D1113))</f>
        <v/>
      </c>
    </row>
    <row r="1114" ht="15.75" customHeight="1" thickBot="1">
      <c r="A1114" s="1" t="inlineStr">
        <is>
          <t>21Cosmetico</t>
        </is>
      </c>
      <c r="B1114" s="164" t="inlineStr">
        <is>
          <t>12.0</t>
        </is>
      </c>
      <c r="C1114" s="35" t="inlineStr">
        <is>
          <t>20.012.00</t>
        </is>
      </c>
      <c r="D1114" s="35" t="inlineStr">
        <is>
          <t xml:space="preserve">3304.30.00 </t>
        </is>
      </c>
      <c r="E1114" s="35" t="n">
        <v>43</v>
      </c>
      <c r="F1114" s="35" t="n">
        <v>71.59999999999999</v>
      </c>
      <c r="G1114" s="35" t="n">
        <v>66.23999999999999</v>
      </c>
      <c r="H1114" s="35" t="n">
        <v>57.3</v>
      </c>
      <c r="I1114" s="35" t="inlineStr">
        <is>
          <t xml:space="preserve">Preparações para manicuros e pedicuros, incluindo removedores de esmalte à base de acetona </t>
        </is>
      </c>
      <c r="J1114" s="164" t="inlineStr">
        <is>
          <t>Lei nº 1.810, art. 49, § 1º, XXVIII</t>
        </is>
      </c>
      <c r="L1114" s="29">
        <f>IF(D1114="NCM/SH","",COUNTIF($D$5:$D$1506,D1114))</f>
        <v/>
      </c>
    </row>
    <row r="1115" ht="15.75" customHeight="1" thickBot="1">
      <c r="A1115" s="1" t="inlineStr">
        <is>
          <t>21Cosmetico</t>
        </is>
      </c>
      <c r="B1115" s="164" t="inlineStr">
        <is>
          <t>13.0</t>
        </is>
      </c>
      <c r="C1115" s="35" t="inlineStr">
        <is>
          <t>20.013.00</t>
        </is>
      </c>
      <c r="D1115" s="35" t="inlineStr">
        <is>
          <t xml:space="preserve">3304.91.00 </t>
        </is>
      </c>
      <c r="E1115" s="35" t="n">
        <v>43</v>
      </c>
      <c r="F1115" s="35" t="n">
        <v>71.59999999999999</v>
      </c>
      <c r="G1115" s="35" t="n">
        <v>66.23999999999999</v>
      </c>
      <c r="H1115" s="35" t="n">
        <v>57.3</v>
      </c>
      <c r="I1115" s="35" t="inlineStr">
        <is>
          <t>Pós, incluídos os compactos</t>
        </is>
      </c>
      <c r="J1115" s="163" t="inlineStr">
        <is>
          <t>Lei 1.810, art. 49, § 1º, XXVIII</t>
        </is>
      </c>
      <c r="K1115" s="43" t="inlineStr">
        <is>
          <t>(Item 13.0: nova redação dada pelo Decreto nº 14.916/2017. Efeitos a partir de 1º.12.2017.)</t>
        </is>
      </c>
      <c r="L1115" s="29">
        <f>IF(D1115="NCM/SH","",COUNTIF($D$5:$D$1506,D1115))</f>
        <v/>
      </c>
    </row>
    <row r="1116" ht="15.75" customHeight="1" thickBot="1">
      <c r="A1116" s="1" t="inlineStr">
        <is>
          <t>21Cosmetico</t>
        </is>
      </c>
      <c r="B1116" s="164" t="inlineStr">
        <is>
          <t>14.0</t>
        </is>
      </c>
      <c r="C1116" s="35" t="inlineStr">
        <is>
          <t>20.014.00</t>
        </is>
      </c>
      <c r="D1116" s="35" t="inlineStr">
        <is>
          <t xml:space="preserve">3304.99.10 </t>
        </is>
      </c>
      <c r="E1116" s="35" t="n">
        <v>43</v>
      </c>
      <c r="F1116" s="35" t="n">
        <v>71.59999999999999</v>
      </c>
      <c r="G1116" s="35" t="n">
        <v>66.23999999999999</v>
      </c>
      <c r="H1116" s="35" t="n">
        <v>57.3</v>
      </c>
      <c r="I1116" s="35" t="inlineStr">
        <is>
          <t>Cremes de beleza, cremes nutritivos e loções tônicas</t>
        </is>
      </c>
      <c r="J1116" s="44" t="inlineStr">
        <is>
          <t>Lei 1.810, art. 49, § 1º, XXVIII</t>
        </is>
      </c>
      <c r="L1116" s="29">
        <f>IF(D1116="NCM/SH","",COUNTIF($D$5:$D$1506,D1116))</f>
        <v/>
      </c>
    </row>
    <row r="1117" ht="15.75" customHeight="1" thickBot="1">
      <c r="A1117" s="1" t="inlineStr">
        <is>
          <t>21Cosmetico</t>
        </is>
      </c>
      <c r="B1117" s="164" t="inlineStr">
        <is>
          <t>15.0</t>
        </is>
      </c>
      <c r="C1117" s="35" t="inlineStr">
        <is>
          <t>20.015.00</t>
        </is>
      </c>
      <c r="D1117" s="35" t="inlineStr">
        <is>
          <t xml:space="preserve">3304.99.90 </t>
        </is>
      </c>
      <c r="E1117" s="35" t="n">
        <v>43</v>
      </c>
      <c r="F1117" s="35" t="n">
        <v>71.59999999999999</v>
      </c>
      <c r="G1117" s="35" t="n">
        <v>66.23999999999999</v>
      </c>
      <c r="H1117" s="35" t="n">
        <v>57.3</v>
      </c>
      <c r="I1117" s="35" t="inlineStr">
        <is>
          <t>Outros produtos de beleza ou de maquilagem preparados e preparações para conservação ou cuidados da pele, exceto as preparações solares e antissolares</t>
        </is>
      </c>
      <c r="J1117" s="164" t="inlineStr">
        <is>
          <t>Lei 1.810, art. 49, § 1º, XXVIII</t>
        </is>
      </c>
      <c r="L1117" s="29">
        <f>IF(D1117="NCM/SH","",COUNTIF($D$5:$D$1506,D1117))</f>
        <v/>
      </c>
    </row>
    <row r="1118" ht="15.75" customHeight="1" thickBot="1">
      <c r="A1118" s="1" t="inlineStr">
        <is>
          <t>21Cosmetico</t>
        </is>
      </c>
      <c r="B1118" s="164" t="inlineStr">
        <is>
          <t>16.0</t>
        </is>
      </c>
      <c r="C1118" s="35" t="inlineStr">
        <is>
          <t>20.016.00</t>
        </is>
      </c>
      <c r="D1118" s="35" t="inlineStr">
        <is>
          <t>3304.99.90</t>
        </is>
      </c>
      <c r="E1118" s="35" t="n">
        <v>33.05</v>
      </c>
      <c r="F1118" s="35" t="n">
        <v>38.24</v>
      </c>
      <c r="G1118" s="35" t="n">
        <v>38.24</v>
      </c>
      <c r="H1118" s="35" t="n">
        <v>38.24</v>
      </c>
      <c r="I1118" s="35" t="inlineStr">
        <is>
          <t>Preparações solares e antissolares</t>
        </is>
      </c>
      <c r="J1118" s="35" t="inlineStr">
        <is>
          <t>Lei 1.810, art. 49, § 1º, XX; Lei nº 3.495/08</t>
        </is>
      </c>
      <c r="L1118" s="29">
        <f>IF(D1118="NCM/SH","",COUNTIF($D$5:$D$1506,D1118))</f>
        <v/>
      </c>
    </row>
    <row r="1119" ht="15.75" customHeight="1" thickBot="1">
      <c r="A1119" s="1" t="inlineStr">
        <is>
          <t>21Cosmetico</t>
        </is>
      </c>
      <c r="B1119" s="164" t="inlineStr">
        <is>
          <t>17.0</t>
        </is>
      </c>
      <c r="C1119" s="35" t="inlineStr">
        <is>
          <t>20.017.00</t>
        </is>
      </c>
      <c r="D1119" s="35" t="inlineStr">
        <is>
          <t xml:space="preserve">3305.10.00 </t>
        </is>
      </c>
      <c r="E1119" s="35" t="n">
        <v>43</v>
      </c>
      <c r="F1119" s="35" t="n">
        <v>65.16</v>
      </c>
      <c r="G1119" s="35" t="n">
        <v>60</v>
      </c>
      <c r="H1119" s="35" t="n">
        <v>51.4</v>
      </c>
      <c r="I1119" s="35" t="inlineStr">
        <is>
          <t xml:space="preserve">Xampus para o cabelo </t>
        </is>
      </c>
      <c r="J1119" s="163" t="inlineStr">
        <is>
          <t>Lei 1.810, art. 49, § 1º, XXVIII</t>
        </is>
      </c>
      <c r="L1119" s="29">
        <f>IF(D1119="NCM/SH","",COUNTIF($D$5:$D$1506,D1119))</f>
        <v/>
      </c>
    </row>
    <row r="1120" ht="15.75" customHeight="1" thickBot="1">
      <c r="A1120" s="1" t="inlineStr">
        <is>
          <t>21Cosmetico</t>
        </is>
      </c>
      <c r="B1120" s="164" t="inlineStr">
        <is>
          <t>18.0</t>
        </is>
      </c>
      <c r="C1120" s="35" t="inlineStr">
        <is>
          <t>20.018.00</t>
        </is>
      </c>
      <c r="D1120" s="35" t="inlineStr">
        <is>
          <t xml:space="preserve">3305.20.00 </t>
        </is>
      </c>
      <c r="E1120" s="35" t="n">
        <v>43</v>
      </c>
      <c r="F1120" s="35" t="n">
        <v>71.59999999999999</v>
      </c>
      <c r="G1120" s="35" t="n">
        <v>66.23999999999999</v>
      </c>
      <c r="H1120" s="35" t="n">
        <v>57.3</v>
      </c>
      <c r="I1120" s="35" t="inlineStr">
        <is>
          <t xml:space="preserve">Preparações para ondulação ou alisamento, permanentes, dos cabelos </t>
        </is>
      </c>
      <c r="J1120" s="44" t="inlineStr">
        <is>
          <t>Lei 1.810, art. 49, § 1º, XXVIII</t>
        </is>
      </c>
      <c r="L1120" s="29">
        <f>IF(D1120="NCM/SH","",COUNTIF($D$5:$D$1506,D1120))</f>
        <v/>
      </c>
    </row>
    <row r="1121" ht="15.75" customHeight="1" thickBot="1">
      <c r="A1121" s="1" t="inlineStr">
        <is>
          <t>21Cosmetico</t>
        </is>
      </c>
      <c r="B1121" s="164" t="inlineStr">
        <is>
          <t>19.0</t>
        </is>
      </c>
      <c r="C1121" s="35" t="inlineStr">
        <is>
          <t>20.019.00</t>
        </is>
      </c>
      <c r="D1121" s="35" t="inlineStr">
        <is>
          <t xml:space="preserve">3305.30.00 </t>
        </is>
      </c>
      <c r="E1121" s="35" t="n">
        <v>43</v>
      </c>
      <c r="F1121" s="35" t="n">
        <v>71.59999999999999</v>
      </c>
      <c r="G1121" s="35" t="n">
        <v>66.23999999999999</v>
      </c>
      <c r="H1121" s="35" t="n">
        <v>57.3</v>
      </c>
      <c r="I1121" s="35" t="inlineStr">
        <is>
          <t xml:space="preserve">Laquês para o cabelo </t>
        </is>
      </c>
      <c r="J1121" s="44" t="inlineStr">
        <is>
          <t>Lei 1.810, art. 49, § 1º, XXVIII</t>
        </is>
      </c>
      <c r="L1121" s="29">
        <f>IF(D1121="NCM/SH","",COUNTIF($D$5:$D$1506,D1121))</f>
        <v/>
      </c>
    </row>
    <row r="1122" ht="15.75" customHeight="1" thickBot="1">
      <c r="A1122" s="1" t="inlineStr">
        <is>
          <t>21Cosmetico</t>
        </is>
      </c>
      <c r="B1122" s="164" t="inlineStr">
        <is>
          <t>20.0</t>
        </is>
      </c>
      <c r="C1122" s="35" t="inlineStr">
        <is>
          <t>20.020.00</t>
        </is>
      </c>
      <c r="D1122" s="35" t="inlineStr">
        <is>
          <t xml:space="preserve">3305.90.00 </t>
        </is>
      </c>
      <c r="E1122" s="35" t="n">
        <v>43</v>
      </c>
      <c r="F1122" s="35" t="n">
        <v>71.59999999999999</v>
      </c>
      <c r="G1122" s="35" t="n">
        <v>66.23999999999999</v>
      </c>
      <c r="H1122" s="35" t="n">
        <v>57.3</v>
      </c>
      <c r="I1122" s="35" t="inlineStr">
        <is>
          <t>Outras preparações capilares, incluindo máscaras e finalizadores</t>
        </is>
      </c>
      <c r="J1122" s="44" t="inlineStr">
        <is>
          <t>Lei 1.810, art. 49, § 1º, XXVIII</t>
        </is>
      </c>
      <c r="L1122" s="29">
        <f>IF(D1122="NCM/SH","",COUNTIF($D$5:$D$1506,D1122))</f>
        <v/>
      </c>
    </row>
    <row r="1123" ht="15.75" customHeight="1" thickBot="1">
      <c r="A1123" s="1" t="inlineStr">
        <is>
          <t>21Cosmetico</t>
        </is>
      </c>
      <c r="B1123" s="164" t="inlineStr">
        <is>
          <t>21.0</t>
        </is>
      </c>
      <c r="C1123" s="35" t="inlineStr">
        <is>
          <t>20.021.00</t>
        </is>
      </c>
      <c r="D1123" s="35" t="inlineStr">
        <is>
          <t xml:space="preserve">3305.90.00 </t>
        </is>
      </c>
      <c r="E1123" s="35" t="n">
        <v>43</v>
      </c>
      <c r="F1123" s="35" t="n">
        <v>71.59999999999999</v>
      </c>
      <c r="G1123" s="35" t="n">
        <v>66.23999999999999</v>
      </c>
      <c r="H1123" s="35" t="n">
        <v>57.3</v>
      </c>
      <c r="I1123" s="35" t="inlineStr">
        <is>
          <t>Condicionadores</t>
        </is>
      </c>
      <c r="J1123" s="44" t="inlineStr">
        <is>
          <t>Lei 1.810, art. 49, § 1º, XXVIII</t>
        </is>
      </c>
      <c r="L1123" s="29">
        <f>IF(D1123="NCM/SH","",COUNTIF($D$5:$D$1506,D1123))</f>
        <v/>
      </c>
    </row>
    <row r="1124" ht="15.75" customHeight="1" thickBot="1">
      <c r="A1124" s="1" t="inlineStr">
        <is>
          <t>21Cosmetico</t>
        </is>
      </c>
      <c r="B1124" s="164" t="inlineStr">
        <is>
          <t>22.0</t>
        </is>
      </c>
      <c r="C1124" s="35" t="inlineStr">
        <is>
          <t>20.022.00</t>
        </is>
      </c>
      <c r="D1124" s="35" t="inlineStr">
        <is>
          <t xml:space="preserve">3305.90.00 </t>
        </is>
      </c>
      <c r="E1124" s="35" t="n">
        <v>43</v>
      </c>
      <c r="F1124" s="35" t="n">
        <v>71.59999999999999</v>
      </c>
      <c r="G1124" s="35" t="n">
        <v>66.23999999999999</v>
      </c>
      <c r="H1124" s="35" t="n">
        <v>57.3</v>
      </c>
      <c r="I1124" s="35" t="inlineStr">
        <is>
          <t xml:space="preserve">Tintura para o cabelo </t>
        </is>
      </c>
      <c r="J1124" s="164" t="inlineStr">
        <is>
          <t>Lei 1.810, art. 49, § 1º, XXVIII</t>
        </is>
      </c>
      <c r="L1124" s="29">
        <f>IF(D1124="NCM/SH","",COUNTIF($D$5:$D$1506,D1124))</f>
        <v/>
      </c>
    </row>
    <row r="1125" ht="15.75" customHeight="1" thickBot="1">
      <c r="A1125" s="1" t="inlineStr">
        <is>
          <t>21Cosmetico</t>
        </is>
      </c>
      <c r="B1125" s="164" t="inlineStr">
        <is>
          <t>23.0</t>
        </is>
      </c>
      <c r="C1125" s="35" t="inlineStr">
        <is>
          <t>20.023.00</t>
        </is>
      </c>
      <c r="D1125" s="35" t="inlineStr">
        <is>
          <t xml:space="preserve">3306.10.00 </t>
        </is>
      </c>
      <c r="E1125" s="35" t="n">
        <v>19.75</v>
      </c>
      <c r="F1125" s="35" t="n">
        <v>38.5</v>
      </c>
      <c r="G1125" s="35" t="n">
        <v>34.17</v>
      </c>
      <c r="H1125" s="35" t="n">
        <v>26.96</v>
      </c>
      <c r="I1125" s="35" t="inlineStr">
        <is>
          <t xml:space="preserve">Dentifrícios </t>
        </is>
      </c>
      <c r="J1125" s="38" t="inlineStr">
        <is>
          <t>Lei nº 1.810/97, art. 49, § 1º, IX; Protocolo ICMS 12/07; Protocolo ICMS 58/18</t>
        </is>
      </c>
      <c r="K1125" s="49" t="inlineStr">
        <is>
          <t>(Itens 23.0, 24.0 e 25.0: nova redação dada pelo Decreto nº 15.295/2019. Efeitos a partir de 1º.12.2018.)</t>
        </is>
      </c>
      <c r="L1125" s="29">
        <f>IF(D1125="NCM/SH","",COUNTIF($D$5:$D$1506,D1125))</f>
        <v/>
      </c>
    </row>
    <row r="1126" ht="15.75" customHeight="1" thickBot="1">
      <c r="A1126" s="1" t="inlineStr">
        <is>
          <t>21Cosmetico</t>
        </is>
      </c>
      <c r="B1126" s="164" t="inlineStr">
        <is>
          <t>24.0</t>
        </is>
      </c>
      <c r="C1126" s="35" t="inlineStr">
        <is>
          <t>20.024.00</t>
        </is>
      </c>
      <c r="D1126" s="35" t="inlineStr">
        <is>
          <t xml:space="preserve">3306.20.00 </t>
        </is>
      </c>
      <c r="E1126" s="35" t="n">
        <v>19.75</v>
      </c>
      <c r="F1126" s="35" t="n">
        <v>38.5</v>
      </c>
      <c r="G1126" s="35" t="n">
        <v>34.17</v>
      </c>
      <c r="H1126" s="35" t="n">
        <v>26.96</v>
      </c>
      <c r="I1126" s="35" t="inlineStr">
        <is>
          <t xml:space="preserve">Fios utilizados para limpar os espaços interdentais (fios dentais) </t>
        </is>
      </c>
      <c r="J1126" s="38" t="inlineStr">
        <is>
          <t>Lei nº 1.810/97, art. 49, § 1º, IX; Protocolo ICMS 12/07; Protocolo ICMS 58/18</t>
        </is>
      </c>
      <c r="K1126" s="49" t="inlineStr">
        <is>
          <t>(Itens 23.0, 24.0 e 25.0: nova redação dada pelo Decreto nº 15.295/2019. Efeitos a partir de 1º.12.2018.)</t>
        </is>
      </c>
      <c r="L1126" s="29">
        <f>IF(D1126="NCM/SH","",COUNTIF($D$5:$D$1506,D1126))</f>
        <v/>
      </c>
    </row>
    <row r="1127" ht="15.75" customHeight="1" thickBot="1">
      <c r="A1127" s="1" t="inlineStr">
        <is>
          <t>21Cosmetico</t>
        </is>
      </c>
      <c r="B1127" s="164" t="inlineStr">
        <is>
          <t>25.0</t>
        </is>
      </c>
      <c r="C1127" s="35" t="inlineStr">
        <is>
          <t>20.025.00</t>
        </is>
      </c>
      <c r="D1127" s="35" t="inlineStr">
        <is>
          <t xml:space="preserve">3306.90.00 </t>
        </is>
      </c>
      <c r="E1127" s="35" t="n">
        <v>19.75</v>
      </c>
      <c r="F1127" s="35" t="n">
        <v>38.5</v>
      </c>
      <c r="G1127" s="35" t="n">
        <v>34.17</v>
      </c>
      <c r="H1127" s="35" t="n">
        <v>26.96</v>
      </c>
      <c r="I1127" s="35" t="inlineStr">
        <is>
          <t>Outras preparações para higiene bucal ou dentária</t>
        </is>
      </c>
      <c r="J1127" s="40" t="inlineStr">
        <is>
          <t>Lei nº 1.810/97, art. 49, § 1º, IX; Protocolo ICMS 12/07; Protocolo ICMS 58/18</t>
        </is>
      </c>
      <c r="K1127" s="49" t="inlineStr">
        <is>
          <t>(Itens 23.0, 24.0 e 25.0: nova redação dada pelo Decreto nº 15.295/2019. Efeitos a partir de 1º.12.2018.)</t>
        </is>
      </c>
      <c r="L1127" s="29">
        <f>IF(D1127="NCM/SH","",COUNTIF($D$5:$D$1506,D1127))</f>
        <v/>
      </c>
    </row>
    <row r="1128" ht="15.75" customHeight="1" thickBot="1">
      <c r="A1128" s="1" t="inlineStr">
        <is>
          <t>21Cosmetico</t>
        </is>
      </c>
      <c r="B1128" s="164" t="inlineStr">
        <is>
          <t>26.0</t>
        </is>
      </c>
      <c r="C1128" s="35" t="inlineStr">
        <is>
          <t>20.026.00</t>
        </is>
      </c>
      <c r="D1128" s="35" t="inlineStr">
        <is>
          <t xml:space="preserve">3307.10.00 </t>
        </is>
      </c>
      <c r="E1128" s="35" t="n">
        <v>43</v>
      </c>
      <c r="F1128" s="35" t="n">
        <v>65.16</v>
      </c>
      <c r="G1128" s="35" t="n">
        <v>60</v>
      </c>
      <c r="H1128" s="35" t="n">
        <v>51.4</v>
      </c>
      <c r="I1128" s="35" t="inlineStr">
        <is>
          <t xml:space="preserve">Preparações para barbear (antes, durante ou após) </t>
        </is>
      </c>
      <c r="J1128" s="163" t="inlineStr">
        <is>
          <t>Lei nº 1.810, art. 49, § 1º, XXVIII</t>
        </is>
      </c>
      <c r="L1128" s="29">
        <f>IF(D1128="NCM/SH","",COUNTIF($D$5:$D$1506,D1128))</f>
        <v/>
      </c>
    </row>
    <row r="1129" ht="15.75" customHeight="1" thickBot="1">
      <c r="A1129" s="1" t="inlineStr">
        <is>
          <t>21Cosmetico</t>
        </is>
      </c>
      <c r="B1129" s="164" t="inlineStr">
        <is>
          <t>27.0</t>
        </is>
      </c>
      <c r="C1129" s="48" t="inlineStr">
        <is>
          <t>20.027.00</t>
        </is>
      </c>
      <c r="D1129" s="48" t="inlineStr">
        <is>
          <t>3307.20.10</t>
        </is>
      </c>
      <c r="E1129" s="35" t="n">
        <v>43</v>
      </c>
      <c r="F1129" s="35" t="n">
        <v>65.16</v>
      </c>
      <c r="G1129" s="35" t="n">
        <v>60</v>
      </c>
      <c r="H1129" s="35" t="n">
        <v>51.4</v>
      </c>
      <c r="I1129" s="48" t="inlineStr">
        <is>
          <t>Desodorantes (desodorizantes) corporais líquidos, exceto os classificados no CEST 20.027.01</t>
        </is>
      </c>
      <c r="J1129" s="44" t="inlineStr">
        <is>
          <t>Lei nº 1.810, art. 49, § 1º, XXVIII</t>
        </is>
      </c>
      <c r="K1129" s="49" t="inlineStr">
        <is>
          <t>(Item 27.0: nova redação dada pelo Decreto n° 14.818/2017. Efeitos a partir de 1°.09.2017.)</t>
        </is>
      </c>
      <c r="L1129" s="29">
        <f>IF(D1129="NCM/SH","",COUNTIF($D$5:$D$1506,D1129))</f>
        <v/>
      </c>
    </row>
    <row r="1130" ht="15.75" customHeight="1" thickBot="1">
      <c r="A1130" s="1" t="inlineStr">
        <is>
          <t>21Cosmetico</t>
        </is>
      </c>
      <c r="B1130" s="46" t="inlineStr">
        <is>
          <t>27.1</t>
        </is>
      </c>
      <c r="C1130" s="48" t="inlineStr">
        <is>
          <t>20.027.01</t>
        </is>
      </c>
      <c r="D1130" s="48" t="inlineStr">
        <is>
          <t>3307.20.10</t>
        </is>
      </c>
      <c r="E1130" s="35" t="n">
        <v>43</v>
      </c>
      <c r="F1130" s="35" t="n">
        <v>71.59999999999999</v>
      </c>
      <c r="G1130" s="35" t="n">
        <v>66.23999999999999</v>
      </c>
      <c r="H1130" s="35" t="n">
        <v>57.3</v>
      </c>
      <c r="I1130" s="48" t="inlineStr">
        <is>
          <t>Loções e óleos desodorantes hidratantes líquidos</t>
        </is>
      </c>
      <c r="J1130" s="44" t="inlineStr">
        <is>
          <t>Lei nº 1.810, art. 49, § 1º, XXVIII</t>
        </is>
      </c>
      <c r="K1130" s="49" t="inlineStr">
        <is>
          <t>(Item 27.1: acrescentado pelo Decreto n° 14.818/2017. Efeitos a partir de 1°.09.2017.)</t>
        </is>
      </c>
      <c r="L1130" s="29">
        <f>IF(D1130="NCM/SH","",COUNTIF($D$5:$D$1506,D1130))</f>
        <v/>
      </c>
    </row>
    <row r="1131" ht="15.75" customHeight="1" thickBot="1">
      <c r="A1131" s="1" t="inlineStr">
        <is>
          <t>21Cosmetico</t>
        </is>
      </c>
      <c r="B1131" s="164" t="inlineStr">
        <is>
          <t>28.0</t>
        </is>
      </c>
      <c r="C1131" s="35" t="inlineStr">
        <is>
          <t>20.028.00</t>
        </is>
      </c>
      <c r="D1131" s="35" t="inlineStr">
        <is>
          <t xml:space="preserve">3307.20.10 </t>
        </is>
      </c>
      <c r="E1131" s="35" t="n">
        <v>43</v>
      </c>
      <c r="F1131" s="35" t="n">
        <v>65.16</v>
      </c>
      <c r="G1131" s="35" t="n">
        <v>60</v>
      </c>
      <c r="H1131" s="35" t="n">
        <v>51.4</v>
      </c>
      <c r="I1131" s="35" t="inlineStr">
        <is>
          <t>Antiperspirantes líquidos</t>
        </is>
      </c>
      <c r="J1131" s="44" t="inlineStr">
        <is>
          <t>Lei nº 1.810, art. 49, § 1º, XXVIII</t>
        </is>
      </c>
      <c r="L1131" s="29">
        <f>IF(D1131="NCM/SH","",COUNTIF($D$5:$D$1506,D1131))</f>
        <v/>
      </c>
    </row>
    <row r="1132" ht="15.75" customHeight="1" thickBot="1">
      <c r="A1132" s="1" t="inlineStr">
        <is>
          <t>21Cosmetico</t>
        </is>
      </c>
      <c r="B1132" s="164" t="inlineStr">
        <is>
          <t>29.0</t>
        </is>
      </c>
      <c r="C1132" s="48" t="inlineStr">
        <is>
          <t>20.029.00</t>
        </is>
      </c>
      <c r="D1132" s="48" t="inlineStr">
        <is>
          <t>3307.20.90</t>
        </is>
      </c>
      <c r="E1132" s="35" t="n">
        <v>43</v>
      </c>
      <c r="F1132" s="35" t="n">
        <v>65.16</v>
      </c>
      <c r="G1132" s="35" t="n">
        <v>60</v>
      </c>
      <c r="H1132" s="35" t="n">
        <v>51.4</v>
      </c>
      <c r="I1132" s="48" t="inlineStr">
        <is>
          <t>Outros desodorantes (desodorizantes) corporais, exceto os classificados no CEST 20.029.01</t>
        </is>
      </c>
      <c r="J1132" s="44" t="inlineStr">
        <is>
          <t>Lei nº 1.810, art. 49, § 1º, XXVIII</t>
        </is>
      </c>
      <c r="K1132" s="49" t="inlineStr">
        <is>
          <t>(Item 29.0: nova redação dada pelo Decreto n° 14.818/2017. Efeitos a partir de 1°.09.2017.)</t>
        </is>
      </c>
      <c r="L1132" s="29">
        <f>IF(D1132="NCM/SH","",COUNTIF($D$5:$D$1506,D1132))</f>
        <v/>
      </c>
    </row>
    <row r="1133" ht="15.75" customHeight="1" thickBot="1">
      <c r="A1133" s="1" t="inlineStr">
        <is>
          <t>21Cosmetico</t>
        </is>
      </c>
      <c r="B1133" s="46" t="inlineStr">
        <is>
          <t>29.1</t>
        </is>
      </c>
      <c r="C1133" s="48" t="inlineStr">
        <is>
          <t>20.029.01</t>
        </is>
      </c>
      <c r="D1133" s="48" t="inlineStr">
        <is>
          <t>3307.20.90</t>
        </is>
      </c>
      <c r="E1133" s="35" t="n">
        <v>43</v>
      </c>
      <c r="F1133" s="35" t="n">
        <v>71.59999999999999</v>
      </c>
      <c r="G1133" s="35" t="n">
        <v>66.23999999999999</v>
      </c>
      <c r="H1133" s="35" t="n">
        <v>57.3</v>
      </c>
      <c r="I1133" s="48" t="inlineStr">
        <is>
          <t>Outras loções e óleos desodorantes hidratantes</t>
        </is>
      </c>
      <c r="J1133" s="44" t="inlineStr">
        <is>
          <t>Lei nº 1.810, art. 49, § 1º, XXVIII</t>
        </is>
      </c>
      <c r="K1133" s="49" t="inlineStr">
        <is>
          <t>(Item 29.1: acrescentado pelo Decreto n° 14.818/2017. Efeitos a partir de 1°.09.2017.)</t>
        </is>
      </c>
      <c r="L1133" s="29">
        <f>IF(D1133="NCM/SH","",COUNTIF($D$5:$D$1506,D1133))</f>
        <v/>
      </c>
    </row>
    <row r="1134" ht="15.75" customHeight="1" thickBot="1">
      <c r="A1134" s="1" t="inlineStr">
        <is>
          <t>21Cosmetico</t>
        </is>
      </c>
      <c r="B1134" s="164" t="inlineStr">
        <is>
          <t>30.0</t>
        </is>
      </c>
      <c r="C1134" s="35" t="inlineStr">
        <is>
          <t>20.030.00</t>
        </is>
      </c>
      <c r="D1134" s="35" t="inlineStr">
        <is>
          <t xml:space="preserve">3307.20.90 </t>
        </is>
      </c>
      <c r="E1134" s="35" t="n">
        <v>43</v>
      </c>
      <c r="F1134" s="35" t="n">
        <v>65.16</v>
      </c>
      <c r="G1134" s="35" t="n">
        <v>60</v>
      </c>
      <c r="H1134" s="35" t="n">
        <v>51.4</v>
      </c>
      <c r="I1134" s="35" t="inlineStr">
        <is>
          <t xml:space="preserve">Outros antiperspirantes </t>
        </is>
      </c>
      <c r="J1134" s="44" t="inlineStr">
        <is>
          <t>Lei nº 1.810, art. 49, § 1º, XXVIII</t>
        </is>
      </c>
      <c r="L1134" s="29">
        <f>IF(D1134="NCM/SH","",COUNTIF($D$5:$D$1506,D1134))</f>
        <v/>
      </c>
    </row>
    <row r="1135" ht="15.75" customHeight="1" thickBot="1">
      <c r="A1135" s="1" t="inlineStr">
        <is>
          <t>21Cosmetico</t>
        </is>
      </c>
      <c r="B1135" s="164" t="inlineStr">
        <is>
          <t>31.0</t>
        </is>
      </c>
      <c r="C1135" s="35" t="inlineStr">
        <is>
          <t>20.031.00</t>
        </is>
      </c>
      <c r="D1135" s="35" t="inlineStr">
        <is>
          <t xml:space="preserve">3307.30.00 </t>
        </is>
      </c>
      <c r="E1135" s="35" t="n">
        <v>43</v>
      </c>
      <c r="F1135" s="35" t="n">
        <v>71.59999999999999</v>
      </c>
      <c r="G1135" s="35" t="n">
        <v>66.23999999999999</v>
      </c>
      <c r="H1135" s="35" t="n">
        <v>57.3</v>
      </c>
      <c r="I1135" s="35" t="inlineStr">
        <is>
          <t xml:space="preserve">Sais perfumados e outras preparações para banhos </t>
        </is>
      </c>
      <c r="J1135" s="44" t="inlineStr">
        <is>
          <t>Lei nº 1.810, art. 49, § 1º, XXVIII</t>
        </is>
      </c>
      <c r="L1135" s="29">
        <f>IF(D1135="NCM/SH","",COUNTIF($D$5:$D$1506,D1135))</f>
        <v/>
      </c>
    </row>
    <row r="1136" ht="15.75" customHeight="1" thickBot="1">
      <c r="A1136" s="1" t="inlineStr">
        <is>
          <t>21Cosmetico</t>
        </is>
      </c>
      <c r="B1136" s="46" t="inlineStr">
        <is>
          <t>32.0</t>
        </is>
      </c>
      <c r="C1136" s="48" t="inlineStr">
        <is>
          <t>20.032.00</t>
        </is>
      </c>
      <c r="D1136" s="48" t="inlineStr">
        <is>
          <t xml:space="preserve">3307.90.00 </t>
        </is>
      </c>
      <c r="E1136" s="48" t="n">
        <v>43</v>
      </c>
      <c r="F1136" s="48" t="n">
        <v>71.59999999999999</v>
      </c>
      <c r="G1136" s="48" t="n">
        <v>66.23999999999999</v>
      </c>
      <c r="H1136" s="48" t="n">
        <v>57.3</v>
      </c>
      <c r="I1136" s="48" t="inlineStr">
        <is>
          <t>Outros produtos de perfumaria preparados</t>
        </is>
      </c>
      <c r="J1136" s="164" t="inlineStr">
        <is>
          <t>Lei nº 1.810, art. 49, § 1º, XXVIII</t>
        </is>
      </c>
      <c r="K1136" s="43" t="inlineStr">
        <is>
          <t>(Item 32.0: nova redação dada pelo Decreto nº 14.645/2016. Efeitos a partir de 1º.01.2017.)</t>
        </is>
      </c>
      <c r="L1136" s="29">
        <f>IF(D1136="NCM/SH","",COUNTIF($D$5:$D$1506,D1136))</f>
        <v/>
      </c>
    </row>
    <row r="1137" ht="15.75" customHeight="1" thickBot="1">
      <c r="A1137" s="1" t="inlineStr">
        <is>
          <t>21Cosmetico</t>
        </is>
      </c>
      <c r="B1137" s="46" t="inlineStr">
        <is>
          <t>32.1</t>
        </is>
      </c>
      <c r="C1137" s="48" t="inlineStr">
        <is>
          <t>20.032.01</t>
        </is>
      </c>
      <c r="D1137" s="48" t="inlineStr">
        <is>
          <t xml:space="preserve">3307.90.00 </t>
        </is>
      </c>
      <c r="E1137" s="48" t="n">
        <v>43</v>
      </c>
      <c r="F1137" s="48" t="n">
        <v>65.16</v>
      </c>
      <c r="G1137" s="48" t="n">
        <v>60</v>
      </c>
      <c r="H1137" s="48" t="n">
        <v>51.4</v>
      </c>
      <c r="I1137" s="48" t="inlineStr">
        <is>
          <t xml:space="preserve">Outros produtos de toucador preparados </t>
        </is>
      </c>
      <c r="J1137" s="48" t="inlineStr">
        <is>
          <t>Lei nº 1.810, art. 49, § 1º, XXVIII</t>
        </is>
      </c>
      <c r="K1137" s="43" t="inlineStr">
        <is>
          <t>(Item 32.1: acrescentado pelo Decreto nº 14.645/2016. Efeitos a partir de 1º.01.2017.)</t>
        </is>
      </c>
      <c r="L1137" s="29">
        <f>IF(D1137="NCM/SH","",COUNTIF($D$5:$D$1506,D1137))</f>
        <v/>
      </c>
    </row>
    <row r="1138" ht="15.75" customHeight="1" thickBot="1">
      <c r="A1138" s="1" t="inlineStr">
        <is>
          <t>21Cosmetico</t>
        </is>
      </c>
      <c r="B1138" s="164" t="inlineStr">
        <is>
          <t>33.0</t>
        </is>
      </c>
      <c r="C1138" s="35" t="inlineStr">
        <is>
          <t>20.033.00</t>
        </is>
      </c>
      <c r="D1138" s="35" t="inlineStr">
        <is>
          <t>3307.90.00</t>
        </is>
      </c>
      <c r="E1138" s="35" t="n">
        <v>43</v>
      </c>
      <c r="F1138" s="35" t="n">
        <v>65.16</v>
      </c>
      <c r="G1138" s="35" t="n">
        <v>60</v>
      </c>
      <c r="H1138" s="35" t="n">
        <v>51.4</v>
      </c>
      <c r="I1138" s="35" t="inlineStr">
        <is>
          <t xml:space="preserve">Soluções para lentes de contato ou para olhos artificiais </t>
        </is>
      </c>
      <c r="J1138" s="38" t="inlineStr">
        <is>
          <t>Lei nº 1.810, art. 49, § 1º, IX</t>
        </is>
      </c>
      <c r="K1138" s="49" t="inlineStr">
        <is>
          <t>(Item 33.0: nova redação dada pelo Decreto n° 15.295/2019. Efeitos a partir de 1°.12.2018.)</t>
        </is>
      </c>
      <c r="L1138" s="29">
        <f>IF(D1138="NCM/SH","",COUNTIF($D$5:$D$1506,D1138))</f>
        <v/>
      </c>
    </row>
    <row r="1139" ht="15.75" customHeight="1" thickBot="1">
      <c r="A1139" s="1" t="inlineStr">
        <is>
          <t>21Cosmetico</t>
        </is>
      </c>
      <c r="B1139" s="164" t="inlineStr">
        <is>
          <t>34.0</t>
        </is>
      </c>
      <c r="C1139" s="35" t="inlineStr">
        <is>
          <t>20.034.00</t>
        </is>
      </c>
      <c r="D1139" s="35" t="inlineStr">
        <is>
          <t xml:space="preserve">3401.11.90 </t>
        </is>
      </c>
      <c r="E1139" s="35" t="n">
        <v>43</v>
      </c>
      <c r="F1139" s="35" t="n">
        <v>65.16</v>
      </c>
      <c r="G1139" s="35" t="n">
        <v>60</v>
      </c>
      <c r="H1139" s="35" t="n">
        <v>51.4</v>
      </c>
      <c r="I1139" s="35" t="inlineStr">
        <is>
          <t>Sabões de toucador em barras, pedaços ou figuras moldados, exceto CEST 20.034.01</t>
        </is>
      </c>
      <c r="J1139" s="38" t="inlineStr">
        <is>
          <t>Lei nº 1.810, art. 49, § 1º, IX</t>
        </is>
      </c>
      <c r="K1139" s="49" t="inlineStr">
        <is>
          <t>(Item 34.0: nova redação dada pelo Decreto n° 15.295/2019. Efeitos a partir de 09.10.2019.)</t>
        </is>
      </c>
      <c r="L1139" s="29">
        <f>IF(D1139="NCM/SH","",COUNTIF($D$5:$D$1506,D1139))</f>
        <v/>
      </c>
    </row>
    <row r="1140" ht="15.75" customHeight="1" thickBot="1">
      <c r="A1140" s="1" t="inlineStr">
        <is>
          <t>21Cosmetico</t>
        </is>
      </c>
      <c r="B1140" s="164" t="inlineStr">
        <is>
          <t>34.1</t>
        </is>
      </c>
      <c r="C1140" s="35" t="inlineStr">
        <is>
          <t>20.034.01</t>
        </is>
      </c>
      <c r="D1140" s="35" t="inlineStr">
        <is>
          <t>3401.11.90</t>
        </is>
      </c>
      <c r="E1140" s="35" t="n">
        <v>43</v>
      </c>
      <c r="F1140" s="35" t="n">
        <v>65.16</v>
      </c>
      <c r="G1140" s="35" t="n">
        <v>60</v>
      </c>
      <c r="H1140" s="35" t="n">
        <v>51.4</v>
      </c>
      <c r="I1140" s="35" t="inlineStr">
        <is>
          <t>Lenços umedecidos</t>
        </is>
      </c>
      <c r="J1140" s="40" t="inlineStr">
        <is>
          <t>Lei nº 1.810, art. 49, § 1º, IX</t>
        </is>
      </c>
      <c r="K1140" s="49" t="inlineStr">
        <is>
          <t>(Item 34.1: acrescentado pelo Decreto n° 15.295/2019. Efeitos a partir de 09.10.2019.)</t>
        </is>
      </c>
      <c r="L1140" s="29">
        <f>IF(D1140="NCM/SH","",COUNTIF($D$5:$D$1506,D1140))</f>
        <v/>
      </c>
    </row>
    <row r="1141" ht="15.75" customHeight="1" thickBot="1">
      <c r="A1141" s="1" t="inlineStr">
        <is>
          <t>21Cosmetico</t>
        </is>
      </c>
      <c r="B1141" s="164" t="inlineStr">
        <is>
          <t>35.0</t>
        </is>
      </c>
      <c r="C1141" s="35" t="inlineStr">
        <is>
          <t>20.035.00</t>
        </is>
      </c>
      <c r="D1141" s="35" t="inlineStr">
        <is>
          <t xml:space="preserve">3401.19.00 </t>
        </is>
      </c>
      <c r="E1141" s="35" t="n">
        <v>43</v>
      </c>
      <c r="F1141" s="35" t="n">
        <v>65.16</v>
      </c>
      <c r="G1141" s="35" t="n">
        <v>60</v>
      </c>
      <c r="H1141" s="35" t="n">
        <v>51.4</v>
      </c>
      <c r="I1141" s="35" t="inlineStr">
        <is>
          <t>Outros sabões, produtos e preparações, em barras, pedaços ou figuras moldados</t>
        </is>
      </c>
      <c r="J1141" s="70" t="inlineStr">
        <is>
          <t>Lei nº 1.810, art. 49, § 1º, IX</t>
        </is>
      </c>
      <c r="K1141" s="49" t="inlineStr">
        <is>
          <t>(Item 35.0: nova redação dada pelo Decreto n° 15.295/2019. Efeitos a partir de 1°.12.2018.)</t>
        </is>
      </c>
      <c r="L1141" s="29">
        <f>IF(D1141="NCM/SH","",COUNTIF($D$5:$D$1506,D1141))</f>
        <v/>
      </c>
    </row>
    <row r="1142" ht="15.75" customHeight="1" thickBot="1">
      <c r="A1142" s="1" t="inlineStr">
        <is>
          <t>21Cosmetico</t>
        </is>
      </c>
      <c r="B1142" s="164" t="inlineStr">
        <is>
          <t>36.0</t>
        </is>
      </c>
      <c r="C1142" s="35" t="inlineStr">
        <is>
          <t>20.036.00</t>
        </is>
      </c>
      <c r="D1142" s="35" t="inlineStr">
        <is>
          <t xml:space="preserve">3401.20.10 </t>
        </is>
      </c>
      <c r="E1142" s="35" t="n">
        <v>43</v>
      </c>
      <c r="F1142" s="35" t="n">
        <v>65.16</v>
      </c>
      <c r="G1142" s="35" t="n">
        <v>60</v>
      </c>
      <c r="H1142" s="35" t="n">
        <v>51.4</v>
      </c>
      <c r="I1142" s="35" t="inlineStr">
        <is>
          <t xml:space="preserve">Sabões de toucador sob outras formas </t>
        </is>
      </c>
      <c r="J1142" s="167" t="inlineStr">
        <is>
          <t>Lei nº 1.810, art. 49, § 1º, XXVIII</t>
        </is>
      </c>
      <c r="L1142" s="29">
        <f>IF(D1142="NCM/SH","",COUNTIF($D$5:$D$1506,D1142))</f>
        <v/>
      </c>
    </row>
    <row r="1143" ht="15.75" customHeight="1" thickBot="1">
      <c r="A1143" s="1" t="inlineStr">
        <is>
          <t>21Cosmetico</t>
        </is>
      </c>
      <c r="B1143" s="164" t="inlineStr">
        <is>
          <t>37.0</t>
        </is>
      </c>
      <c r="C1143" s="35" t="inlineStr">
        <is>
          <t>20.037.00</t>
        </is>
      </c>
      <c r="D1143" s="35" t="inlineStr">
        <is>
          <t xml:space="preserve">3401.30.00 </t>
        </is>
      </c>
      <c r="E1143" s="35" t="n">
        <v>43</v>
      </c>
      <c r="F1143" s="35" t="n">
        <v>65.16</v>
      </c>
      <c r="G1143" s="35" t="n">
        <v>60</v>
      </c>
      <c r="H1143" s="35" t="n">
        <v>51.4</v>
      </c>
      <c r="I1143" s="35" t="inlineStr">
        <is>
          <t xml:space="preserve">Produtos e preparações orgânicos tensoativos para lavagem da pele, na forma de líquido ou de creme, acondicionados para venda a retalho, mesmo contendo sabão </t>
        </is>
      </c>
      <c r="J1143" s="35" t="inlineStr">
        <is>
          <t>Lei 1.810, art. 49, § 1º, XXVIII</t>
        </is>
      </c>
      <c r="L1143" s="29">
        <f>IF(D1143="NCM/SH","",COUNTIF($D$5:$D$1506,D1143))</f>
        <v/>
      </c>
    </row>
    <row r="1144" ht="15.75" customHeight="1" thickBot="1">
      <c r="A1144" s="1" t="inlineStr">
        <is>
          <t>21Cosmetico</t>
        </is>
      </c>
      <c r="B1144" s="163" t="inlineStr">
        <is>
          <t>38.0</t>
        </is>
      </c>
      <c r="C1144" s="163" t="inlineStr">
        <is>
          <t>20.038.00</t>
        </is>
      </c>
      <c r="D1144" s="163" t="inlineStr">
        <is>
          <t xml:space="preserve">4014.90.10 </t>
        </is>
      </c>
      <c r="E1144" s="163" t="n">
        <v>43</v>
      </c>
      <c r="F1144" s="163" t="n">
        <v>65.16</v>
      </c>
      <c r="G1144" s="163" t="n">
        <v>60</v>
      </c>
      <c r="H1144" s="163" t="n">
        <v>51.4</v>
      </c>
      <c r="I1144" s="163" t="inlineStr">
        <is>
          <t xml:space="preserve">Bolsa para gelo ou para água quente </t>
        </is>
      </c>
      <c r="J1144" s="38" t="inlineStr">
        <is>
          <t>Lei nº 1.810, art. 49, § 1º, XXIX</t>
        </is>
      </c>
      <c r="L1144" s="29">
        <f>IF(D1144="NCM/SH","",COUNTIF($D$5:$D$1506,D1144))</f>
        <v/>
      </c>
    </row>
    <row r="1145" ht="15.75" customHeight="1" thickBot="1">
      <c r="A1145" s="1" t="inlineStr">
        <is>
          <t>21Cosmetico</t>
        </is>
      </c>
      <c r="B1145" s="164" t="inlineStr">
        <is>
          <t>39.0</t>
        </is>
      </c>
      <c r="C1145" s="35" t="inlineStr">
        <is>
          <t>20.039.00</t>
        </is>
      </c>
      <c r="D1145" s="35" t="inlineStr">
        <is>
          <t xml:space="preserve">4014.90.90 </t>
        </is>
      </c>
      <c r="E1145" s="35" t="n">
        <v>19.75</v>
      </c>
      <c r="F1145" s="35" t="n">
        <v>38.5</v>
      </c>
      <c r="G1145" s="35" t="n">
        <v>34.17</v>
      </c>
      <c r="H1145" s="35" t="n">
        <v>26.96</v>
      </c>
      <c r="I1145" s="35" t="inlineStr">
        <is>
          <t xml:space="preserve">Chupetas e bicos para mamadeiras e para chupetas, de borracha </t>
        </is>
      </c>
      <c r="J1145" s="38" t="inlineStr">
        <is>
          <t>Lei nº 1.810/97, art. 49, § 1º, IX; Protocolo ICMS 12/07; Protocolo ICMS 58/18</t>
        </is>
      </c>
      <c r="K1145" s="49" t="inlineStr">
        <is>
          <t>(Itens 39.0 e 40.0: nova redação dada pelo Decreto nº 15.295/2019. Efeitos a partir de 1º.12.2018.)</t>
        </is>
      </c>
      <c r="L1145" s="29">
        <f>IF(D1145="NCM/SH","",COUNTIF($D$5:$D$1506,D1145))</f>
        <v/>
      </c>
    </row>
    <row r="1146" ht="15.75" customHeight="1" thickBot="1">
      <c r="A1146" s="1" t="inlineStr">
        <is>
          <t>21Cosmetico</t>
        </is>
      </c>
      <c r="B1146" s="163" t="inlineStr">
        <is>
          <t>40.0</t>
        </is>
      </c>
      <c r="C1146" s="163" t="inlineStr">
        <is>
          <t>20.040.00</t>
        </is>
      </c>
      <c r="D1146" s="37" t="inlineStr">
        <is>
          <t>3924.90.00 3926.90.40</t>
        </is>
      </c>
      <c r="E1146" s="163" t="n">
        <v>19.75</v>
      </c>
      <c r="F1146" s="163" t="n">
        <v>38.5</v>
      </c>
      <c r="G1146" s="163" t="n">
        <v>34.17</v>
      </c>
      <c r="H1146" s="163" t="n">
        <v>26.96</v>
      </c>
      <c r="I1146" s="163" t="inlineStr">
        <is>
          <t>Chupetas e bicos para mamadeiras e para chupetas, de silicone</t>
        </is>
      </c>
      <c r="J1146" s="38" t="inlineStr">
        <is>
          <t>Lei nº 1.810/97, art. 49, § 1º, IX; Protocolo ICMS 12/07; Protocolo ICMS 58/18</t>
        </is>
      </c>
      <c r="K1146" s="49" t="inlineStr">
        <is>
          <t>(Itens 39.0 e 40.0: nova redação dada pelo Decreto nº 15.295/2019. Efeitos a partir de 1º.12.2018.)</t>
        </is>
      </c>
      <c r="L1146" s="29">
        <f>IF(D1146="NCM/SH","",COUNTIF($D$5:$D$1506,D1146))</f>
        <v/>
      </c>
    </row>
    <row r="1147" ht="15.75" customHeight="1" thickBot="1">
      <c r="A1147" s="1" t="inlineStr">
        <is>
          <t>21Cosmetico</t>
        </is>
      </c>
      <c r="B1147" s="164" t="n">
        <v>40</v>
      </c>
      <c r="C1147" s="164" t="inlineStr">
        <is>
          <t>20.040.00</t>
        </is>
      </c>
      <c r="D1147" s="35" t="inlineStr">
        <is>
          <t>3926.90.90</t>
        </is>
      </c>
      <c r="E1147" s="164" t="n">
        <v>19.75</v>
      </c>
      <c r="F1147" s="164" t="n">
        <v>38.5</v>
      </c>
      <c r="G1147" s="164" t="n">
        <v>34.17</v>
      </c>
      <c r="H1147" s="164" t="n">
        <v>26.96</v>
      </c>
      <c r="I1147" s="164" t="inlineStr">
        <is>
          <t>Chupetas e bicos para mamadeiras e para chupetas, de silicone</t>
        </is>
      </c>
      <c r="J1147" s="37" t="inlineStr">
        <is>
          <t>Lei nº 1.810/97, art. 49, § 1º, IX; Protocolo ICMS 12/07; Protocolo ICMS 58/18</t>
        </is>
      </c>
      <c r="K1147" s="49" t="inlineStr">
        <is>
          <t>(Itens 39.0 e 40.0: nova redação dada pelo Decreto nº 15.295/2019. Efeitos a partir de 1º.12.2018.)</t>
        </is>
      </c>
      <c r="L1147" s="29">
        <f>IF(D1147="NCM/SH","",COUNTIF($D$5:$D$1506,D1147))</f>
        <v/>
      </c>
    </row>
    <row r="1148" ht="15.75" customHeight="1" thickBot="1">
      <c r="A1148" s="1" t="inlineStr">
        <is>
          <t>21Cosmetico</t>
        </is>
      </c>
      <c r="B1148" s="164" t="inlineStr">
        <is>
          <t>41.0</t>
        </is>
      </c>
      <c r="C1148" s="35" t="inlineStr">
        <is>
          <t>20.041.00</t>
        </is>
      </c>
      <c r="D1148" s="35" t="inlineStr">
        <is>
          <t xml:space="preserve">4202.1 </t>
        </is>
      </c>
      <c r="E1148" s="35" t="n">
        <v>43</v>
      </c>
      <c r="F1148" s="35" t="n">
        <v>65.16</v>
      </c>
      <c r="G1148" s="35" t="n">
        <v>60</v>
      </c>
      <c r="H1148" s="35" t="n">
        <v>51.4</v>
      </c>
      <c r="I1148" s="35" t="inlineStr">
        <is>
          <t xml:space="preserve">Malas e maletas de toucador </t>
        </is>
      </c>
      <c r="J1148" s="38" t="inlineStr">
        <is>
          <t>Lei nº 1.810, art. 49, § 1º, XXIX</t>
        </is>
      </c>
      <c r="L1148" s="29">
        <f>IF(D1148="NCM/SH","",COUNTIF($D$5:$D$1506,D1148))</f>
        <v/>
      </c>
    </row>
    <row r="1149" ht="15.75" customHeight="1" thickBot="1">
      <c r="A1149" s="1" t="inlineStr">
        <is>
          <t>21Cosmetico</t>
        </is>
      </c>
      <c r="B1149" s="164" t="inlineStr">
        <is>
          <t>42.0</t>
        </is>
      </c>
      <c r="C1149" s="35" t="inlineStr">
        <is>
          <t>20.042.00</t>
        </is>
      </c>
      <c r="D1149" s="35" t="inlineStr">
        <is>
          <t xml:space="preserve">4818.10.00 </t>
        </is>
      </c>
      <c r="E1149" s="35" t="n">
        <v>43</v>
      </c>
      <c r="F1149" s="35" t="n">
        <v>65.16</v>
      </c>
      <c r="G1149" s="35" t="n">
        <v>60</v>
      </c>
      <c r="H1149" s="35" t="n">
        <v>51.4</v>
      </c>
      <c r="I1149" s="35" t="inlineStr">
        <is>
          <t xml:space="preserve">Papel higiênico - folha simples </t>
        </is>
      </c>
      <c r="J1149" s="38" t="inlineStr">
        <is>
          <t>Lei nº 1.810, art. 49, § 1º, XXIX</t>
        </is>
      </c>
      <c r="L1149" s="29">
        <f>IF(D1149="NCM/SH","",COUNTIF($D$5:$D$1506,D1149))</f>
        <v/>
      </c>
    </row>
    <row r="1150" ht="15.75" customHeight="1" thickBot="1">
      <c r="A1150" s="1" t="inlineStr">
        <is>
          <t>21Cosmetico</t>
        </is>
      </c>
      <c r="B1150" s="164" t="inlineStr">
        <is>
          <t>43.0</t>
        </is>
      </c>
      <c r="C1150" s="35" t="inlineStr">
        <is>
          <t>20.043.00</t>
        </is>
      </c>
      <c r="D1150" s="35" t="inlineStr">
        <is>
          <t xml:space="preserve">4818.10.00 </t>
        </is>
      </c>
      <c r="E1150" s="35" t="n">
        <v>43</v>
      </c>
      <c r="F1150" s="35" t="n">
        <v>65.16</v>
      </c>
      <c r="G1150" s="35" t="n">
        <v>60</v>
      </c>
      <c r="H1150" s="35" t="n">
        <v>51.4</v>
      </c>
      <c r="I1150" s="35" t="inlineStr">
        <is>
          <t xml:space="preserve">Papel higiênico - folha dupla e tripla </t>
        </is>
      </c>
      <c r="J1150" s="41" t="inlineStr">
        <is>
          <t>Lei nº 1.810, art. 49, § 1º, XXIX</t>
        </is>
      </c>
      <c r="L1150" s="29">
        <f>IF(D1150="NCM/SH","",COUNTIF($D$5:$D$1506,D1150))</f>
        <v/>
      </c>
    </row>
    <row r="1151" ht="15.75" customHeight="1" thickBot="1">
      <c r="A1151" s="1" t="inlineStr">
        <is>
          <t>21Cosmetico</t>
        </is>
      </c>
      <c r="B1151" s="164" t="inlineStr">
        <is>
          <t>44.0</t>
        </is>
      </c>
      <c r="C1151" s="35" t="inlineStr">
        <is>
          <t>20.044.00</t>
        </is>
      </c>
      <c r="D1151" s="35" t="inlineStr">
        <is>
          <t xml:space="preserve">4818.20.00 </t>
        </is>
      </c>
      <c r="E1151" s="35" t="n">
        <v>43</v>
      </c>
      <c r="F1151" s="35" t="n">
        <v>65.16</v>
      </c>
      <c r="G1151" s="35" t="n">
        <v>60</v>
      </c>
      <c r="H1151" s="35" t="n">
        <v>51.4</v>
      </c>
      <c r="I1151" s="35" t="inlineStr">
        <is>
          <t xml:space="preserve">Lenços (incluídos os de maquilagem) e toalhas de mão </t>
        </is>
      </c>
      <c r="J1151" s="35" t="inlineStr">
        <is>
          <t>Lei 1.810, art. 49, § 1º, XXVIII</t>
        </is>
      </c>
      <c r="L1151" s="29">
        <f>IF(D1151="NCM/SH","",COUNTIF($D$5:$D$1506,D1151))</f>
        <v/>
      </c>
    </row>
    <row r="1152" ht="15.75" customHeight="1" thickBot="1">
      <c r="A1152" s="1" t="inlineStr">
        <is>
          <t>21Cosmetico</t>
        </is>
      </c>
      <c r="B1152" s="164" t="inlineStr">
        <is>
          <t>45.0</t>
        </is>
      </c>
      <c r="C1152" s="35" t="inlineStr">
        <is>
          <t>20.045.00</t>
        </is>
      </c>
      <c r="D1152" s="35" t="inlineStr">
        <is>
          <t xml:space="preserve">4818.20.00 </t>
        </is>
      </c>
      <c r="E1152" s="35" t="n">
        <v>43</v>
      </c>
      <c r="F1152" s="35" t="n">
        <v>65.16</v>
      </c>
      <c r="G1152" s="35" t="n">
        <v>60</v>
      </c>
      <c r="H1152" s="35" t="n">
        <v>51.4</v>
      </c>
      <c r="I1152" s="35" t="inlineStr">
        <is>
          <t xml:space="preserve">Papel toalha de uso institucional do tipo comercializado em rolos igual ou superior a 80 metros e do tipo comercializado em folhas intercaladas </t>
        </is>
      </c>
      <c r="J1152" s="38" t="inlineStr">
        <is>
          <t>Lei nº 1.810, art. 49, § 1º, XXIX</t>
        </is>
      </c>
      <c r="L1152" s="29">
        <f>IF(D1152="NCM/SH","",COUNTIF($D$5:$D$1506,D1152))</f>
        <v/>
      </c>
    </row>
    <row r="1153" ht="15.75" customHeight="1" thickBot="1">
      <c r="A1153" s="1" t="inlineStr">
        <is>
          <t>21Cosmetico</t>
        </is>
      </c>
      <c r="B1153" s="164" t="inlineStr">
        <is>
          <t>46.0</t>
        </is>
      </c>
      <c r="C1153" s="35" t="inlineStr">
        <is>
          <t>20.046.00</t>
        </is>
      </c>
      <c r="D1153" s="35" t="inlineStr">
        <is>
          <t xml:space="preserve">4818.30.00 </t>
        </is>
      </c>
      <c r="E1153" s="35" t="n">
        <v>43</v>
      </c>
      <c r="F1153" s="35" t="n">
        <v>65.16</v>
      </c>
      <c r="G1153" s="35" t="n">
        <v>60</v>
      </c>
      <c r="H1153" s="35" t="n">
        <v>51.4</v>
      </c>
      <c r="I1153" s="35" t="inlineStr">
        <is>
          <t xml:space="preserve">Toalhas e guardanapos de mesa </t>
        </is>
      </c>
      <c r="J1153" s="38" t="inlineStr">
        <is>
          <t>Lei nº 1.810, art. 49, § 1º, XXIX</t>
        </is>
      </c>
      <c r="L1153" s="29">
        <f>IF(D1153="NCM/SH","",COUNTIF($D$5:$D$1506,D1153))</f>
        <v/>
      </c>
    </row>
    <row r="1154" ht="15.75" customHeight="1" thickBot="1">
      <c r="A1154" s="1" t="inlineStr">
        <is>
          <t>21Cosmetico</t>
        </is>
      </c>
      <c r="B1154" s="164" t="inlineStr">
        <is>
          <t>47.0</t>
        </is>
      </c>
      <c r="C1154" s="35" t="inlineStr">
        <is>
          <t>20.047.00</t>
        </is>
      </c>
      <c r="D1154" s="35" t="inlineStr">
        <is>
          <t xml:space="preserve">4818.90.90 </t>
        </is>
      </c>
      <c r="E1154" s="35" t="n">
        <v>43</v>
      </c>
      <c r="F1154" s="35" t="n">
        <v>65.16</v>
      </c>
      <c r="G1154" s="35" t="n">
        <v>60</v>
      </c>
      <c r="H1154" s="35" t="n">
        <v>51.4</v>
      </c>
      <c r="I1154" s="35" t="inlineStr">
        <is>
          <t>Toalhas de cozinha (papel toalha de uso doméstico)</t>
        </is>
      </c>
      <c r="J1154" s="41" t="inlineStr">
        <is>
          <t>Lei nº 1.810, art. 49, § 1º, XXIX</t>
        </is>
      </c>
      <c r="L1154" s="29">
        <f>IF(D1154="NCM/SH","",COUNTIF($D$5:$D$1506,D1154))</f>
        <v/>
      </c>
    </row>
    <row r="1155" ht="15.75" customHeight="1" thickBot="1">
      <c r="A1155" s="1" t="inlineStr">
        <is>
          <t>21Cosmetico</t>
        </is>
      </c>
      <c r="B1155" s="46" t="inlineStr">
        <is>
          <t>48.0</t>
        </is>
      </c>
      <c r="C1155" s="48" t="inlineStr">
        <is>
          <t>20.048.00</t>
        </is>
      </c>
      <c r="D1155" s="48" t="inlineStr">
        <is>
          <t>9619.00.00</t>
        </is>
      </c>
      <c r="E1155" s="35" t="n">
        <v>19.75</v>
      </c>
      <c r="F1155" s="35" t="n">
        <v>38.5</v>
      </c>
      <c r="G1155" s="35" t="n">
        <v>34.17</v>
      </c>
      <c r="H1155" s="35" t="n">
        <v>26.96</v>
      </c>
      <c r="I1155" s="48" t="inlineStr">
        <is>
          <t>Fraldas, exceto as descritas no CEST 20.048.01</t>
        </is>
      </c>
      <c r="J1155" s="38" t="inlineStr">
        <is>
          <t>Lei nº 1.810/97, art. 49, § 1º, IX; Protocolo ICMS 12/07; Protocolo ICMS 58/18</t>
        </is>
      </c>
      <c r="K1155" s="49" t="inlineStr">
        <is>
          <t>(Itens 48.0, 48.1, 49.0 e 50.0: nova redação dada pelo Decreto nº 15.295/2019. Efeitos a partir de 1º.12.2018.)</t>
        </is>
      </c>
      <c r="L1155" s="29">
        <f>IF(D1155="NCM/SH","",COUNTIF($D$5:$D$1506,D1155))</f>
        <v/>
      </c>
    </row>
    <row r="1156" ht="15.75" customHeight="1" thickBot="1">
      <c r="A1156" s="1" t="inlineStr">
        <is>
          <t>21Cosmetico</t>
        </is>
      </c>
      <c r="B1156" s="46" t="inlineStr">
        <is>
          <t>48.1</t>
        </is>
      </c>
      <c r="C1156" s="48" t="inlineStr">
        <is>
          <t>20.048.01</t>
        </is>
      </c>
      <c r="D1156" s="48" t="inlineStr">
        <is>
          <t>9619.00.00</t>
        </is>
      </c>
      <c r="E1156" s="35" t="n">
        <v>19.75</v>
      </c>
      <c r="F1156" s="35" t="n">
        <v>38.5</v>
      </c>
      <c r="G1156" s="35" t="n">
        <v>34.17</v>
      </c>
      <c r="H1156" s="35" t="n">
        <v>26.96</v>
      </c>
      <c r="I1156" s="48" t="inlineStr">
        <is>
          <t>Fraldas de fibras têxteis</t>
        </is>
      </c>
      <c r="J1156" s="38" t="inlineStr">
        <is>
          <t>Lei nº 1.810/97, art. 49, § 1º, IX; Protocolo ICMS 12/07; Protocolo ICMS 58/18</t>
        </is>
      </c>
      <c r="K1156" s="49" t="inlineStr">
        <is>
          <t>(Itens 48.0, 48.1, 49.0 e 50.0: nova redação dada pelo Decreto nº 15.295/2019. Efeitos a partir de 1º.12.2018.)</t>
        </is>
      </c>
      <c r="L1156" s="29">
        <f>IF(D1156="NCM/SH","",COUNTIF($D$5:$D$1506,D1156))</f>
        <v/>
      </c>
    </row>
    <row r="1157" ht="15.75" customHeight="1" thickBot="1">
      <c r="A1157" s="1" t="inlineStr">
        <is>
          <t>21Cosmetico</t>
        </is>
      </c>
      <c r="B1157" s="164" t="inlineStr">
        <is>
          <t>49.0</t>
        </is>
      </c>
      <c r="C1157" s="35" t="inlineStr">
        <is>
          <t>20.049.00</t>
        </is>
      </c>
      <c r="D1157" s="35" t="inlineStr">
        <is>
          <t xml:space="preserve">9619.00.00 </t>
        </is>
      </c>
      <c r="E1157" s="35" t="n">
        <v>19.75</v>
      </c>
      <c r="F1157" s="35" t="n">
        <v>38.5</v>
      </c>
      <c r="G1157" s="35" t="n">
        <v>34.17</v>
      </c>
      <c r="H1157" s="35" t="n">
        <v>26.96</v>
      </c>
      <c r="I1157" s="35" t="inlineStr">
        <is>
          <t xml:space="preserve">Tampões higiênicos </t>
        </is>
      </c>
      <c r="J1157" s="37" t="inlineStr">
        <is>
          <t>Lei nº 1.810/97, art. 49, § 1º, IX; Protocolo ICMS 12/07; Protocolo ICMS 58/18</t>
        </is>
      </c>
      <c r="K1157" s="49" t="inlineStr">
        <is>
          <t>(Itens 48.0, 48.1, 49.0 e 50.0: nova redação dada pelo Decreto nº 15.295/2019. Efeitos a partir de 1º.12.2018.)</t>
        </is>
      </c>
      <c r="L1157" s="29">
        <f>IF(D1157="NCM/SH","",COUNTIF($D$5:$D$1506,D1157))</f>
        <v/>
      </c>
    </row>
    <row r="1158" ht="15.75" customHeight="1" thickBot="1">
      <c r="A1158" s="1" t="inlineStr">
        <is>
          <t>21Cosmetico</t>
        </is>
      </c>
      <c r="B1158" s="164" t="inlineStr">
        <is>
          <t>50.0</t>
        </is>
      </c>
      <c r="C1158" s="35" t="inlineStr">
        <is>
          <t>20.050.00</t>
        </is>
      </c>
      <c r="D1158" s="35" t="inlineStr">
        <is>
          <t xml:space="preserve">9619.00.00 </t>
        </is>
      </c>
      <c r="E1158" s="35" t="n">
        <v>19.75</v>
      </c>
      <c r="F1158" s="35" t="n">
        <v>38.5</v>
      </c>
      <c r="G1158" s="35" t="n">
        <v>34.17</v>
      </c>
      <c r="H1158" s="35" t="n">
        <v>26.96</v>
      </c>
      <c r="I1158" s="35" t="inlineStr">
        <is>
          <t xml:space="preserve">Absorventes higiênicos externos </t>
        </is>
      </c>
      <c r="J1158" s="40" t="inlineStr">
        <is>
          <t>Lei nº 1.810/97, art. 49, § 1º, IX; Protocolo ICMS 12/07; Protocolo ICMS 58/18</t>
        </is>
      </c>
      <c r="K1158" s="49" t="inlineStr">
        <is>
          <t>(Itens 48.0, 48.1, 49.0 e 50.0: nova redação dada pelo Decreto nº 15.295/2019. Efeitos a partir de 1º.12.2018.)</t>
        </is>
      </c>
      <c r="L1158" s="29">
        <f>IF(D1158="NCM/SH","",COUNTIF($D$5:$D$1506,D1158))</f>
        <v/>
      </c>
    </row>
    <row r="1159" ht="15" customHeight="1" thickBot="1">
      <c r="A1159" s="1" t="inlineStr">
        <is>
          <t>21Cosmetico</t>
        </is>
      </c>
      <c r="B1159" s="164" t="inlineStr">
        <is>
          <t>51.0</t>
        </is>
      </c>
      <c r="C1159" s="35" t="inlineStr">
        <is>
          <t>20.051.00</t>
        </is>
      </c>
      <c r="D1159" s="35" t="inlineStr">
        <is>
          <t xml:space="preserve">5601.21.90 </t>
        </is>
      </c>
      <c r="E1159" s="35" t="n">
        <v>33.05</v>
      </c>
      <c r="F1159" s="35" t="n">
        <v>53.89</v>
      </c>
      <c r="G1159" s="35" t="n">
        <v>49.08</v>
      </c>
      <c r="H1159" s="35" t="n">
        <v>41.07</v>
      </c>
      <c r="I1159" s="35" t="inlineStr">
        <is>
          <t xml:space="preserve">Hastes flexíveis (uso não medicinal) </t>
        </is>
      </c>
      <c r="J1159" s="42" t="inlineStr">
        <is>
          <t>Lei nº 1.810/97, art. 49, § 1º, IX; Protocolo ICMS 58/18</t>
        </is>
      </c>
      <c r="K1159" s="49" t="inlineStr">
        <is>
          <t>(Item 51.0: nova redação dada pelo Decreto nº 15.295/2019. Efeitos a partir de 1º.12.2018.)</t>
        </is>
      </c>
      <c r="L1159" s="29">
        <f>IF(D1159="NCM/SH","",COUNTIF($D$5:$D$1506,D1159))</f>
        <v/>
      </c>
    </row>
    <row r="1160" ht="14.45" customHeight="1" thickBot="1">
      <c r="A1160" s="1" t="inlineStr">
        <is>
          <t>21Cosmetico</t>
        </is>
      </c>
      <c r="B1160" s="163" t="inlineStr">
        <is>
          <t>52.0</t>
        </is>
      </c>
      <c r="C1160" s="163" t="inlineStr">
        <is>
          <t>20.052.00</t>
        </is>
      </c>
      <c r="D1160" s="163" t="inlineStr">
        <is>
          <t xml:space="preserve">5603.92.90 </t>
        </is>
      </c>
      <c r="E1160" s="163" t="n">
        <v>43</v>
      </c>
      <c r="F1160" s="163" t="n">
        <v>65.16</v>
      </c>
      <c r="G1160" s="163" t="n">
        <v>60</v>
      </c>
      <c r="H1160" s="163" t="n">
        <v>51.4</v>
      </c>
      <c r="I1160" s="163" t="inlineStr">
        <is>
          <t xml:space="preserve">Sutiã descartável, assemelhados e papel para depilação </t>
        </is>
      </c>
      <c r="J1160" s="38" t="inlineStr">
        <is>
          <t>Lei nº 1.810, art. 49, § 1º, XXIX</t>
        </is>
      </c>
      <c r="L1160" s="29">
        <f>IF(D1160="NCM/SH","",COUNTIF($D$5:$D$1506,D1160))</f>
        <v/>
      </c>
    </row>
    <row r="1161" ht="15.75" customHeight="1" thickBot="1">
      <c r="A1161" s="1" t="inlineStr">
        <is>
          <t>21Cosmetico</t>
        </is>
      </c>
      <c r="B1161" s="164" t="inlineStr">
        <is>
          <t>53.0</t>
        </is>
      </c>
      <c r="C1161" s="35" t="inlineStr">
        <is>
          <t>20.053.00</t>
        </is>
      </c>
      <c r="D1161" s="35" t="inlineStr">
        <is>
          <t xml:space="preserve">8203.20.90 </t>
        </is>
      </c>
      <c r="E1161" s="35" t="n">
        <v>43</v>
      </c>
      <c r="F1161" s="35" t="n">
        <v>65.16</v>
      </c>
      <c r="G1161" s="35" t="n">
        <v>60</v>
      </c>
      <c r="H1161" s="35" t="n">
        <v>51.4</v>
      </c>
      <c r="I1161" s="35" t="inlineStr">
        <is>
          <t xml:space="preserve">Pinças para sobrancelhas </t>
        </is>
      </c>
      <c r="J1161" s="163" t="inlineStr">
        <is>
          <t>Lei 1.810, art. 49, § 1º, XXVIII</t>
        </is>
      </c>
      <c r="L1161" s="29">
        <f>IF(D1161="NCM/SH","",COUNTIF($D$5:$D$1506,D1161))</f>
        <v/>
      </c>
    </row>
    <row r="1162" ht="15.75" customHeight="1" thickBot="1">
      <c r="A1162" s="1" t="inlineStr">
        <is>
          <t>21Cosmetico</t>
        </is>
      </c>
      <c r="B1162" s="164" t="inlineStr">
        <is>
          <t>54.0</t>
        </is>
      </c>
      <c r="C1162" s="35" t="inlineStr">
        <is>
          <t>20.054.00</t>
        </is>
      </c>
      <c r="D1162" s="35" t="inlineStr">
        <is>
          <t xml:space="preserve">8214.10.00 </t>
        </is>
      </c>
      <c r="E1162" s="35" t="n">
        <v>43</v>
      </c>
      <c r="F1162" s="35" t="n">
        <v>65.16</v>
      </c>
      <c r="G1162" s="35" t="n">
        <v>60</v>
      </c>
      <c r="H1162" s="35" t="n">
        <v>51.4</v>
      </c>
      <c r="I1162" s="35" t="inlineStr">
        <is>
          <t xml:space="preserve">Espátulas (artigos de cutelaria) </t>
        </is>
      </c>
      <c r="J1162" s="44" t="inlineStr">
        <is>
          <t>Lei 1.810, art. 49, § 1º, XXVIII</t>
        </is>
      </c>
      <c r="L1162" s="29">
        <f>IF(D1162="NCM/SH","",COUNTIF($D$5:$D$1506,D1162))</f>
        <v/>
      </c>
    </row>
    <row r="1163" ht="15.75" customHeight="1" thickBot="1">
      <c r="A1163" s="1" t="inlineStr">
        <is>
          <t>21Cosmetico</t>
        </is>
      </c>
      <c r="B1163" s="164" t="inlineStr">
        <is>
          <t>55.0</t>
        </is>
      </c>
      <c r="C1163" s="35" t="inlineStr">
        <is>
          <t>20.055.00</t>
        </is>
      </c>
      <c r="D1163" s="35" t="inlineStr">
        <is>
          <t xml:space="preserve">8214.20.00 </t>
        </is>
      </c>
      <c r="E1163" s="35" t="n">
        <v>43</v>
      </c>
      <c r="F1163" s="35" t="n">
        <v>65.16</v>
      </c>
      <c r="G1163" s="35" t="n">
        <v>60</v>
      </c>
      <c r="H1163" s="35" t="n">
        <v>51.4</v>
      </c>
      <c r="I1163" s="35" t="inlineStr">
        <is>
          <t xml:space="preserve">Utensílios e sortidos de utensílios de manicuros ou de pedicuros (incluídas as limas para unhas) </t>
        </is>
      </c>
      <c r="J1163" s="164" t="inlineStr">
        <is>
          <t>Lei 1.810, art. 49, § 1º, XXVIII</t>
        </is>
      </c>
      <c r="L1163" s="29">
        <f>IF(D1163="NCM/SH","",COUNTIF($D$5:$D$1506,D1163))</f>
        <v/>
      </c>
    </row>
    <row r="1164">
      <c r="A1164" s="1" t="inlineStr">
        <is>
          <t>21Cosmetico</t>
        </is>
      </c>
      <c r="B1164" s="163" t="inlineStr">
        <is>
          <t>56.0</t>
        </is>
      </c>
      <c r="C1164" s="163" t="inlineStr">
        <is>
          <t>20.056.00</t>
        </is>
      </c>
      <c r="D1164" s="37" t="inlineStr">
        <is>
          <t>9025.11.10</t>
        </is>
      </c>
      <c r="E1164" s="163" t="n">
        <v>43</v>
      </c>
      <c r="F1164" s="163" t="n">
        <v>65.16</v>
      </c>
      <c r="G1164" s="163" t="n">
        <v>60</v>
      </c>
      <c r="H1164" s="163" t="n">
        <v>51.4</v>
      </c>
      <c r="I1164" s="163" t="inlineStr">
        <is>
          <t xml:space="preserve">Termômetros, inclusive o digital </t>
        </is>
      </c>
      <c r="J1164" s="38" t="inlineStr">
        <is>
          <t>Lei nº 1.810, art. 49, § 1º, XXIX</t>
        </is>
      </c>
      <c r="L1164" s="29">
        <f>IF(D1164="NCM/SH","",COUNTIF($D$5:$D$1506,D1164))</f>
        <v/>
      </c>
    </row>
    <row r="1165" ht="15.75" customHeight="1" thickBot="1">
      <c r="A1165" s="1" t="inlineStr">
        <is>
          <t>21Cosmetico</t>
        </is>
      </c>
      <c r="B1165" s="164" t="n">
        <v>56</v>
      </c>
      <c r="C1165" s="164" t="inlineStr">
        <is>
          <t>20.056.00</t>
        </is>
      </c>
      <c r="D1165" s="35" t="inlineStr">
        <is>
          <t>9025.19.90</t>
        </is>
      </c>
      <c r="E1165" s="164" t="n">
        <v>43</v>
      </c>
      <c r="F1165" s="164" t="n">
        <v>65.16</v>
      </c>
      <c r="G1165" s="164" t="n">
        <v>60</v>
      </c>
      <c r="H1165" s="164" t="n">
        <v>51.4</v>
      </c>
      <c r="I1165" s="164" t="inlineStr">
        <is>
          <t xml:space="preserve">Termômetros, inclusive o digital </t>
        </is>
      </c>
      <c r="J1165" s="48" t="inlineStr">
        <is>
          <t>Lei nº 1.810, art. 49, § 1º, XXIX</t>
        </is>
      </c>
      <c r="L1165" s="29">
        <f>IF(D1165="NCM/SH","",COUNTIF($D$5:$D$1506,D1165))</f>
        <v/>
      </c>
    </row>
    <row r="1166" ht="15.75" customHeight="1" thickBot="1">
      <c r="A1166" s="1" t="inlineStr">
        <is>
          <t>21Cosmetico</t>
        </is>
      </c>
      <c r="B1166" s="164" t="inlineStr">
        <is>
          <t>57.0</t>
        </is>
      </c>
      <c r="C1166" s="35" t="inlineStr">
        <is>
          <t>20.057.00</t>
        </is>
      </c>
      <c r="D1166" s="35" t="inlineStr">
        <is>
          <t xml:space="preserve">9603.2 </t>
        </is>
      </c>
      <c r="E1166" s="35" t="n">
        <v>43</v>
      </c>
      <c r="F1166" s="35" t="n">
        <v>65.16</v>
      </c>
      <c r="G1166" s="35" t="n">
        <v>60</v>
      </c>
      <c r="H1166" s="35" t="n">
        <v>51.4</v>
      </c>
      <c r="I1166" s="35" t="inlineStr">
        <is>
          <t xml:space="preserve">Escovas e pincéis de barba, escovas para cabelos, para cílios ou para unhas e outras escovas de toucador de pessoas, incluídas as que sejam partes de aparelhos, exceto escovas de dentes </t>
        </is>
      </c>
      <c r="J1166" s="35" t="inlineStr">
        <is>
          <t>Lei 1.810, art. 49, § 1º, XXVIII</t>
        </is>
      </c>
      <c r="L1166" s="29">
        <f>IF(D1166="NCM/SH","",COUNTIF($D$5:$D$1506,D1166))</f>
        <v/>
      </c>
    </row>
    <row r="1167" ht="14.45" customHeight="1" thickBot="1">
      <c r="A1167" s="1" t="inlineStr">
        <is>
          <t>21Cosmetico</t>
        </is>
      </c>
      <c r="B1167" s="163" t="inlineStr">
        <is>
          <t>58.0</t>
        </is>
      </c>
      <c r="C1167" s="163" t="inlineStr">
        <is>
          <t>20.058.00</t>
        </is>
      </c>
      <c r="D1167" s="163" t="inlineStr">
        <is>
          <t>9603.21.00</t>
        </is>
      </c>
      <c r="E1167" s="163" t="n">
        <v>19.75</v>
      </c>
      <c r="F1167" s="163" t="n">
        <v>38.5</v>
      </c>
      <c r="G1167" s="163" t="n">
        <v>34.17</v>
      </c>
      <c r="H1167" s="163" t="n">
        <v>26.96</v>
      </c>
      <c r="I1167" s="163" t="inlineStr">
        <is>
          <t>Escovas de dentes, incluídas as escovas para dentaduras</t>
        </is>
      </c>
      <c r="J1167" s="38" t="inlineStr">
        <is>
          <t>Lei nº 1.810/97, art. 49, § 1º, IX; Protocolo ICMS 12/07; Protocolo ICMS 58/18</t>
        </is>
      </c>
      <c r="K1167" s="49" t="inlineStr">
        <is>
          <t>(Item 58.0: nova redação dada pelo Decreto nº 15.295/2019. Efeitos a partir de 1º.12.2018.)</t>
        </is>
      </c>
      <c r="L1167" s="29">
        <f>IF(D1167="NCM/SH","",COUNTIF($D$5:$D$1506,D1167))</f>
        <v/>
      </c>
    </row>
    <row r="1168" ht="15.75" customHeight="1" thickBot="1">
      <c r="A1168" s="1" t="inlineStr">
        <is>
          <t>21Cosmetico</t>
        </is>
      </c>
      <c r="B1168" s="164" t="inlineStr">
        <is>
          <t>59.0</t>
        </is>
      </c>
      <c r="C1168" s="35" t="inlineStr">
        <is>
          <t>20.059.00</t>
        </is>
      </c>
      <c r="D1168" s="35" t="inlineStr">
        <is>
          <t xml:space="preserve">9603.30.00 </t>
        </is>
      </c>
      <c r="E1168" s="35" t="n">
        <v>43</v>
      </c>
      <c r="F1168" s="35" t="n">
        <v>65.16</v>
      </c>
      <c r="G1168" s="35" t="n">
        <v>60</v>
      </c>
      <c r="H1168" s="35" t="n">
        <v>51.4</v>
      </c>
      <c r="I1168" s="35" t="inlineStr">
        <is>
          <t xml:space="preserve">Pincéis para aplicação de produtos cosméticos </t>
        </is>
      </c>
      <c r="J1168" s="163" t="inlineStr">
        <is>
          <t>Lei nº 1.810, art. 49, § 1º, XXVIII</t>
        </is>
      </c>
      <c r="L1168" s="29">
        <f>IF(D1168="NCM/SH","",COUNTIF($D$5:$D$1506,D1168))</f>
        <v/>
      </c>
    </row>
    <row r="1169" ht="15.75" customHeight="1" thickBot="1">
      <c r="A1169" s="1" t="inlineStr">
        <is>
          <t>21Cosmetico</t>
        </is>
      </c>
      <c r="B1169" s="164" t="inlineStr">
        <is>
          <t>60.0</t>
        </is>
      </c>
      <c r="C1169" s="35" t="inlineStr">
        <is>
          <t>20.060.00</t>
        </is>
      </c>
      <c r="D1169" s="35" t="inlineStr">
        <is>
          <t xml:space="preserve">9605.00.00 </t>
        </is>
      </c>
      <c r="E1169" s="35" t="n">
        <v>43</v>
      </c>
      <c r="F1169" s="35" t="n">
        <v>65.16</v>
      </c>
      <c r="G1169" s="35" t="n">
        <v>60</v>
      </c>
      <c r="H1169" s="35" t="n">
        <v>51.4</v>
      </c>
      <c r="I1169" s="35" t="inlineStr">
        <is>
          <t xml:space="preserve">Sortidos de viagem, para toucador de pessoas para costura ou para limpeza de calçado ou de roupas </t>
        </is>
      </c>
      <c r="J1169" s="44" t="inlineStr">
        <is>
          <t>Lei nº 1.810, art. 49, § 1º, XXVIII</t>
        </is>
      </c>
      <c r="L1169" s="29">
        <f>IF(D1169="NCM/SH","",COUNTIF($D$5:$D$1506,D1169))</f>
        <v/>
      </c>
    </row>
    <row r="1170" ht="15.75" customHeight="1" thickBot="1">
      <c r="A1170" s="1" t="inlineStr">
        <is>
          <t>21Cosmetico</t>
        </is>
      </c>
      <c r="B1170" s="164" t="inlineStr">
        <is>
          <t>61.0</t>
        </is>
      </c>
      <c r="C1170" s="35" t="inlineStr">
        <is>
          <t>20.061.00</t>
        </is>
      </c>
      <c r="D1170" s="35" t="n">
        <v>9615</v>
      </c>
      <c r="E1170" s="35" t="n">
        <v>43</v>
      </c>
      <c r="F1170" s="35" t="n">
        <v>65.16</v>
      </c>
      <c r="G1170" s="35" t="n">
        <v>60</v>
      </c>
      <c r="H1170" s="35" t="n">
        <v>51.4</v>
      </c>
      <c r="I1170" s="35" t="inlineStr">
        <is>
          <t xml:space="preserve">Pentes, travessas para cabelo e artigos semelhantes; grampos (alfinetes) para cabelo; pinças (pinceguiches), onduladores, bobes (rolos) e artefatos semelhantes para penteados, e suas partes, exceto os classificados na posição 8516 e suas partes </t>
        </is>
      </c>
      <c r="J1170" s="44" t="inlineStr">
        <is>
          <t>Lei nº 1.810, art. 49, § 1º, XXVIII</t>
        </is>
      </c>
      <c r="L1170" s="29">
        <f>IF(D1170="NCM/SH","",COUNTIF($D$5:$D$1506,D1170))</f>
        <v/>
      </c>
    </row>
    <row r="1171" ht="15.75" customHeight="1" thickBot="1">
      <c r="A1171" s="1" t="inlineStr">
        <is>
          <t>21Cosmetico</t>
        </is>
      </c>
      <c r="B1171" s="164" t="inlineStr">
        <is>
          <t>62.0</t>
        </is>
      </c>
      <c r="C1171" s="35" t="inlineStr">
        <is>
          <t>20.062.00</t>
        </is>
      </c>
      <c r="D1171" s="35" t="inlineStr">
        <is>
          <t xml:space="preserve">9616.20.00 </t>
        </is>
      </c>
      <c r="E1171" s="35" t="n">
        <v>43</v>
      </c>
      <c r="F1171" s="35" t="n">
        <v>65.16</v>
      </c>
      <c r="G1171" s="35" t="n">
        <v>60</v>
      </c>
      <c r="H1171" s="35" t="n">
        <v>51.4</v>
      </c>
      <c r="I1171" s="35" t="inlineStr">
        <is>
          <t xml:space="preserve">Borlas ou esponjas para pós ou para aplicação de outros cosméticos ou de produtos de toucador </t>
        </is>
      </c>
      <c r="J1171" s="164" t="inlineStr">
        <is>
          <t>Lei nº 1.810, art. 49, § 1º, XXVIII</t>
        </is>
      </c>
      <c r="L1171" s="29">
        <f>IF(D1171="NCM/SH","",COUNTIF($D$5:$D$1506,D1171))</f>
        <v/>
      </c>
    </row>
    <row r="1172" ht="15.75" customHeight="1" thickBot="1">
      <c r="A1172" s="1" t="inlineStr">
        <is>
          <t>21Cosmetico</t>
        </is>
      </c>
      <c r="B1172" s="163" t="inlineStr">
        <is>
          <t>63.0</t>
        </is>
      </c>
      <c r="C1172" s="163" t="inlineStr">
        <is>
          <t>20.063.00</t>
        </is>
      </c>
      <c r="D1172" s="38" t="inlineStr">
        <is>
          <t>3923.30.90</t>
        </is>
      </c>
      <c r="E1172" s="163" t="n">
        <v>19.75</v>
      </c>
      <c r="F1172" s="163" t="n">
        <v>38.5</v>
      </c>
      <c r="G1172" s="163" t="n">
        <v>34.17</v>
      </c>
      <c r="H1172" s="163" t="n">
        <v>26.96</v>
      </c>
      <c r="I1172" s="163" t="inlineStr">
        <is>
          <t xml:space="preserve">Mamadeiras </t>
        </is>
      </c>
      <c r="J1172" s="97" t="inlineStr">
        <is>
          <t>Lei nº 1.810/97, art. 49, § 1º, IX; Protocolo ICMS 12/07; Protocolo ICMS 58/18</t>
        </is>
      </c>
      <c r="K1172" s="47" t="inlineStr">
        <is>
          <t>(Item 63.0: nova redação dada pelo Decreto nº 16.048/2022. Efeitos a partir de 1º.11.2022.)</t>
        </is>
      </c>
      <c r="L1172" s="29">
        <f>IF(D1172="NCM/SH","",COUNTIF($D$5:$D$1506,D1172))</f>
        <v/>
      </c>
    </row>
    <row r="1173" ht="15.75" customHeight="1" thickBot="1">
      <c r="A1173" s="1" t="inlineStr">
        <is>
          <t>21Cosmetico</t>
        </is>
      </c>
      <c r="B1173" s="44" t="n">
        <v>63</v>
      </c>
      <c r="C1173" s="44" t="inlineStr">
        <is>
          <t>20.063.00</t>
        </is>
      </c>
      <c r="D1173" s="38" t="inlineStr">
        <is>
          <t>3924.10.00</t>
        </is>
      </c>
      <c r="E1173" s="44" t="n">
        <v>19.75</v>
      </c>
      <c r="F1173" s="44" t="n">
        <v>38.5</v>
      </c>
      <c r="G1173" s="44" t="n">
        <v>34.17</v>
      </c>
      <c r="H1173" s="44" t="n">
        <v>26.96</v>
      </c>
      <c r="I1173" s="44" t="inlineStr">
        <is>
          <t xml:space="preserve">Mamadeiras </t>
        </is>
      </c>
      <c r="J1173" s="97" t="inlineStr">
        <is>
          <t>Lei nº 1.810/97, art. 49, § 1º, IX; Protocolo ICMS 12/07; Protocolo ICMS 58/18</t>
        </is>
      </c>
      <c r="K1173" s="47" t="inlineStr">
        <is>
          <t>(Item 63.0: nova redação dada pelo Decreto nº 16.048/2022. Efeitos a partir de 1º.11.2022.)</t>
        </is>
      </c>
      <c r="L1173" s="29">
        <f>IF(D1173="NCM/SH","",COUNTIF($D$5:$D$1506,D1173))</f>
        <v/>
      </c>
    </row>
    <row r="1174" ht="15.75" customHeight="1" thickBot="1">
      <c r="A1174" s="1" t="inlineStr">
        <is>
          <t>21Cosmetico</t>
        </is>
      </c>
      <c r="B1174" s="44" t="n">
        <v>63</v>
      </c>
      <c r="C1174" s="44" t="inlineStr">
        <is>
          <t>20.063.00</t>
        </is>
      </c>
      <c r="D1174" s="38" t="inlineStr">
        <is>
          <t>3924.90.00</t>
        </is>
      </c>
      <c r="E1174" s="44" t="n">
        <v>19.75</v>
      </c>
      <c r="F1174" s="44" t="n">
        <v>38.5</v>
      </c>
      <c r="G1174" s="44" t="n">
        <v>34.17</v>
      </c>
      <c r="H1174" s="44" t="n">
        <v>26.96</v>
      </c>
      <c r="I1174" s="44" t="inlineStr">
        <is>
          <t xml:space="preserve">Mamadeiras </t>
        </is>
      </c>
      <c r="J1174" s="75" t="inlineStr">
        <is>
          <t>Lei nº 1.810/97, art. 49, § 1º, IX; Protocolo ICMS 12/07; Protocolo ICMS 58/18</t>
        </is>
      </c>
      <c r="K1174" s="47" t="inlineStr">
        <is>
          <t>(Item 63.0: nova redação dada pelo Decreto nº 16.048/2022. Efeitos a partir de 1º.11.2022.)</t>
        </is>
      </c>
      <c r="L1174" s="29">
        <f>IF(D1174="NCM/SH","",COUNTIF($D$5:$D$1506,D1174))</f>
        <v/>
      </c>
    </row>
    <row r="1175" ht="15.75" customHeight="1" thickBot="1">
      <c r="A1175" s="1" t="inlineStr">
        <is>
          <t>21Cosmetico</t>
        </is>
      </c>
      <c r="B1175" s="44" t="n">
        <v>63</v>
      </c>
      <c r="C1175" s="44" t="inlineStr">
        <is>
          <t>20.063.00</t>
        </is>
      </c>
      <c r="D1175" s="38" t="inlineStr">
        <is>
          <t>4014.90.90</t>
        </is>
      </c>
      <c r="E1175" s="44" t="n">
        <v>19.75</v>
      </c>
      <c r="F1175" s="44" t="n">
        <v>38.5</v>
      </c>
      <c r="G1175" s="44" t="n">
        <v>34.17</v>
      </c>
      <c r="H1175" s="44" t="n">
        <v>26.96</v>
      </c>
      <c r="I1175" s="44" t="inlineStr">
        <is>
          <t xml:space="preserve">Mamadeiras </t>
        </is>
      </c>
      <c r="J1175" s="40" t="inlineStr">
        <is>
          <t>Lei nº 1.810/97, art. 49, § 1º, IX; Protocolo ICMS 12/07; Protocolo ICMS 58/18</t>
        </is>
      </c>
      <c r="K1175" s="47" t="inlineStr">
        <is>
          <t>(Item 63.0: nova redação dada pelo Decreto nº 16.048/2022. Efeitos a partir de 1º.11.2022.)</t>
        </is>
      </c>
      <c r="L1175" s="29">
        <f>IF(D1175="NCM/SH","",COUNTIF($D$5:$D$1506,D1175))</f>
        <v/>
      </c>
    </row>
    <row r="1176" ht="15.75" customHeight="1" thickBot="1">
      <c r="A1176" s="1" t="inlineStr">
        <is>
          <t>21Cosmetico</t>
        </is>
      </c>
      <c r="B1176" s="164" t="n">
        <v>63</v>
      </c>
      <c r="C1176" s="164" t="inlineStr">
        <is>
          <t>20.063.00</t>
        </is>
      </c>
      <c r="D1176" s="48" t="n">
        <v>7013</v>
      </c>
      <c r="E1176" s="164" t="n">
        <v>19.75</v>
      </c>
      <c r="F1176" s="164" t="n">
        <v>38.5</v>
      </c>
      <c r="G1176" s="164" t="n">
        <v>34.17</v>
      </c>
      <c r="H1176" s="164" t="n">
        <v>26.96</v>
      </c>
      <c r="I1176" s="164" t="inlineStr">
        <is>
          <t xml:space="preserve">Mamadeiras </t>
        </is>
      </c>
      <c r="J1176" s="40" t="inlineStr">
        <is>
          <t>Lei nº 1.810/97, art. 49, § 1º, IX; Protocolo ICMS 12/07; Protocolo ICMS 58/18</t>
        </is>
      </c>
      <c r="K1176" s="47" t="inlineStr">
        <is>
          <t>(Item 63.0: nova redação dada pelo Decreto nº 16.048/2022. Efeitos a partir de 1º.11.2022.)</t>
        </is>
      </c>
      <c r="L1176" s="29">
        <f>IF(D1176="NCM/SH","",COUNTIF($D$5:$D$1506,D1176))</f>
        <v/>
      </c>
    </row>
    <row r="1177" ht="14.45" customHeight="1" thickBot="1">
      <c r="A1177" s="1" t="inlineStr">
        <is>
          <t>21Cosmetico</t>
        </is>
      </c>
      <c r="B1177" s="163" t="inlineStr">
        <is>
          <t>64.0</t>
        </is>
      </c>
      <c r="C1177" s="163" t="inlineStr">
        <is>
          <t>20.064.00</t>
        </is>
      </c>
      <c r="D1177" s="163" t="inlineStr">
        <is>
          <t>8212.10.20 8212.20.10</t>
        </is>
      </c>
      <c r="E1177" s="163" t="n">
        <v>30</v>
      </c>
      <c r="F1177" s="163" t="n">
        <v>50.36</v>
      </c>
      <c r="G1177" s="163" t="n">
        <v>45.66</v>
      </c>
      <c r="H1177" s="163" t="n">
        <v>37.83</v>
      </c>
      <c r="I1177" s="163" t="inlineStr">
        <is>
          <t>Aparelhos e lâminas de barbear</t>
        </is>
      </c>
      <c r="J1177" s="38" t="inlineStr">
        <is>
          <t>Lei nº 1.810, art. 49, § 1º, III; Protocolo ICM 16/85</t>
        </is>
      </c>
      <c r="L1177" s="29">
        <f>IF(D1177="NCM/SH","",COUNTIF($D$5:$D$1506,D1177))</f>
        <v/>
      </c>
    </row>
    <row r="1178" ht="15.75" customHeight="1" thickBot="1">
      <c r="A1178" s="1" t="inlineStr">
        <is>
          <t>21Cosmetico</t>
        </is>
      </c>
      <c r="B1178" s="164" t="inlineStr">
        <is>
          <t>65.0</t>
        </is>
      </c>
      <c r="C1178" s="48" t="inlineStr">
        <is>
          <t>20.065.00</t>
        </is>
      </c>
      <c r="D1178" s="35" t="inlineStr">
        <is>
          <t>5601.21.10</t>
        </is>
      </c>
      <c r="E1178" s="48" t="n">
        <v>43</v>
      </c>
      <c r="F1178" s="48" t="n">
        <v>65.16</v>
      </c>
      <c r="G1178" s="48" t="n">
        <v>60</v>
      </c>
      <c r="H1178" s="48" t="n">
        <v>51.4</v>
      </c>
      <c r="I1178" s="48" t="inlineStr">
        <is>
          <t>Algodão hidrófilo, não estéril, destinado à higiene pessoal.</t>
        </is>
      </c>
      <c r="J1178" s="38" t="inlineStr">
        <is>
          <t>Lei nº 1.810, art. 49, § 1º, III.</t>
        </is>
      </c>
      <c r="K1178" s="47" t="inlineStr">
        <is>
          <t>(Item 65.0: acrescentado pelo Decreto nº 16.048/2022. Efeitos a partir de 1º.5.2023.)</t>
        </is>
      </c>
      <c r="L1178" s="29">
        <f>IF(D1178="NCM/SH","",COUNTIF($D$5:$D$1506,D1178))</f>
        <v/>
      </c>
    </row>
    <row r="1179">
      <c r="B1179" s="28" t="n"/>
      <c r="L1179" s="29">
        <f>IF(D1179="NCM/SH","",COUNTIF($D$5:$D$1506,D1179))</f>
        <v/>
      </c>
    </row>
    <row r="1180">
      <c r="B1180" s="28" t="n"/>
      <c r="L1180" s="29">
        <f>IF(D1180="NCM/SH","",COUNTIF($D$5:$D$1506,D1180))</f>
        <v/>
      </c>
    </row>
    <row r="1181" ht="15.75" customHeight="1" thickBot="1">
      <c r="A1181" s="1" t="inlineStr">
        <is>
          <t>22Eletron</t>
        </is>
      </c>
      <c r="B1181" s="28" t="inlineStr">
        <is>
          <t>Tabela XXII</t>
        </is>
      </c>
      <c r="C1181" s="28" t="inlineStr">
        <is>
          <t>PRODUTOS ELETRÔNICOS, ELETROELETRÔNICOS E ELETRODOMÉSTICOS</t>
        </is>
      </c>
      <c r="L1181" s="29">
        <f>IF(D1181="NCM/SH","",COUNTIF($D$5:$D$1506,D1181))</f>
        <v/>
      </c>
    </row>
    <row r="1182" ht="15" customHeight="1" thickBot="1">
      <c r="A1182" s="1" t="inlineStr">
        <is>
          <t>22Eletron</t>
        </is>
      </c>
      <c r="B1182" s="98" t="inlineStr">
        <is>
          <t>ITEM</t>
        </is>
      </c>
      <c r="C1182" s="98" t="inlineStr">
        <is>
          <t>CEST</t>
        </is>
      </c>
      <c r="D1182" s="98" t="inlineStr">
        <is>
          <t>NCM/SH</t>
        </is>
      </c>
      <c r="E1182" s="165" t="inlineStr">
        <is>
          <t>MARGEM DE VALOR AGREGADO</t>
        </is>
      </c>
      <c r="F1182" s="166" t="n"/>
      <c r="G1182" s="166" t="n"/>
      <c r="H1182" s="166" t="n"/>
      <c r="I1182" s="98" t="inlineStr">
        <is>
          <t xml:space="preserve">DESCRIÇÃO </t>
        </is>
      </c>
      <c r="J1182" s="163" t="inlineStr">
        <is>
          <t>DISPOSITIVO LEGAL</t>
        </is>
      </c>
      <c r="L1182" s="29">
        <f>IF(D1182="NCM/SH","",COUNTIF($D$5:$D$1506,D1182))</f>
        <v/>
      </c>
    </row>
    <row r="1183" ht="15.75" customHeight="1" thickBot="1">
      <c r="A1183" s="1" t="inlineStr">
        <is>
          <t>22Eletron</t>
        </is>
      </c>
      <c r="B1183" s="99" t="inlineStr">
        <is>
          <t>ITEM</t>
        </is>
      </c>
      <c r="C1183" s="99" t="inlineStr">
        <is>
          <t>CEST</t>
        </is>
      </c>
      <c r="D1183" s="99" t="inlineStr">
        <is>
          <t>NCM/SH</t>
        </is>
      </c>
      <c r="E1183" s="165" t="inlineStr">
        <is>
          <t>Oper. interna</t>
        </is>
      </c>
      <c r="F1183" s="165" t="inlineStr">
        <is>
          <t>Alíq. 4%</t>
        </is>
      </c>
      <c r="G1183" s="165" t="inlineStr">
        <is>
          <t>Alíq. 7%</t>
        </is>
      </c>
      <c r="H1183" s="165" t="inlineStr">
        <is>
          <t>Alíq. 12%</t>
        </is>
      </c>
      <c r="I1183" s="99" t="inlineStr">
        <is>
          <t xml:space="preserve">DESCRIÇÃO </t>
        </is>
      </c>
      <c r="J1183" s="164" t="inlineStr">
        <is>
          <t>DISPOSITIVO LEGAL</t>
        </is>
      </c>
      <c r="L1183" s="29">
        <f>IF(D1183="NCM/SH","",COUNTIF($D$5:$D$1506,D1183))</f>
        <v/>
      </c>
    </row>
    <row r="1184" ht="14.45" customHeight="1">
      <c r="A1184" s="1" t="inlineStr">
        <is>
          <t>22Eletron</t>
        </is>
      </c>
      <c r="B1184" s="98" t="inlineStr">
        <is>
          <t>1.0</t>
        </is>
      </c>
      <c r="C1184" s="98" t="inlineStr">
        <is>
          <t>21.001.00</t>
        </is>
      </c>
      <c r="D1184" s="98" t="inlineStr">
        <is>
          <t>7321.11.00</t>
        </is>
      </c>
      <c r="E1184" s="98" t="n">
        <v>42.8</v>
      </c>
      <c r="F1184" s="98" t="n">
        <v>65.16</v>
      </c>
      <c r="G1184" s="98" t="n">
        <v>60</v>
      </c>
      <c r="H1184" s="98" t="n">
        <v>51.4</v>
      </c>
      <c r="I1184" s="81" t="inlineStr">
        <is>
          <t xml:space="preserve">Fogões de cozinha de uso doméstico e suas partes </t>
        </is>
      </c>
      <c r="J1184" s="42" t="inlineStr">
        <is>
          <t>Lei nº 1.810, art § 1º, XXIX; Protocolo ICMS nº 15/07. 49,</t>
        </is>
      </c>
      <c r="L1184" s="29">
        <f>IF(D1184="NCM/SH","",COUNTIF($D$5:$D$1506,D1184))</f>
        <v/>
      </c>
    </row>
    <row r="1185" ht="15" customHeight="1" thickBot="1">
      <c r="A1185" s="1" t="inlineStr">
        <is>
          <t>22Eletron</t>
        </is>
      </c>
      <c r="B1185" s="99" t="n">
        <v>1</v>
      </c>
      <c r="C1185" s="99" t="inlineStr">
        <is>
          <t>21.001.00</t>
        </is>
      </c>
      <c r="D1185" s="99" t="inlineStr">
        <is>
          <t>7321.81.00 7321.90.00</t>
        </is>
      </c>
      <c r="E1185" s="99" t="n">
        <v>42.8</v>
      </c>
      <c r="F1185" s="99" t="n">
        <v>65.16</v>
      </c>
      <c r="G1185" s="99" t="n">
        <v>60</v>
      </c>
      <c r="H1185" s="99" t="n">
        <v>51.4</v>
      </c>
      <c r="I1185" s="82" t="inlineStr">
        <is>
          <t xml:space="preserve">Fogões de cozinha de uso doméstico e suas partes </t>
        </is>
      </c>
      <c r="J1185" s="45" t="inlineStr">
        <is>
          <t>Lei nº 1.810, art § 1º, XXIX; Protocolo ICMS nº 15/07. 49,</t>
        </is>
      </c>
      <c r="L1185" s="29">
        <f>IF(D1185="NCM/SH","",COUNTIF($D$5:$D$1506,D1185))</f>
        <v/>
      </c>
    </row>
    <row r="1186" ht="15" customHeight="1" thickBot="1">
      <c r="A1186" s="1" t="inlineStr">
        <is>
          <t>22Eletron</t>
        </is>
      </c>
      <c r="B1186" s="165" t="inlineStr">
        <is>
          <t>2.0</t>
        </is>
      </c>
      <c r="C1186" s="165" t="inlineStr">
        <is>
          <t>21.002.00</t>
        </is>
      </c>
      <c r="D1186" s="165" t="inlineStr">
        <is>
          <t xml:space="preserve">8418.10.00 </t>
        </is>
      </c>
      <c r="E1186" s="165" t="n">
        <v>51.72</v>
      </c>
      <c r="F1186" s="165" t="n">
        <v>75.48</v>
      </c>
      <c r="G1186" s="165" t="n">
        <v>70</v>
      </c>
      <c r="H1186" s="165" t="n">
        <v>60.86</v>
      </c>
      <c r="I1186" s="78" t="inlineStr">
        <is>
          <t xml:space="preserve">Combinações de refrigeradores e congeladores ("freezers"), munidos de portas exteriores separadas </t>
        </is>
      </c>
      <c r="J1186" s="104" t="inlineStr">
        <is>
          <t>Lei nº 1.810, art § 1º, XXIX; Protocolo ICMS nº 15/07. 49,</t>
        </is>
      </c>
      <c r="L1186" s="29">
        <f>IF(D1186="NCM/SH","",COUNTIF($D$5:$D$1506,D1186))</f>
        <v/>
      </c>
    </row>
    <row r="1187" ht="15" customHeight="1" thickBot="1">
      <c r="A1187" s="1" t="inlineStr">
        <is>
          <t>22Eletron</t>
        </is>
      </c>
      <c r="B1187" s="165" t="inlineStr">
        <is>
          <t>3.0</t>
        </is>
      </c>
      <c r="C1187" s="165" t="inlineStr">
        <is>
          <t>21.003.00</t>
        </is>
      </c>
      <c r="D1187" s="165" t="inlineStr">
        <is>
          <t xml:space="preserve">8418.21.00 </t>
        </is>
      </c>
      <c r="E1187" s="165" t="n">
        <v>51.72</v>
      </c>
      <c r="F1187" s="165" t="n">
        <v>75.48</v>
      </c>
      <c r="G1187" s="165" t="n">
        <v>70</v>
      </c>
      <c r="H1187" s="165" t="n">
        <v>60.86</v>
      </c>
      <c r="I1187" s="78" t="inlineStr">
        <is>
          <t xml:space="preserve">Refrigeradores do tipo doméstico, de compressão </t>
        </is>
      </c>
      <c r="J1187" s="104" t="inlineStr">
        <is>
          <t>Lei nº 1.810, art § 1º, XXIX; Protocolo ICMS nº 15/07. 49,</t>
        </is>
      </c>
      <c r="L1187" s="29">
        <f>IF(D1187="NCM/SH","",COUNTIF($D$5:$D$1506,D1187))</f>
        <v/>
      </c>
    </row>
    <row r="1188" ht="15" customHeight="1" thickBot="1">
      <c r="A1188" s="1" t="inlineStr">
        <is>
          <t>22Eletron</t>
        </is>
      </c>
      <c r="B1188" s="165" t="inlineStr">
        <is>
          <t>4.0</t>
        </is>
      </c>
      <c r="C1188" s="165" t="inlineStr">
        <is>
          <t>21.004.00</t>
        </is>
      </c>
      <c r="D1188" s="165" t="inlineStr">
        <is>
          <t xml:space="preserve">8418.29.00 </t>
        </is>
      </c>
      <c r="E1188" s="165" t="n">
        <v>51.72</v>
      </c>
      <c r="F1188" s="165" t="n">
        <v>75.48</v>
      </c>
      <c r="G1188" s="165" t="n">
        <v>70</v>
      </c>
      <c r="H1188" s="165" t="n">
        <v>60.86</v>
      </c>
      <c r="I1188" s="78" t="inlineStr">
        <is>
          <t xml:space="preserve">Outros refrigeradores do tipo doméstico </t>
        </is>
      </c>
      <c r="J1188" s="104" t="inlineStr">
        <is>
          <t>Lei nº 1.810, art § 1º, XXIX; Protocolo ICMS nº 15/07. 49,</t>
        </is>
      </c>
      <c r="L1188" s="29">
        <f>IF(D1188="NCM/SH","",COUNTIF($D$5:$D$1506,D1188))</f>
        <v/>
      </c>
    </row>
    <row r="1189" ht="15" customHeight="1" thickBot="1">
      <c r="A1189" s="1" t="inlineStr">
        <is>
          <t>22Eletron</t>
        </is>
      </c>
      <c r="B1189" s="165" t="inlineStr">
        <is>
          <t>5.0</t>
        </is>
      </c>
      <c r="C1189" s="165" t="inlineStr">
        <is>
          <t>21.005.00</t>
        </is>
      </c>
      <c r="D1189" s="165" t="inlineStr">
        <is>
          <t xml:space="preserve">8418.30.00 </t>
        </is>
      </c>
      <c r="E1189" s="165" t="n">
        <v>51.72</v>
      </c>
      <c r="F1189" s="165" t="n">
        <v>75.48</v>
      </c>
      <c r="G1189" s="165" t="n">
        <v>70</v>
      </c>
      <c r="H1189" s="165" t="n">
        <v>60.86</v>
      </c>
      <c r="I1189" s="78" t="inlineStr">
        <is>
          <t xml:space="preserve">Congeladores ("freezers") horizontais tipo arca, de capacidade não superior a 800 litros </t>
        </is>
      </c>
      <c r="J1189" s="105" t="inlineStr">
        <is>
          <t>Lei nº 1.810, art § 1º, XXIX; Protocolo ICMS nº 15/07. 49,</t>
        </is>
      </c>
      <c r="L1189" s="29">
        <f>IF(D1189="NCM/SH","",COUNTIF($D$5:$D$1506,D1189))</f>
        <v/>
      </c>
    </row>
    <row r="1190" ht="14.45" customHeight="1" thickBot="1">
      <c r="A1190" s="1" t="inlineStr">
        <is>
          <t>22Eletron</t>
        </is>
      </c>
      <c r="B1190" s="98" t="inlineStr">
        <is>
          <t>6.0</t>
        </is>
      </c>
      <c r="C1190" s="98" t="inlineStr">
        <is>
          <t>21.006.00</t>
        </is>
      </c>
      <c r="D1190" s="98" t="inlineStr">
        <is>
          <t xml:space="preserve">8418.40.00 </t>
        </is>
      </c>
      <c r="E1190" s="98" t="n">
        <v>51.72</v>
      </c>
      <c r="F1190" s="98" t="n">
        <v>75.48</v>
      </c>
      <c r="G1190" s="98" t="n">
        <v>70</v>
      </c>
      <c r="H1190" s="98" t="n">
        <v>60.86</v>
      </c>
      <c r="I1190" s="81" t="inlineStr">
        <is>
          <t xml:space="preserve">Congeladores ("freezers") verticais tipo armário, de capacidade não superior a 900 litros </t>
        </is>
      </c>
      <c r="J1190" s="42" t="inlineStr">
        <is>
          <t>Lei nº 1.810, art. 49, § 1º, XXIX; Protocolo ICMS nº 15/07</t>
        </is>
      </c>
      <c r="L1190" s="29">
        <f>IF(D1190="NCM/SH","",COUNTIF($D$5:$D$1506,D1190))</f>
        <v/>
      </c>
    </row>
    <row r="1191" ht="15" customHeight="1" thickBot="1">
      <c r="A1191" s="1" t="inlineStr">
        <is>
          <t>22Eletron</t>
        </is>
      </c>
      <c r="B1191" s="165" t="inlineStr">
        <is>
          <t>7.0</t>
        </is>
      </c>
      <c r="C1191" s="165" t="inlineStr">
        <is>
          <t>21.007.00</t>
        </is>
      </c>
      <c r="D1191" s="165" t="inlineStr">
        <is>
          <t>8418.50</t>
        </is>
      </c>
      <c r="E1191" s="165" t="n">
        <v>61.36</v>
      </c>
      <c r="F1191" s="165" t="n">
        <v>86.63</v>
      </c>
      <c r="G1191" s="165" t="n">
        <v>80.8</v>
      </c>
      <c r="H1191" s="165" t="n">
        <v>71.08</v>
      </c>
      <c r="I1191" s="78" t="inlineStr">
        <is>
          <t>Outros móveis (arcas, armários, vitrines, balcões e móveis semelhantes) para a conservação e exposição de produtos, que incorporem um equipamento para a produção de frio</t>
        </is>
      </c>
      <c r="J1191" s="42" t="inlineStr">
        <is>
          <t>Lei nº 1.810, art. 49, § 1º, XXIX</t>
        </is>
      </c>
      <c r="L1191" s="29">
        <f>IF(D1191="NCM/SH","",COUNTIF($D$5:$D$1506,D1191))</f>
        <v/>
      </c>
    </row>
    <row r="1192" ht="15" customHeight="1" thickBot="1">
      <c r="A1192" s="1" t="inlineStr">
        <is>
          <t>22Eletron</t>
        </is>
      </c>
      <c r="B1192" s="165" t="inlineStr">
        <is>
          <t>8.0</t>
        </is>
      </c>
      <c r="C1192" s="165" t="inlineStr">
        <is>
          <t>21.008.00</t>
        </is>
      </c>
      <c r="D1192" s="165" t="inlineStr">
        <is>
          <t xml:space="preserve">8418.69.9 </t>
        </is>
      </c>
      <c r="E1192" s="165" t="n">
        <v>51.03</v>
      </c>
      <c r="F1192" s="165" t="n">
        <v>74.69</v>
      </c>
      <c r="G1192" s="165" t="n">
        <v>69.23</v>
      </c>
      <c r="H1192" s="165" t="n">
        <v>60.13</v>
      </c>
      <c r="I1192" s="78" t="inlineStr">
        <is>
          <t xml:space="preserve">Miniadega e similares </t>
        </is>
      </c>
      <c r="J1192" s="45" t="inlineStr">
        <is>
          <t>Lei nº 1.810, art. 49, § 1º, XXIX</t>
        </is>
      </c>
      <c r="L1192" s="29">
        <f>IF(D1192="NCM/SH","",COUNTIF($D$5:$D$1506,D1192))</f>
        <v/>
      </c>
    </row>
    <row r="1193" ht="15" customHeight="1" thickBot="1">
      <c r="A1193" s="1" t="inlineStr">
        <is>
          <t>22Eletron</t>
        </is>
      </c>
      <c r="B1193" s="165" t="inlineStr">
        <is>
          <t>9.0</t>
        </is>
      </c>
      <c r="C1193" s="165" t="inlineStr">
        <is>
          <t>21.009.00</t>
        </is>
      </c>
      <c r="D1193" s="165" t="inlineStr">
        <is>
          <t xml:space="preserve">8418.69.99 </t>
        </is>
      </c>
      <c r="E1193" s="165" t="n">
        <v>51.03</v>
      </c>
      <c r="F1193" s="165" t="n">
        <v>74.69</v>
      </c>
      <c r="G1193" s="165" t="n">
        <v>69.23</v>
      </c>
      <c r="H1193" s="165" t="n">
        <v>60.13</v>
      </c>
      <c r="I1193" s="78" t="inlineStr">
        <is>
          <t xml:space="preserve">Máquinas para produção de gelo </t>
        </is>
      </c>
      <c r="J1193" s="104" t="inlineStr">
        <is>
          <t>Lei nº 1.810, art. 49, § 1º, XXIX</t>
        </is>
      </c>
      <c r="L1193" s="29">
        <f>IF(D1193="NCM/SH","",COUNTIF($D$5:$D$1506,D1193))</f>
        <v/>
      </c>
    </row>
    <row r="1194" ht="15" customHeight="1" thickBot="1">
      <c r="A1194" s="1" t="inlineStr">
        <is>
          <t>22Eletron</t>
        </is>
      </c>
      <c r="B1194" s="78" t="inlineStr">
        <is>
          <t>10.0</t>
        </is>
      </c>
      <c r="C1194" s="78" t="inlineStr">
        <is>
          <t>21.010.00</t>
        </is>
      </c>
      <c r="D1194" s="78" t="inlineStr">
        <is>
          <t xml:space="preserve">8418.99.00 </t>
        </is>
      </c>
      <c r="E1194" s="78" t="n">
        <v>58</v>
      </c>
      <c r="F1194" s="78" t="n">
        <v>82.75</v>
      </c>
      <c r="G1194" s="78" t="n">
        <v>77.04000000000001</v>
      </c>
      <c r="H1194" s="78" t="n">
        <v>67.52</v>
      </c>
      <c r="I1194" s="78" t="inlineStr">
        <is>
          <t>Partes dos refrigeradores, congeladores, mini adegas e similares, máquinas para produção de gelo e bebedouros descritos nos CEST 21.002.00, 21.003.00, 21.004.00, 21.005.00, 21.006.00, 21.007.00, 21.008.00, 21.009.00 e 21.013.00</t>
        </is>
      </c>
      <c r="J1194" s="105" t="inlineStr">
        <is>
          <t>Lei nº 1.810, art. 49, § 1º, XXIX</t>
        </is>
      </c>
      <c r="K1194" s="43" t="inlineStr">
        <is>
          <t>(Item 10.0: nova redação dada pelo Decreto nº 14.645/2016. Efeitos a partir de 1º.01.2017.)</t>
        </is>
      </c>
      <c r="L1194" s="29">
        <f>IF(D1194="NCM/SH","",COUNTIF($D$5:$D$1506,D1194))</f>
        <v/>
      </c>
    </row>
    <row r="1195" ht="14.45" customHeight="1" thickBot="1">
      <c r="A1195" s="1" t="inlineStr">
        <is>
          <t>22Eletron</t>
        </is>
      </c>
      <c r="B1195" s="101" t="inlineStr">
        <is>
          <t>11.0</t>
        </is>
      </c>
      <c r="C1195" s="98" t="inlineStr">
        <is>
          <t>21.011.00</t>
        </is>
      </c>
      <c r="D1195" s="98" t="inlineStr">
        <is>
          <t xml:space="preserve">8421.12 </t>
        </is>
      </c>
      <c r="E1195" s="98" t="n">
        <v>42.8</v>
      </c>
      <c r="F1195" s="98" t="n">
        <v>65.16</v>
      </c>
      <c r="G1195" s="98" t="n">
        <v>60</v>
      </c>
      <c r="H1195" s="98" t="n">
        <v>51.4</v>
      </c>
      <c r="I1195" s="81" t="inlineStr">
        <is>
          <t xml:space="preserve">Secadoras de roupa de uso doméstico </t>
        </is>
      </c>
      <c r="J1195" s="42" t="inlineStr">
        <is>
          <t>Lei nº 1.810, art. 49, § 1º, XXIX; Protocolo ICMS nº 15/07</t>
        </is>
      </c>
      <c r="L1195" s="29">
        <f>IF(D1195="NCM/SH","",COUNTIF($D$5:$D$1506,D1195))</f>
        <v/>
      </c>
    </row>
    <row r="1196" ht="15" customHeight="1" thickBot="1">
      <c r="A1196" s="1" t="inlineStr">
        <is>
          <t>22Eletron</t>
        </is>
      </c>
      <c r="B1196" s="165" t="inlineStr">
        <is>
          <t>12.0</t>
        </is>
      </c>
      <c r="C1196" s="165" t="inlineStr">
        <is>
          <t>21.012.00</t>
        </is>
      </c>
      <c r="D1196" s="165" t="inlineStr">
        <is>
          <t xml:space="preserve">8421.19.90 </t>
        </is>
      </c>
      <c r="E1196" s="165" t="n">
        <v>42.8</v>
      </c>
      <c r="F1196" s="165" t="n">
        <v>65.16</v>
      </c>
      <c r="G1196" s="165" t="n">
        <v>60</v>
      </c>
      <c r="H1196" s="165" t="n">
        <v>51.4</v>
      </c>
      <c r="I1196" s="78" t="inlineStr">
        <is>
          <t xml:space="preserve">Outras secadoras de roupas e centrífugas de uso doméstico </t>
        </is>
      </c>
      <c r="J1196" s="42" t="inlineStr">
        <is>
          <t>Lei nº 1.810, art. 49, § 1º, XXIX</t>
        </is>
      </c>
      <c r="L1196" s="29">
        <f>IF(D1196="NCM/SH","",COUNTIF($D$5:$D$1506,D1196))</f>
        <v/>
      </c>
    </row>
    <row r="1197" ht="15" customHeight="1" thickBot="1">
      <c r="A1197" s="1" t="inlineStr">
        <is>
          <t>22Eletron</t>
        </is>
      </c>
      <c r="B1197" s="165" t="inlineStr">
        <is>
          <t>13.0</t>
        </is>
      </c>
      <c r="C1197" s="165" t="inlineStr">
        <is>
          <t>21.013.00</t>
        </is>
      </c>
      <c r="D1197" s="165" t="inlineStr">
        <is>
          <t xml:space="preserve">8418.69.31 </t>
        </is>
      </c>
      <c r="E1197" s="165" t="n">
        <v>41.34</v>
      </c>
      <c r="F1197" s="165" t="n">
        <v>63.48</v>
      </c>
      <c r="G1197" s="165" t="n">
        <v>58.37</v>
      </c>
      <c r="H1197" s="165" t="n">
        <v>49.85</v>
      </c>
      <c r="I1197" s="78" t="inlineStr">
        <is>
          <t xml:space="preserve">Bebedouros refrigerados para água </t>
        </is>
      </c>
      <c r="J1197" s="45" t="inlineStr">
        <is>
          <t>Lei nº 1.810, art. 49, § 1º, XXIX</t>
        </is>
      </c>
      <c r="L1197" s="29">
        <f>IF(D1197="NCM/SH","",COUNTIF($D$5:$D$1506,D1197))</f>
        <v/>
      </c>
    </row>
    <row r="1198" ht="15" customHeight="1" thickBot="1">
      <c r="A1198" s="1" t="inlineStr">
        <is>
          <t>22Eletron</t>
        </is>
      </c>
      <c r="B1198" s="78" t="inlineStr">
        <is>
          <t>14.0</t>
        </is>
      </c>
      <c r="C1198" s="78" t="inlineStr">
        <is>
          <t>21.014.00</t>
        </is>
      </c>
      <c r="D1198" s="78" t="inlineStr">
        <is>
          <t xml:space="preserve">8421.9 </t>
        </is>
      </c>
      <c r="E1198" s="78" t="n">
        <v>42.8</v>
      </c>
      <c r="F1198" s="78" t="n">
        <v>65.16</v>
      </c>
      <c r="G1198" s="78" t="n">
        <v>60</v>
      </c>
      <c r="H1198" s="78" t="n">
        <v>51.4</v>
      </c>
      <c r="I1198" s="78" t="inlineStr">
        <is>
          <t>Partes das secadoras de roupas e centrífugas de uso doméstico e dos aparelhos para filtrar ou depurar água, descritos nos CEST 21.011.00, 21.012.00 e 21.098.00</t>
        </is>
      </c>
      <c r="J1198" s="104" t="inlineStr">
        <is>
          <t>Lei nº 1.810, art. 49, § 1º, XXIX</t>
        </is>
      </c>
      <c r="K1198" s="43" t="inlineStr">
        <is>
          <t>(Item 14.0: nova redação dada pelo Decreto nº 14.645/2016. Efeitos a partir de 1º.01.2017.)</t>
        </is>
      </c>
      <c r="L1198" s="29">
        <f>IF(D1198="NCM/SH","",COUNTIF($D$5:$D$1506,D1198))</f>
        <v/>
      </c>
    </row>
    <row r="1199" ht="15" customHeight="1" thickBot="1">
      <c r="A1199" s="1" t="inlineStr">
        <is>
          <t>22Eletron</t>
        </is>
      </c>
      <c r="B1199" s="99" t="inlineStr">
        <is>
          <t>15.0</t>
        </is>
      </c>
      <c r="C1199" s="165" t="inlineStr">
        <is>
          <t>21.015.00</t>
        </is>
      </c>
      <c r="D1199" s="165" t="inlineStr">
        <is>
          <t>8422.11.00 8422.90.10</t>
        </is>
      </c>
      <c r="E1199" s="165" t="n">
        <v>40</v>
      </c>
      <c r="F1199" s="165" t="n">
        <v>61.93</v>
      </c>
      <c r="G1199" s="165" t="n">
        <v>56.87</v>
      </c>
      <c r="H1199" s="165" t="n">
        <v>48.43</v>
      </c>
      <c r="I1199" s="78" t="inlineStr">
        <is>
          <t xml:space="preserve">Máquinas de lavar louça do tipo doméstico e suas partes </t>
        </is>
      </c>
      <c r="J1199" s="106" t="inlineStr">
        <is>
          <t>Lei nº 1.810, art. 49, § 1º, XXIX</t>
        </is>
      </c>
      <c r="L1199" s="29">
        <f>IF(D1199="NCM/SH","",COUNTIF($D$5:$D$1506,D1199))</f>
        <v/>
      </c>
    </row>
    <row r="1200" ht="15" customHeight="1" thickBot="1">
      <c r="A1200" s="1" t="inlineStr">
        <is>
          <t>22Eletron</t>
        </is>
      </c>
      <c r="B1200" s="165" t="inlineStr">
        <is>
          <t>16.0</t>
        </is>
      </c>
      <c r="C1200" s="165" t="inlineStr">
        <is>
          <t>21.016.00</t>
        </is>
      </c>
      <c r="D1200" s="165" t="inlineStr">
        <is>
          <t xml:space="preserve">8443.31 </t>
        </is>
      </c>
      <c r="E1200" s="165" t="n">
        <v>42.8</v>
      </c>
      <c r="F1200" s="165" t="n">
        <v>65.16</v>
      </c>
      <c r="G1200" s="165" t="n">
        <v>60</v>
      </c>
      <c r="H1200" s="165" t="n">
        <v>51.4</v>
      </c>
      <c r="I1200" s="78" t="inlineStr">
        <is>
          <t>Máquinas que executem pelo menos duas das seguintes funções: impressão, cópia ou transmissão de telecópia (fax), capazes de ser conectadas a uma máquina automática para processamento de dados ou a uma rede</t>
        </is>
      </c>
      <c r="J1200" s="42" t="inlineStr">
        <is>
          <t>Lei nº 1.810, art. 49, § 1º, XXIX; Protocolo ICMS nº 15/07</t>
        </is>
      </c>
      <c r="L1200" s="29">
        <f>IF(D1200="NCM/SH","",COUNTIF($D$5:$D$1506,D1200))</f>
        <v/>
      </c>
    </row>
    <row r="1201" ht="15" customHeight="1" thickBot="1">
      <c r="A1201" s="1" t="inlineStr">
        <is>
          <t>22Eletron</t>
        </is>
      </c>
      <c r="B1201" s="165" t="inlineStr">
        <is>
          <t>17.0</t>
        </is>
      </c>
      <c r="C1201" s="165" t="inlineStr">
        <is>
          <t>21.017.00</t>
        </is>
      </c>
      <c r="D1201" s="165" t="inlineStr">
        <is>
          <t xml:space="preserve">8443.32 </t>
        </is>
      </c>
      <c r="E1201" s="165" t="n">
        <v>42.8</v>
      </c>
      <c r="F1201" s="165" t="n">
        <v>65.16</v>
      </c>
      <c r="G1201" s="165" t="n">
        <v>60</v>
      </c>
      <c r="H1201" s="165" t="n">
        <v>51.4</v>
      </c>
      <c r="I1201" s="78" t="inlineStr">
        <is>
          <t xml:space="preserve">Outras impressoras, máquinas copiadoras e telecopiadores (fax), mesmo combinados entre si, capazes de ser conectados a uma máquina automática para processamento de dados ou a uma rede </t>
        </is>
      </c>
      <c r="J1201" s="46" t="inlineStr">
        <is>
          <t>Lei nº 1.810, art. 49, § 1º, XXIX; Protocolo ICMS nº 15/07</t>
        </is>
      </c>
      <c r="L1201" s="29">
        <f>IF(D1201="NCM/SH","",COUNTIF($D$5:$D$1506,D1201))</f>
        <v/>
      </c>
    </row>
    <row r="1202" ht="14.45" customHeight="1" thickBot="1">
      <c r="A1202" s="1" t="inlineStr">
        <is>
          <t>22Eletron</t>
        </is>
      </c>
      <c r="B1202" s="98" t="inlineStr">
        <is>
          <t>18.0</t>
        </is>
      </c>
      <c r="C1202" s="98" t="inlineStr">
        <is>
          <t>21.018.00</t>
        </is>
      </c>
      <c r="D1202" s="98" t="inlineStr">
        <is>
          <t xml:space="preserve">8443.9 </t>
        </is>
      </c>
      <c r="E1202" s="98" t="n">
        <v>42.8</v>
      </c>
      <c r="F1202" s="98" t="n">
        <v>65.16</v>
      </c>
      <c r="G1202" s="98" t="n">
        <v>60</v>
      </c>
      <c r="H1202" s="98" t="n">
        <v>51.4</v>
      </c>
      <c r="I1202" s="81" t="inlineStr">
        <is>
          <t>Partes e acessórios de máquinas e aparelhos de impressão por meio de blocos, cilindros e outros elementos de impressão da posição 8442; e de outras impressoras, máquinas copiadoras e telecopiadores (fax), mesmo combinados entre si</t>
        </is>
      </c>
      <c r="J1202" s="42" t="inlineStr">
        <is>
          <t>Lei nº 1.810, art. 49, § 1º, XXIX; Protocolo ICMS nº 15/07</t>
        </is>
      </c>
      <c r="L1202" s="29">
        <f>IF(D1202="NCM/SH","",COUNTIF($D$5:$D$1506,D1202))</f>
        <v/>
      </c>
    </row>
    <row r="1203" ht="15" customHeight="1" thickBot="1">
      <c r="A1203" s="1" t="inlineStr">
        <is>
          <t>22Eletron</t>
        </is>
      </c>
      <c r="B1203" s="165" t="inlineStr">
        <is>
          <t>19.0</t>
        </is>
      </c>
      <c r="C1203" s="165" t="inlineStr">
        <is>
          <t>21.019.00</t>
        </is>
      </c>
      <c r="D1203" s="165" t="inlineStr">
        <is>
          <t xml:space="preserve">8450.11.00 </t>
        </is>
      </c>
      <c r="E1203" s="165" t="n">
        <v>47.26</v>
      </c>
      <c r="F1203" s="165" t="n">
        <v>70.31999999999999</v>
      </c>
      <c r="G1203" s="165" t="n">
        <v>65</v>
      </c>
      <c r="H1203" s="165" t="n">
        <v>56.13</v>
      </c>
      <c r="I1203" s="78" t="inlineStr">
        <is>
          <t xml:space="preserve">Máquinas de lavar roupa, mesmo com dispositivos de secagem, de uso doméstico, de capacidade não superior a 10 kg, em peso de roupa seca, inteiramente automáticas </t>
        </is>
      </c>
      <c r="J1203" s="42" t="inlineStr">
        <is>
          <t>Lei nº 1.810, art. 49, § 1º, XXIX; Protocolo ICMS nº 15/07</t>
        </is>
      </c>
      <c r="L1203" s="29">
        <f>IF(D1203="NCM/SH","",COUNTIF($D$5:$D$1506,D1203))</f>
        <v/>
      </c>
    </row>
    <row r="1204" ht="15" customHeight="1" thickBot="1">
      <c r="A1204" s="1" t="inlineStr">
        <is>
          <t>22Eletron</t>
        </is>
      </c>
      <c r="B1204" s="165" t="inlineStr">
        <is>
          <t>20.0</t>
        </is>
      </c>
      <c r="C1204" s="165" t="inlineStr">
        <is>
          <t>21.020.00</t>
        </is>
      </c>
      <c r="D1204" s="165" t="inlineStr">
        <is>
          <t xml:space="preserve">8450.12.00 </t>
        </is>
      </c>
      <c r="E1204" s="165" t="n">
        <v>47.26</v>
      </c>
      <c r="F1204" s="165" t="n">
        <v>70.31999999999999</v>
      </c>
      <c r="G1204" s="165" t="n">
        <v>65</v>
      </c>
      <c r="H1204" s="165" t="n">
        <v>56.13</v>
      </c>
      <c r="I1204" s="78" t="inlineStr">
        <is>
          <t xml:space="preserve">Outras máquinas de lavar roupa, mesmo com dispositivos de secagem, de uso doméstico, com secador centrífugo incorporado </t>
        </is>
      </c>
      <c r="J1204" s="45" t="inlineStr">
        <is>
          <t>Lei nº 1.810, art. 49, § 1º, XXIX; Protocolo ICMS nº 15/07</t>
        </is>
      </c>
      <c r="L1204" s="29">
        <f>IF(D1204="NCM/SH","",COUNTIF($D$5:$D$1506,D1204))</f>
        <v/>
      </c>
    </row>
    <row r="1205" ht="15" customHeight="1" thickBot="1">
      <c r="A1205" s="1" t="inlineStr">
        <is>
          <t>22Eletron</t>
        </is>
      </c>
      <c r="B1205" s="165" t="inlineStr">
        <is>
          <t>21.0</t>
        </is>
      </c>
      <c r="C1205" s="165" t="inlineStr">
        <is>
          <t>21.021.00</t>
        </is>
      </c>
      <c r="D1205" s="165" t="inlineStr">
        <is>
          <t xml:space="preserve">8450.19.00 </t>
        </is>
      </c>
      <c r="E1205" s="165" t="n">
        <v>47.26</v>
      </c>
      <c r="F1205" s="165" t="n">
        <v>70.31999999999999</v>
      </c>
      <c r="G1205" s="165" t="n">
        <v>65</v>
      </c>
      <c r="H1205" s="165" t="n">
        <v>56.13</v>
      </c>
      <c r="I1205" s="78" t="inlineStr">
        <is>
          <t xml:space="preserve">Outras máquinas de lavar roupa, mesmo com dispositivos de secagem, de uso doméstico </t>
        </is>
      </c>
      <c r="J1205" s="105" t="inlineStr">
        <is>
          <t>Lei nº 1.810, art. 49, § 1º, XXIX; Protocolo ICMS nº 15/07</t>
        </is>
      </c>
      <c r="L1205" s="29">
        <f>IF(D1205="NCM/SH","",COUNTIF($D$5:$D$1506,D1205))</f>
        <v/>
      </c>
    </row>
    <row r="1206" ht="15" customHeight="1" thickBot="1">
      <c r="A1206" s="1" t="inlineStr">
        <is>
          <t>22Eletron</t>
        </is>
      </c>
      <c r="B1206" s="165" t="inlineStr">
        <is>
          <t>22.0</t>
        </is>
      </c>
      <c r="C1206" s="165" t="inlineStr">
        <is>
          <t>21.022.00</t>
        </is>
      </c>
      <c r="D1206" s="165" t="inlineStr">
        <is>
          <t xml:space="preserve">8450.20 </t>
        </is>
      </c>
      <c r="E1206" s="165" t="n">
        <v>47.26</v>
      </c>
      <c r="F1206" s="165" t="n">
        <v>70.31999999999999</v>
      </c>
      <c r="G1206" s="165" t="n">
        <v>65</v>
      </c>
      <c r="H1206" s="165" t="n">
        <v>56.13</v>
      </c>
      <c r="I1206" s="78" t="inlineStr">
        <is>
          <t xml:space="preserve">Máquinas de lavar roupa, mesmo com dispositivos de secagem, de uso doméstico, de capacidade superior a 10 kg, em peso de roupa seca </t>
        </is>
      </c>
      <c r="J1206" s="42" t="inlineStr">
        <is>
          <t>Lei nº 1.810, art. 49, § 1º, XXIX; Protocolo ICMS nº 15/07</t>
        </is>
      </c>
      <c r="L1206" s="29">
        <f>IF(D1206="NCM/SH","",COUNTIF($D$5:$D$1506,D1206))</f>
        <v/>
      </c>
    </row>
    <row r="1207" ht="15" customHeight="1" thickBot="1">
      <c r="A1207" s="1" t="inlineStr">
        <is>
          <t>22Eletron</t>
        </is>
      </c>
      <c r="B1207" s="165" t="inlineStr">
        <is>
          <t>23.0</t>
        </is>
      </c>
      <c r="C1207" s="165" t="inlineStr">
        <is>
          <t>21.023.00</t>
        </is>
      </c>
      <c r="D1207" s="165" t="inlineStr">
        <is>
          <t xml:space="preserve">8450.90 </t>
        </is>
      </c>
      <c r="E1207" s="165" t="n">
        <v>47.26</v>
      </c>
      <c r="F1207" s="165" t="n">
        <v>70.31999999999999</v>
      </c>
      <c r="G1207" s="165" t="n">
        <v>65</v>
      </c>
      <c r="H1207" s="165" t="n">
        <v>56.13</v>
      </c>
      <c r="I1207" s="78" t="inlineStr">
        <is>
          <t xml:space="preserve">Partes de máquinas de lavar roupa, mesmo com dispositivos de secagem, de uso doméstico </t>
        </is>
      </c>
      <c r="J1207" s="46" t="inlineStr">
        <is>
          <t>Lei nº 1.810, art. 49, § 1º, XXIX; Protocolo ICMS nº 15/07</t>
        </is>
      </c>
      <c r="L1207" s="29">
        <f>IF(D1207="NCM/SH","",COUNTIF($D$5:$D$1506,D1207))</f>
        <v/>
      </c>
    </row>
    <row r="1208" ht="14.45" customHeight="1" thickBot="1">
      <c r="A1208" s="1" t="inlineStr">
        <is>
          <t>22Eletron</t>
        </is>
      </c>
      <c r="B1208" s="98" t="inlineStr">
        <is>
          <t>24.0</t>
        </is>
      </c>
      <c r="C1208" s="98" t="inlineStr">
        <is>
          <t>21.024.00</t>
        </is>
      </c>
      <c r="D1208" s="98" t="inlineStr">
        <is>
          <t xml:space="preserve">8451.21.00 </t>
        </is>
      </c>
      <c r="E1208" s="98" t="n">
        <v>47.26</v>
      </c>
      <c r="F1208" s="98" t="n">
        <v>70.31999999999999</v>
      </c>
      <c r="G1208" s="98" t="n">
        <v>65</v>
      </c>
      <c r="H1208" s="98" t="n">
        <v>56.13</v>
      </c>
      <c r="I1208" s="81" t="inlineStr">
        <is>
          <t xml:space="preserve">Máquinas de secar de uso doméstico de capacidade não superior a 10 kg, em peso de roupa seca </t>
        </is>
      </c>
      <c r="J1208" s="42" t="inlineStr">
        <is>
          <t>Lei nº 1.810, art. 49, § 1º, XXIX; Protocolo ICMS nº 15/07</t>
        </is>
      </c>
      <c r="L1208" s="29">
        <f>IF(D1208="NCM/SH","",COUNTIF($D$5:$D$1506,D1208))</f>
        <v/>
      </c>
    </row>
    <row r="1209" ht="15" customHeight="1" thickBot="1">
      <c r="A1209" s="1" t="inlineStr">
        <is>
          <t>22Eletron</t>
        </is>
      </c>
      <c r="B1209" s="165" t="inlineStr">
        <is>
          <t>25.0</t>
        </is>
      </c>
      <c r="C1209" s="165" t="inlineStr">
        <is>
          <t>21.025.00</t>
        </is>
      </c>
      <c r="D1209" s="165" t="inlineStr">
        <is>
          <t xml:space="preserve">8451.29.90 </t>
        </is>
      </c>
      <c r="E1209" s="165" t="n">
        <v>47.26</v>
      </c>
      <c r="F1209" s="165" t="n">
        <v>70.31999999999999</v>
      </c>
      <c r="G1209" s="165" t="n">
        <v>65</v>
      </c>
      <c r="H1209" s="165" t="n">
        <v>56.13</v>
      </c>
      <c r="I1209" s="78" t="inlineStr">
        <is>
          <t xml:space="preserve">Outras máquinas de secar de uso doméstico </t>
        </is>
      </c>
      <c r="J1209" s="42" t="inlineStr">
        <is>
          <t>Lei nº 1.810, art. 49, § 1º, XXIX; Protocolo ICMS nº 15/07</t>
        </is>
      </c>
      <c r="L1209" s="29">
        <f>IF(D1209="NCM/SH","",COUNTIF($D$5:$D$1506,D1209))</f>
        <v/>
      </c>
    </row>
    <row r="1210" ht="15" customHeight="1" thickBot="1">
      <c r="A1210" s="1" t="inlineStr">
        <is>
          <t>22Eletron</t>
        </is>
      </c>
      <c r="B1210" s="165" t="inlineStr">
        <is>
          <t>26.0</t>
        </is>
      </c>
      <c r="C1210" s="165" t="inlineStr">
        <is>
          <t>21.026.00</t>
        </is>
      </c>
      <c r="D1210" s="165" t="inlineStr">
        <is>
          <t xml:space="preserve">8451.90 </t>
        </is>
      </c>
      <c r="E1210" s="165" t="n">
        <v>47.26</v>
      </c>
      <c r="F1210" s="165" t="n">
        <v>70.31999999999999</v>
      </c>
      <c r="G1210" s="165" t="n">
        <v>65</v>
      </c>
      <c r="H1210" s="165" t="n">
        <v>56.13</v>
      </c>
      <c r="I1210" s="78" t="inlineStr">
        <is>
          <t xml:space="preserve">Partes de máquinas de secar de uso doméstico </t>
        </is>
      </c>
      <c r="J1210" s="46" t="inlineStr">
        <is>
          <t>Lei nº 1.810, art. 49, § 1º, XXIX; Protocolo ICMS nº 15/07</t>
        </is>
      </c>
      <c r="L1210" s="29">
        <f>IF(D1210="NCM/SH","",COUNTIF($D$5:$D$1506,D1210))</f>
        <v/>
      </c>
    </row>
    <row r="1211" ht="14.45" customHeight="1" thickBot="1">
      <c r="A1211" s="1" t="inlineStr">
        <is>
          <t>22Eletron</t>
        </is>
      </c>
      <c r="B1211" s="98" t="inlineStr">
        <is>
          <t>27.0</t>
        </is>
      </c>
      <c r="C1211" s="98" t="inlineStr">
        <is>
          <t>21.027.00</t>
        </is>
      </c>
      <c r="D1211" s="98" t="inlineStr">
        <is>
          <t xml:space="preserve">8452.10.00 </t>
        </is>
      </c>
      <c r="E1211" s="98" t="n">
        <v>42.8</v>
      </c>
      <c r="F1211" s="98" t="n">
        <v>65.16</v>
      </c>
      <c r="G1211" s="98" t="n">
        <v>60</v>
      </c>
      <c r="H1211" s="98" t="n">
        <v>51.4</v>
      </c>
      <c r="I1211" s="81" t="inlineStr">
        <is>
          <t xml:space="preserve">Máquinas de costura de uso doméstico </t>
        </is>
      </c>
      <c r="J1211" s="42" t="inlineStr">
        <is>
          <t>Lei nº 1.810, art. 49, § 1º, XXIX; Protocolo ICMS nº 15/07</t>
        </is>
      </c>
      <c r="L1211" s="29">
        <f>IF(D1211="NCM/SH","",COUNTIF($D$5:$D$1506,D1211))</f>
        <v/>
      </c>
    </row>
    <row r="1212" ht="15" customHeight="1" thickBot="1">
      <c r="A1212" s="1" t="inlineStr">
        <is>
          <t>22Eletron</t>
        </is>
      </c>
      <c r="B1212" s="82" t="inlineStr">
        <is>
          <t>28.0</t>
        </is>
      </c>
      <c r="C1212" s="78" t="inlineStr">
        <is>
          <t>21.028.00</t>
        </is>
      </c>
      <c r="D1212" s="78" t="inlineStr">
        <is>
          <t xml:space="preserve">8471.30 </t>
        </is>
      </c>
      <c r="E1212" s="78" t="n">
        <v>30</v>
      </c>
      <c r="F1212" s="78" t="n">
        <v>50.36</v>
      </c>
      <c r="G1212" s="78" t="n">
        <v>45.66</v>
      </c>
      <c r="H1212" s="78" t="n">
        <v>37.83</v>
      </c>
      <c r="I1212" s="78" t="inlineStr">
        <is>
          <t xml:space="preserve">Máquinas automáticas para processamento de dados, portáteis, de peso não superior a 10 kg, contendo pelo menos uma unidade central de processamento, um teclado e uma tela </t>
        </is>
      </c>
      <c r="J1212" s="163" t="inlineStr">
        <is>
          <t>Lei nº 1.810, art. 49, § 1º, XXIX; Protocolo ICMS nº 15/07</t>
        </is>
      </c>
      <c r="K1212" s="43" t="inlineStr">
        <is>
          <t>(Itens 28.0 a 35.0: nova redação dada pelo Decreto nº 14.645/2016. Efeitos a partir de 1º.01.2017.)</t>
        </is>
      </c>
      <c r="L1212" s="29">
        <f>IF(D1212="NCM/SH","",COUNTIF($D$5:$D$1506,D1212))</f>
        <v/>
      </c>
    </row>
    <row r="1213" ht="15" customHeight="1" thickBot="1">
      <c r="A1213" s="1" t="inlineStr">
        <is>
          <t>22Eletron</t>
        </is>
      </c>
      <c r="B1213" s="78" t="inlineStr">
        <is>
          <t>29.0</t>
        </is>
      </c>
      <c r="C1213" s="78" t="inlineStr">
        <is>
          <t>21.029.00</t>
        </is>
      </c>
      <c r="D1213" s="78" t="inlineStr">
        <is>
          <t xml:space="preserve">8471.4 </t>
        </is>
      </c>
      <c r="E1213" s="78" t="n">
        <v>30</v>
      </c>
      <c r="F1213" s="78" t="n">
        <v>50.36</v>
      </c>
      <c r="G1213" s="78" t="n">
        <v>45.66</v>
      </c>
      <c r="H1213" s="78" t="n">
        <v>37.83</v>
      </c>
      <c r="I1213" s="78" t="inlineStr">
        <is>
          <t xml:space="preserve">Outras máquinas automáticas para processamento de dados </t>
        </is>
      </c>
      <c r="J1213" s="164" t="inlineStr">
        <is>
          <t>Lei nº 1.810, art. 49, § 1º, XXIX; Protocolo ICMS nº 15/07</t>
        </is>
      </c>
      <c r="K1213" s="43" t="inlineStr">
        <is>
          <t>(Itens 28.0 a 35.0: nova redação dada pelo Decreto nº 14.645/2016. Efeitos a partir de 1º.01.2017.)</t>
        </is>
      </c>
      <c r="L1213" s="29">
        <f>IF(D1213="NCM/SH","",COUNTIF($D$5:$D$1506,D1213))</f>
        <v/>
      </c>
    </row>
    <row r="1214" ht="15" customHeight="1" thickBot="1">
      <c r="A1214" s="1" t="inlineStr">
        <is>
          <t>22Eletron</t>
        </is>
      </c>
      <c r="B1214" s="78" t="inlineStr">
        <is>
          <t>30.0</t>
        </is>
      </c>
      <c r="C1214" s="78" t="inlineStr">
        <is>
          <t>21.030.00</t>
        </is>
      </c>
      <c r="D1214" s="78" t="inlineStr">
        <is>
          <t xml:space="preserve">8471.50.10 </t>
        </is>
      </c>
      <c r="E1214" s="78" t="n">
        <v>30</v>
      </c>
      <c r="F1214" s="78" t="n">
        <v>50.36</v>
      </c>
      <c r="G1214" s="78" t="n">
        <v>45.66</v>
      </c>
      <c r="H1214" s="78" t="n">
        <v>37.83</v>
      </c>
      <c r="I1214" s="78" t="inlineStr">
        <is>
          <t xml:space="preserve">Unidades de processamento, de pequena capacidade, exceto as das subposições 8471.41 ou 8471.49, podendo conter, no mesmo corpo, um ou dois dos seguintes tipos de unidades: unidade de memória, unidade de entrada e unidade de saída;baseadas em microprocessadores, com capacidade de instalação, dentro do mesmo gabinete, de unidades de memória da subposição 8471.70, podendo conter múltiplos conectores de expansão ("slots"), e valor FOB inferior ou igual a US$ 12.500,00, por unidade </t>
        </is>
      </c>
      <c r="J1214" s="42" t="inlineStr">
        <is>
          <t>Lei nº 1.810, art. 49, § 1º, XXIX; Protocolo ICMS nº 15/07</t>
        </is>
      </c>
      <c r="K1214" s="43" t="inlineStr">
        <is>
          <t>(Itens 28.0 a 35.0: nova redação dada pelo Decreto nº 14.645/2016. Efeitos a partir de 1º.01.2017.)</t>
        </is>
      </c>
      <c r="L1214" s="29">
        <f>IF(D1214="NCM/SH","",COUNTIF($D$5:$D$1506,D1214))</f>
        <v/>
      </c>
    </row>
    <row r="1215" ht="15" customHeight="1" thickBot="1">
      <c r="A1215" s="1" t="inlineStr">
        <is>
          <t>22Eletron</t>
        </is>
      </c>
      <c r="B1215" s="78" t="inlineStr">
        <is>
          <t>31.0</t>
        </is>
      </c>
      <c r="C1215" s="78" t="inlineStr">
        <is>
          <t>21.031.00</t>
        </is>
      </c>
      <c r="D1215" s="78" t="inlineStr">
        <is>
          <t xml:space="preserve">8471.60.5 </t>
        </is>
      </c>
      <c r="E1215" s="78" t="n">
        <v>30</v>
      </c>
      <c r="F1215" s="78" t="n">
        <v>50.36</v>
      </c>
      <c r="G1215" s="78" t="n">
        <v>45.66</v>
      </c>
      <c r="H1215" s="78" t="n">
        <v>37.83</v>
      </c>
      <c r="I1215" s="78" t="inlineStr">
        <is>
          <t xml:space="preserve">Unidades de entrada, exceto as classificadas no código 8471.60.54 </t>
        </is>
      </c>
      <c r="J1215" s="45" t="inlineStr">
        <is>
          <t>Lei nº 1.810, art. 49, § 1º, XXIX; Protocolo ICMS nº 15/07</t>
        </is>
      </c>
      <c r="K1215" s="43" t="inlineStr">
        <is>
          <t>(Itens 28.0 a 35.0: nova redação dada pelo Decreto nº 14.645/2016. Efeitos a partir de 1º.01.2017.)</t>
        </is>
      </c>
      <c r="L1215" s="29">
        <f>IF(D1215="NCM/SH","",COUNTIF($D$5:$D$1506,D1215))</f>
        <v/>
      </c>
    </row>
    <row r="1216" ht="15" customHeight="1" thickBot="1">
      <c r="A1216" s="1" t="inlineStr">
        <is>
          <t>22Eletron</t>
        </is>
      </c>
      <c r="B1216" s="78" t="inlineStr">
        <is>
          <t>32.0</t>
        </is>
      </c>
      <c r="C1216" s="78" t="inlineStr">
        <is>
          <t>21.032.00</t>
        </is>
      </c>
      <c r="D1216" s="78" t="inlineStr">
        <is>
          <t xml:space="preserve">8471.60.90 </t>
        </is>
      </c>
      <c r="E1216" s="78" t="n">
        <v>30</v>
      </c>
      <c r="F1216" s="78" t="n">
        <v>50.36</v>
      </c>
      <c r="G1216" s="78" t="n">
        <v>45.66</v>
      </c>
      <c r="H1216" s="78" t="n">
        <v>37.83</v>
      </c>
      <c r="I1216" s="78" t="inlineStr">
        <is>
          <t xml:space="preserve">Outras unidades de entrada ou de saída, podendo conter, no mesmo corpo, unidades de memória </t>
        </is>
      </c>
      <c r="J1216" s="104" t="inlineStr">
        <is>
          <t>Lei nº 1.810, art. 49, § 1º, XXIX; Protocolo ICMS nº 15/07</t>
        </is>
      </c>
      <c r="K1216" s="43" t="inlineStr">
        <is>
          <t>(Itens 28.0 a 35.0: nova redação dada pelo Decreto nº 14.645/2016. Efeitos a partir de 1º.01.2017.)</t>
        </is>
      </c>
      <c r="L1216" s="29">
        <f>IF(D1216="NCM/SH","",COUNTIF($D$5:$D$1506,D1216))</f>
        <v/>
      </c>
    </row>
    <row r="1217" ht="15" customHeight="1" thickBot="1">
      <c r="A1217" s="1" t="inlineStr">
        <is>
          <t>22Eletron</t>
        </is>
      </c>
      <c r="B1217" s="78" t="inlineStr">
        <is>
          <t>33.0</t>
        </is>
      </c>
      <c r="C1217" s="78" t="inlineStr">
        <is>
          <t>21.033.00</t>
        </is>
      </c>
      <c r="D1217" s="78" t="inlineStr">
        <is>
          <t xml:space="preserve">8471.70 </t>
        </is>
      </c>
      <c r="E1217" s="78" t="n">
        <v>30</v>
      </c>
      <c r="F1217" s="78" t="n">
        <v>50.36</v>
      </c>
      <c r="G1217" s="78" t="n">
        <v>45.66</v>
      </c>
      <c r="H1217" s="78" t="n">
        <v>37.83</v>
      </c>
      <c r="I1217" s="78" t="inlineStr">
        <is>
          <t xml:space="preserve">Unidades de memória </t>
        </is>
      </c>
      <c r="J1217" s="104" t="inlineStr">
        <is>
          <t>Lei nº 1.810, art. 49, § 1º, XXIX; Protocolo ICMS nº 15/07</t>
        </is>
      </c>
      <c r="K1217" s="43" t="inlineStr">
        <is>
          <t>(Itens 28.0 a 35.0: nova redação dada pelo Decreto nº 14.645/2016. Efeitos a partir de 1º.01.2017.)</t>
        </is>
      </c>
      <c r="L1217" s="29">
        <f>IF(D1217="NCM/SH","",COUNTIF($D$5:$D$1506,D1217))</f>
        <v/>
      </c>
    </row>
    <row r="1218" ht="15" customHeight="1" thickBot="1">
      <c r="A1218" s="1" t="inlineStr">
        <is>
          <t>22Eletron</t>
        </is>
      </c>
      <c r="B1218" s="78" t="inlineStr">
        <is>
          <t>34.0</t>
        </is>
      </c>
      <c r="C1218" s="78" t="inlineStr">
        <is>
          <t>21.034.00</t>
        </is>
      </c>
      <c r="D1218" s="78" t="inlineStr">
        <is>
          <t xml:space="preserve">8471.90 </t>
        </is>
      </c>
      <c r="E1218" s="78" t="n">
        <v>30</v>
      </c>
      <c r="F1218" s="78" t="n">
        <v>50.36</v>
      </c>
      <c r="G1218" s="78" t="n">
        <v>45.66</v>
      </c>
      <c r="H1218" s="78" t="n">
        <v>37.83</v>
      </c>
      <c r="I1218" s="78" t="inlineStr">
        <is>
          <t>Outras máquinas automáticas para processamento de dados e suas unidades; leitores magnéticos ou ópticos, máquinas para registrar dados em suporte sob forma codificada, e máquinas para processamento desses dados, não especificadas nem compreendidas em outras posições</t>
        </is>
      </c>
      <c r="J1218" s="105" t="inlineStr">
        <is>
          <t>Lei nº 1.810, art. 49, § 1º, XXIX; Protocolo ICMS nº 15/07</t>
        </is>
      </c>
      <c r="K1218" s="43" t="inlineStr">
        <is>
          <t>(Itens 28.0 a 35.0: nova redação dada pelo Decreto nº 14.645/2016. Efeitos a partir de 1º.01.2017.)</t>
        </is>
      </c>
      <c r="L1218" s="29">
        <f>IF(D1218="NCM/SH","",COUNTIF($D$5:$D$1506,D1218))</f>
        <v/>
      </c>
    </row>
    <row r="1219" ht="14.45" customHeight="1" thickBot="1">
      <c r="A1219" s="1" t="inlineStr">
        <is>
          <t>22Eletron</t>
        </is>
      </c>
      <c r="B1219" s="81" t="inlineStr">
        <is>
          <t>35.0</t>
        </is>
      </c>
      <c r="C1219" s="81" t="inlineStr">
        <is>
          <t>21.035.00</t>
        </is>
      </c>
      <c r="D1219" s="81" t="inlineStr">
        <is>
          <t xml:space="preserve">8473.30 </t>
        </is>
      </c>
      <c r="E1219" s="81" t="n">
        <v>30</v>
      </c>
      <c r="F1219" s="81" t="n">
        <v>50.36</v>
      </c>
      <c r="G1219" s="81" t="n">
        <v>45.66</v>
      </c>
      <c r="H1219" s="81" t="n">
        <v>37.83</v>
      </c>
      <c r="I1219" s="81" t="inlineStr">
        <is>
          <t xml:space="preserve">Partes e acessórios das máquinas da posição 84.71 </t>
        </is>
      </c>
      <c r="J1219" s="42" t="inlineStr">
        <is>
          <t>Lei nº 1.810, art. 49, § 1º, XXIX; Protocolo ICMS nº 15/07</t>
        </is>
      </c>
      <c r="K1219" s="43" t="inlineStr">
        <is>
          <t>(Itens 28.0 a 35.0: nova redação dada pelo Decreto nº 14.645/2016. Efeitos a partir de 1º.01.2017.)</t>
        </is>
      </c>
      <c r="L1219" s="29">
        <f>IF(D1219="NCM/SH","",COUNTIF($D$5:$D$1506,D1219))</f>
        <v/>
      </c>
    </row>
    <row r="1220" ht="15" customHeight="1" thickBot="1">
      <c r="A1220" s="1" t="inlineStr">
        <is>
          <t>22Eletron</t>
        </is>
      </c>
      <c r="B1220" s="165" t="inlineStr">
        <is>
          <t>36.0</t>
        </is>
      </c>
      <c r="C1220" s="165" t="inlineStr">
        <is>
          <t>21.036.00</t>
        </is>
      </c>
      <c r="D1220" s="165" t="inlineStr">
        <is>
          <t xml:space="preserve">8504.3 </t>
        </is>
      </c>
      <c r="E1220" s="165" t="n">
        <v>38</v>
      </c>
      <c r="F1220" s="165" t="n">
        <v>59.61</v>
      </c>
      <c r="G1220" s="165" t="n">
        <v>54.63</v>
      </c>
      <c r="H1220" s="165" t="n">
        <v>46.31</v>
      </c>
      <c r="I1220" s="78" t="inlineStr">
        <is>
          <t>Outros transformadores, exceto os classificados nos códigos 8504.33.00 e 8504.34.00</t>
        </is>
      </c>
      <c r="J1220" s="42" t="inlineStr">
        <is>
          <t>Lei nº 1.810, art. 49, § 1º, XXIX; Protocolo ICMS nº 15/07</t>
        </is>
      </c>
      <c r="L1220" s="29">
        <f>IF(D1220="NCM/SH","",COUNTIF($D$5:$D$1506,D1220))</f>
        <v/>
      </c>
    </row>
    <row r="1221" ht="15" customHeight="1" thickBot="1">
      <c r="A1221" s="1" t="inlineStr">
        <is>
          <t>22Eletron</t>
        </is>
      </c>
      <c r="B1221" s="165" t="inlineStr">
        <is>
          <t>37.0</t>
        </is>
      </c>
      <c r="C1221" s="165" t="inlineStr">
        <is>
          <t>21.037.00</t>
        </is>
      </c>
      <c r="D1221" s="165" t="inlineStr">
        <is>
          <t xml:space="preserve">8504.40.10 </t>
        </is>
      </c>
      <c r="E1221" s="165" t="n">
        <v>38</v>
      </c>
      <c r="F1221" s="165" t="n">
        <v>59.61</v>
      </c>
      <c r="G1221" s="165" t="n">
        <v>54.63</v>
      </c>
      <c r="H1221" s="165" t="n">
        <v>46.31</v>
      </c>
      <c r="I1221" s="78" t="inlineStr">
        <is>
          <t xml:space="preserve">Carregadores de acumuladores </t>
        </is>
      </c>
      <c r="J1221" s="45" t="inlineStr">
        <is>
          <t>Lei nº 1.810, art. 49, § 1º, XXIX; Protocolo ICMS nº 15/07</t>
        </is>
      </c>
      <c r="L1221" s="29">
        <f>IF(D1221="NCM/SH","",COUNTIF($D$5:$D$1506,D1221))</f>
        <v/>
      </c>
    </row>
    <row r="1222" ht="15" customHeight="1" thickBot="1">
      <c r="A1222" s="1" t="inlineStr">
        <is>
          <t>22Eletron</t>
        </is>
      </c>
      <c r="B1222" s="165" t="inlineStr">
        <is>
          <t>38.0</t>
        </is>
      </c>
      <c r="C1222" s="165" t="inlineStr">
        <is>
          <t>21.038.00</t>
        </is>
      </c>
      <c r="D1222" s="165" t="inlineStr">
        <is>
          <t xml:space="preserve">8504.40.40 </t>
        </is>
      </c>
      <c r="E1222" s="165" t="n">
        <v>38</v>
      </c>
      <c r="F1222" s="165" t="n">
        <v>59.61</v>
      </c>
      <c r="G1222" s="165" t="n">
        <v>54.63</v>
      </c>
      <c r="H1222" s="165" t="n">
        <v>46.31</v>
      </c>
      <c r="I1222" s="78" t="inlineStr">
        <is>
          <t>Equipamentos de alimentação ininterrupta de energia (UPS ou "no break")</t>
        </is>
      </c>
      <c r="J1222" s="105" t="inlineStr">
        <is>
          <t>Lei nº 1.810, art. 49, § 1º, XXIX; Protocolo ICMS nº 15/07</t>
        </is>
      </c>
      <c r="L1222" s="29">
        <f>IF(D1222="NCM/SH","",COUNTIF($D$5:$D$1506,D1222))</f>
        <v/>
      </c>
    </row>
    <row r="1223" ht="15" customHeight="1" thickBot="1">
      <c r="A1223" s="1" t="inlineStr">
        <is>
          <t>22Eletron</t>
        </is>
      </c>
      <c r="B1223" s="165" t="inlineStr">
        <is>
          <t>39.0</t>
        </is>
      </c>
      <c r="C1223" s="165" t="inlineStr">
        <is>
          <t>21.039.00</t>
        </is>
      </c>
      <c r="D1223" s="165" t="inlineStr">
        <is>
          <t>8507.80.00</t>
        </is>
      </c>
      <c r="E1223" s="165" t="n">
        <v>40</v>
      </c>
      <c r="F1223" s="165" t="n">
        <v>61.93</v>
      </c>
      <c r="G1223" s="165" t="n">
        <v>56.87</v>
      </c>
      <c r="H1223" s="165" t="n">
        <v>48.43</v>
      </c>
      <c r="I1223" s="78" t="inlineStr">
        <is>
          <t>Outros acumuladores</t>
        </is>
      </c>
      <c r="J1223" s="42" t="inlineStr">
        <is>
          <t>Lei nº 1.810, art. 49, § 1º, XXIX; Protocolo ICMS nº 15/07</t>
        </is>
      </c>
      <c r="L1223" s="29">
        <f>IF(D1223="NCM/SH","",COUNTIF($D$5:$D$1506,D1223))</f>
        <v/>
      </c>
    </row>
    <row r="1224" ht="15" customHeight="1" thickBot="1">
      <c r="A1224" s="1" t="inlineStr">
        <is>
          <t>22Eletron</t>
        </is>
      </c>
      <c r="B1224" s="165" t="inlineStr">
        <is>
          <t>40.0</t>
        </is>
      </c>
      <c r="C1224" s="165" t="inlineStr">
        <is>
          <t>21.040.00</t>
        </is>
      </c>
      <c r="D1224" s="165" t="n">
        <v>8508</v>
      </c>
      <c r="E1224" s="165" t="n">
        <v>37.73</v>
      </c>
      <c r="F1224" s="165" t="n">
        <v>59.3</v>
      </c>
      <c r="G1224" s="165" t="n">
        <v>54.32</v>
      </c>
      <c r="H1224" s="165" t="n">
        <v>46.03</v>
      </c>
      <c r="I1224" s="78" t="inlineStr">
        <is>
          <t>Aspiradores</t>
        </is>
      </c>
      <c r="J1224" s="46" t="inlineStr">
        <is>
          <t>Lei nº 1.810, art. 49, § 1º, XXIX; Protocolo ICMS nº 15/07</t>
        </is>
      </c>
      <c r="L1224" s="29">
        <f>IF(D1224="NCM/SH","",COUNTIF($D$5:$D$1506,D1224))</f>
        <v/>
      </c>
    </row>
    <row r="1225" ht="15" customHeight="1" thickBot="1">
      <c r="A1225" s="1" t="inlineStr">
        <is>
          <t>22Eletron</t>
        </is>
      </c>
      <c r="B1225" s="165" t="inlineStr">
        <is>
          <t>41.0</t>
        </is>
      </c>
      <c r="C1225" s="165" t="inlineStr">
        <is>
          <t>21.041.00</t>
        </is>
      </c>
      <c r="D1225" s="165" t="n">
        <v>8509</v>
      </c>
      <c r="E1225" s="165" t="n">
        <v>47.26</v>
      </c>
      <c r="F1225" s="165" t="n">
        <v>70.31999999999999</v>
      </c>
      <c r="G1225" s="165" t="n">
        <v>65</v>
      </c>
      <c r="H1225" s="165" t="n">
        <v>56.13</v>
      </c>
      <c r="I1225" s="78" t="inlineStr">
        <is>
          <t xml:space="preserve">Aparelhos eletromecânicos de motor elétrico incorporado, de uso doméstico e suas partes </t>
        </is>
      </c>
      <c r="J1225" s="42" t="inlineStr">
        <is>
          <t>Lei nº 1.810, art. 49, § 1º, XXIX; Protocolo ICMS nº 15/07</t>
        </is>
      </c>
      <c r="L1225" s="29">
        <f>IF(D1225="NCM/SH","",COUNTIF($D$5:$D$1506,D1225))</f>
        <v/>
      </c>
    </row>
    <row r="1226" ht="15" customHeight="1" thickBot="1">
      <c r="A1226" s="1" t="inlineStr">
        <is>
          <t>22Eletron</t>
        </is>
      </c>
      <c r="B1226" s="165" t="inlineStr">
        <is>
          <t>42.0</t>
        </is>
      </c>
      <c r="C1226" s="165" t="inlineStr">
        <is>
          <t>21.042.00</t>
        </is>
      </c>
      <c r="D1226" s="165" t="inlineStr">
        <is>
          <t xml:space="preserve">8509.80.10 </t>
        </is>
      </c>
      <c r="E1226" s="165" t="n">
        <v>47.26</v>
      </c>
      <c r="F1226" s="165" t="n">
        <v>70.31999999999999</v>
      </c>
      <c r="G1226" s="165" t="n">
        <v>65</v>
      </c>
      <c r="H1226" s="165" t="n">
        <v>56.13</v>
      </c>
      <c r="I1226" s="78" t="inlineStr">
        <is>
          <t>Enceradeiras</t>
        </is>
      </c>
      <c r="J1226" s="46" t="inlineStr">
        <is>
          <t>Lei nº 1.810, art. 49, § 1º, XXIX; Protocolo ICMS nº 15/07</t>
        </is>
      </c>
      <c r="L1226" s="29">
        <f>IF(D1226="NCM/SH","",COUNTIF($D$5:$D$1506,D1226))</f>
        <v/>
      </c>
    </row>
    <row r="1227" ht="14.45" customHeight="1" thickBot="1">
      <c r="A1227" s="1" t="inlineStr">
        <is>
          <t>22Eletron</t>
        </is>
      </c>
      <c r="B1227" s="98" t="inlineStr">
        <is>
          <t>43.0</t>
        </is>
      </c>
      <c r="C1227" s="98" t="inlineStr">
        <is>
          <t>21.043.00</t>
        </is>
      </c>
      <c r="D1227" s="98" t="inlineStr">
        <is>
          <t xml:space="preserve">8516.10.00 </t>
        </is>
      </c>
      <c r="E1227" s="98" t="n">
        <v>35.03</v>
      </c>
      <c r="F1227" s="98" t="n">
        <v>56.18</v>
      </c>
      <c r="G1227" s="98" t="n">
        <v>51.3</v>
      </c>
      <c r="H1227" s="98" t="n">
        <v>43.17</v>
      </c>
      <c r="I1227" s="81" t="inlineStr">
        <is>
          <t>Chaleiras elétricas</t>
        </is>
      </c>
      <c r="J1227" s="42" t="inlineStr">
        <is>
          <t>Lei nº 1.810, art. 49, § 1º, XXIX; Protocolo ICMS nº 15/07</t>
        </is>
      </c>
      <c r="L1227" s="29">
        <f>IF(D1227="NCM/SH","",COUNTIF($D$5:$D$1506,D1227))</f>
        <v/>
      </c>
    </row>
    <row r="1228" ht="15" customHeight="1" thickBot="1">
      <c r="A1228" s="1" t="inlineStr">
        <is>
          <t>22Eletron</t>
        </is>
      </c>
      <c r="B1228" s="165" t="inlineStr">
        <is>
          <t>44.0</t>
        </is>
      </c>
      <c r="C1228" s="165" t="inlineStr">
        <is>
          <t>21.044.00</t>
        </is>
      </c>
      <c r="D1228" s="165" t="inlineStr">
        <is>
          <t xml:space="preserve">8516.40.00 </t>
        </is>
      </c>
      <c r="E1228" s="165" t="n">
        <v>47.26</v>
      </c>
      <c r="F1228" s="165" t="n">
        <v>70.31999999999999</v>
      </c>
      <c r="G1228" s="165" t="n">
        <v>65</v>
      </c>
      <c r="H1228" s="165" t="n">
        <v>56.13</v>
      </c>
      <c r="I1228" s="78" t="inlineStr">
        <is>
          <t>Ferros elétricos de passar</t>
        </is>
      </c>
      <c r="J1228" s="42" t="inlineStr">
        <is>
          <t>Lei nº 1.810, art. 49, § 1º, XXIX; Protocolo ICMS nº 15/07</t>
        </is>
      </c>
      <c r="L1228" s="29">
        <f>IF(D1228="NCM/SH","",COUNTIF($D$5:$D$1506,D1228))</f>
        <v/>
      </c>
    </row>
    <row r="1229" ht="15" customHeight="1" thickBot="1">
      <c r="A1229" s="1" t="inlineStr">
        <is>
          <t>22Eletron</t>
        </is>
      </c>
      <c r="B1229" s="165" t="inlineStr">
        <is>
          <t>45.0</t>
        </is>
      </c>
      <c r="C1229" s="165" t="inlineStr">
        <is>
          <t>21.045.00</t>
        </is>
      </c>
      <c r="D1229" s="165" t="inlineStr">
        <is>
          <t xml:space="preserve">8516.50.00 </t>
        </is>
      </c>
      <c r="E1229" s="165" t="n">
        <v>47.26</v>
      </c>
      <c r="F1229" s="165" t="n">
        <v>70.31999999999999</v>
      </c>
      <c r="G1229" s="165" t="n">
        <v>65</v>
      </c>
      <c r="H1229" s="165" t="n">
        <v>56.13</v>
      </c>
      <c r="I1229" s="78" t="inlineStr">
        <is>
          <t>Fornos de micro-ondas</t>
        </is>
      </c>
      <c r="J1229" s="45" t="inlineStr">
        <is>
          <t>Lei nº 1.810, art. 49, § 1º, XXIX; Protocolo ICMS nº 15/07</t>
        </is>
      </c>
      <c r="L1229" s="29">
        <f>IF(D1229="NCM/SH","",COUNTIF($D$5:$D$1506,D1229))</f>
        <v/>
      </c>
    </row>
    <row r="1230" ht="15" customHeight="1" thickBot="1">
      <c r="A1230" s="1" t="inlineStr">
        <is>
          <t>22Eletron</t>
        </is>
      </c>
      <c r="B1230" s="165" t="inlineStr">
        <is>
          <t>46.0</t>
        </is>
      </c>
      <c r="C1230" s="165" t="inlineStr">
        <is>
          <t>21.046.00</t>
        </is>
      </c>
      <c r="D1230" s="165" t="inlineStr">
        <is>
          <t xml:space="preserve">8516.60.00 </t>
        </is>
      </c>
      <c r="E1230" s="165" t="n">
        <v>47.26</v>
      </c>
      <c r="F1230" s="165" t="n">
        <v>70.31999999999999</v>
      </c>
      <c r="G1230" s="165" t="n">
        <v>65</v>
      </c>
      <c r="H1230" s="165" t="n">
        <v>56.13</v>
      </c>
      <c r="I1230" s="78" t="inlineStr">
        <is>
          <t>Outros fornos; fogareiros (incluídas as chapas de cocção), grelhas e assadeiras, exceto os portáteis</t>
        </is>
      </c>
      <c r="J1230" s="104" t="inlineStr">
        <is>
          <t>Lei nº 1.810, art. 49, § 1º, XXIX; Protocolo ICMS nº 15/07</t>
        </is>
      </c>
      <c r="L1230" s="29">
        <f>IF(D1230="NCM/SH","",COUNTIF($D$5:$D$1506,D1230))</f>
        <v/>
      </c>
    </row>
    <row r="1231" ht="15" customHeight="1" thickBot="1">
      <c r="A1231" s="1" t="inlineStr">
        <is>
          <t>22Eletron</t>
        </is>
      </c>
      <c r="B1231" s="165" t="inlineStr">
        <is>
          <t>47.0</t>
        </is>
      </c>
      <c r="C1231" s="165" t="inlineStr">
        <is>
          <t>21.047.00</t>
        </is>
      </c>
      <c r="D1231" s="165" t="inlineStr">
        <is>
          <t xml:space="preserve">8516.60.00 </t>
        </is>
      </c>
      <c r="E1231" s="165" t="n">
        <v>47.26</v>
      </c>
      <c r="F1231" s="165" t="n">
        <v>70.31999999999999</v>
      </c>
      <c r="G1231" s="165" t="n">
        <v>65</v>
      </c>
      <c r="H1231" s="165" t="n">
        <v>56.13</v>
      </c>
      <c r="I1231" s="78" t="inlineStr">
        <is>
          <t>Outros fornos; fogareiros (incluídas as chapas de cocção), grelhas e assadeiras, portáteis</t>
        </is>
      </c>
      <c r="J1231" s="104" t="inlineStr">
        <is>
          <t>Lei nº 1.810, art. 49, § 1º, XXIX; Protocolo ICMS nº 15/07</t>
        </is>
      </c>
      <c r="L1231" s="29">
        <f>IF(D1231="NCM/SH","",COUNTIF($D$5:$D$1506,D1231))</f>
        <v/>
      </c>
    </row>
    <row r="1232" ht="15" customHeight="1" thickBot="1">
      <c r="A1232" s="1" t="inlineStr">
        <is>
          <t>22Eletron</t>
        </is>
      </c>
      <c r="B1232" s="165" t="inlineStr">
        <is>
          <t>48.0</t>
        </is>
      </c>
      <c r="C1232" s="165" t="inlineStr">
        <is>
          <t>21.048.00</t>
        </is>
      </c>
      <c r="D1232" s="165" t="inlineStr">
        <is>
          <t xml:space="preserve">8516.71.00 </t>
        </is>
      </c>
      <c r="E1232" s="165" t="n">
        <v>47.26</v>
      </c>
      <c r="F1232" s="165" t="n">
        <v>70.31999999999999</v>
      </c>
      <c r="G1232" s="165" t="n">
        <v>65</v>
      </c>
      <c r="H1232" s="165" t="n">
        <v>56.13</v>
      </c>
      <c r="I1232" s="78" t="inlineStr">
        <is>
          <t>Outros aparelhos eletrotérmicos de uso doméstico - Cafeteiras</t>
        </is>
      </c>
      <c r="J1232" s="104" t="inlineStr">
        <is>
          <t>Lei nº 1.810, art. 49, § 1º, XXIX; Protocolo ICMS nº 15/07</t>
        </is>
      </c>
      <c r="L1232" s="29">
        <f>IF(D1232="NCM/SH","",COUNTIF($D$5:$D$1506,D1232))</f>
        <v/>
      </c>
    </row>
    <row r="1233" ht="15" customHeight="1" thickBot="1">
      <c r="A1233" s="1" t="inlineStr">
        <is>
          <t>22Eletron</t>
        </is>
      </c>
      <c r="B1233" s="165" t="inlineStr">
        <is>
          <t>49.0</t>
        </is>
      </c>
      <c r="C1233" s="165" t="inlineStr">
        <is>
          <t>21.049.00</t>
        </is>
      </c>
      <c r="D1233" s="165" t="inlineStr">
        <is>
          <t xml:space="preserve">8516.72.00 </t>
        </is>
      </c>
      <c r="E1233" s="165" t="n">
        <v>47.26</v>
      </c>
      <c r="F1233" s="165" t="n">
        <v>70.31999999999999</v>
      </c>
      <c r="G1233" s="165" t="n">
        <v>65</v>
      </c>
      <c r="H1233" s="165" t="n">
        <v>56.13</v>
      </c>
      <c r="I1233" s="78" t="inlineStr">
        <is>
          <t xml:space="preserve">Outros aparelhos eletrotérmicos de uso doméstico - Torradeiras </t>
        </is>
      </c>
      <c r="J1233" s="104" t="inlineStr">
        <is>
          <t>Lei nº 1.810, art. 49, § 1º, XXIX; Protocolo ICMS nº 15/07</t>
        </is>
      </c>
      <c r="L1233" s="29">
        <f>IF(D1233="NCM/SH","",COUNTIF($D$5:$D$1506,D1233))</f>
        <v/>
      </c>
    </row>
    <row r="1234" ht="15" customHeight="1" thickBot="1">
      <c r="A1234" s="1" t="inlineStr">
        <is>
          <t>22Eletron</t>
        </is>
      </c>
      <c r="B1234" s="165" t="inlineStr">
        <is>
          <t>50.0</t>
        </is>
      </c>
      <c r="C1234" s="165" t="inlineStr">
        <is>
          <t>21.050.00</t>
        </is>
      </c>
      <c r="D1234" s="165" t="inlineStr">
        <is>
          <t xml:space="preserve">8516.79 </t>
        </is>
      </c>
      <c r="E1234" s="165" t="n">
        <v>47.26</v>
      </c>
      <c r="F1234" s="165" t="n">
        <v>70.31999999999999</v>
      </c>
      <c r="G1234" s="165" t="n">
        <v>65</v>
      </c>
      <c r="H1234" s="165" t="n">
        <v>56.13</v>
      </c>
      <c r="I1234" s="78" t="inlineStr">
        <is>
          <t>Outros aparelhos eletrotérmicos de uso doméstico</t>
        </is>
      </c>
      <c r="J1234" s="105" t="inlineStr">
        <is>
          <t>Lei nº 1.810, art. 49, § 1º, XXIX; Protocolo ICMS nº 15/07</t>
        </is>
      </c>
      <c r="L1234" s="29">
        <f>IF(D1234="NCM/SH","",COUNTIF($D$5:$D$1506,D1234))</f>
        <v/>
      </c>
    </row>
    <row r="1235" ht="14.45" customHeight="1" thickBot="1">
      <c r="A1235" s="1" t="inlineStr">
        <is>
          <t>22Eletron</t>
        </is>
      </c>
      <c r="B1235" s="81" t="inlineStr">
        <is>
          <t>51.0</t>
        </is>
      </c>
      <c r="C1235" s="81" t="inlineStr">
        <is>
          <t>21.051.00</t>
        </is>
      </c>
      <c r="D1235" s="81" t="inlineStr">
        <is>
          <t xml:space="preserve">8516.90.00 </t>
        </is>
      </c>
      <c r="E1235" s="81" t="n">
        <v>35.03</v>
      </c>
      <c r="F1235" s="81" t="n">
        <v>56.18</v>
      </c>
      <c r="G1235" s="81" t="n">
        <v>51.3</v>
      </c>
      <c r="H1235" s="81" t="n">
        <v>43.17</v>
      </c>
      <c r="I1235" s="81" t="inlineStr">
        <is>
          <t>Partes das chaleiras, ferros, fornos e outros aparelhos eletrotérmicos da posição 85.16, descritos nos CEST 21.043.00, 21.044.00, 21.045.00, 21.046.00, 21.047.00, 21.048.00, 21.049.00 e 21.050.00</t>
        </is>
      </c>
      <c r="J1235" s="42" t="inlineStr">
        <is>
          <t>Lei nº 1.810, art. 49, § 1º, XXIX; Protocolo ICMS nº 15/07</t>
        </is>
      </c>
      <c r="L1235" s="29">
        <f>IF(D1235="NCM/SH","",COUNTIF($D$5:$D$1506,D1235))</f>
        <v/>
      </c>
    </row>
    <row r="1236" ht="15" customHeight="1" thickBot="1">
      <c r="A1236" s="1" t="inlineStr">
        <is>
          <t>22Eletron</t>
        </is>
      </c>
      <c r="B1236" s="43" t="inlineStr">
        <is>
          <t>(Item 51.0: nova redação dada pelo Decreto nº 14.645/2016. Efeitos a partir de 1º.01.2017.)</t>
        </is>
      </c>
      <c r="C1236" s="53" t="inlineStr">
        <is>
          <t>21.051.00</t>
        </is>
      </c>
      <c r="D1236" s="53" t="inlineStr">
        <is>
          <t xml:space="preserve">8516.90.00 </t>
        </is>
      </c>
      <c r="E1236" s="53" t="n">
        <v>35.03</v>
      </c>
      <c r="F1236" s="53" t="n">
        <v>56.18</v>
      </c>
      <c r="G1236" s="53" t="n">
        <v>51.3</v>
      </c>
      <c r="H1236" s="53" t="n">
        <v>43.17</v>
      </c>
      <c r="I1236" s="53" t="inlineStr">
        <is>
          <t>Partes das chaleiras, ferros, fornos e outros aparelhos eletrotérmicos da posição 85.16, descritos nos CEST 21.043.00, 21.044.00, 21.045.00, 21.046.00, 21.047.00, 21.048.00, 21.049.00 e 21.050.00</t>
        </is>
      </c>
      <c r="J1236" s="164" t="inlineStr">
        <is>
          <t>Lei nº 1.810, art. 49, § 1º, XXIX; Protocolo ICMS nº 15/07</t>
        </is>
      </c>
      <c r="L1236" s="29">
        <f>IF(D1236="NCM/SH","",COUNTIF($D$5:$D$1506,D1236))</f>
        <v/>
      </c>
    </row>
    <row r="1237" ht="15" customHeight="1" thickBot="1">
      <c r="A1237" s="1" t="inlineStr">
        <is>
          <t>22Eletron</t>
        </is>
      </c>
      <c r="B1237" s="99" t="inlineStr">
        <is>
          <t>52.0</t>
        </is>
      </c>
      <c r="C1237" s="165" t="inlineStr">
        <is>
          <t>21.052.00</t>
        </is>
      </c>
      <c r="D1237" s="165" t="inlineStr">
        <is>
          <t xml:space="preserve">8517.11.00 </t>
        </is>
      </c>
      <c r="E1237" s="165" t="n">
        <v>35.54</v>
      </c>
      <c r="F1237" s="165" t="n">
        <v>56.77</v>
      </c>
      <c r="G1237" s="165" t="n">
        <v>51.87</v>
      </c>
      <c r="H1237" s="165" t="n">
        <v>43.71</v>
      </c>
      <c r="I1237" s="78" t="inlineStr">
        <is>
          <t>Aparelhos telefônicos por fio com unidade auscultador - microfone sem fio</t>
        </is>
      </c>
      <c r="J1237" s="106" t="inlineStr">
        <is>
          <t>Lei nº 1.810, art. 49, § 1º, XXIX; Protocolo ICMS nº 15/07</t>
        </is>
      </c>
      <c r="L1237" s="29">
        <f>IF(D1237="NCM/SH","",COUNTIF($D$5:$D$1506,D1237))</f>
        <v/>
      </c>
    </row>
    <row r="1238" ht="14.45" customHeight="1" thickBot="1">
      <c r="A1238" s="1" t="inlineStr">
        <is>
          <t>22Eletron</t>
        </is>
      </c>
      <c r="B1238" s="81" t="inlineStr">
        <is>
          <t>53.0</t>
        </is>
      </c>
      <c r="C1238" s="81" t="inlineStr">
        <is>
          <t>21.053.00</t>
        </is>
      </c>
      <c r="D1238" s="81" t="inlineStr">
        <is>
          <t>8517.13.00</t>
        </is>
      </c>
      <c r="E1238" s="81" t="n">
        <v>9</v>
      </c>
      <c r="F1238" s="81" t="n">
        <v>26.07</v>
      </c>
      <c r="G1238" s="81" t="n">
        <v>22.13</v>
      </c>
      <c r="H1238" s="81" t="n">
        <v>15.56</v>
      </c>
      <c r="I1238" s="81" t="inlineStr">
        <is>
          <t>Telefones inteligentes (“smartphones”) e para redes celulares, excetos por satélite, os de uso automotivo e os classificados nos CEST 21.053.01</t>
        </is>
      </c>
      <c r="J1238" s="42" t="inlineStr">
        <is>
          <t>Lei nº 1.810/97, art. 49, § 1º, inciso XIV; Convênio ICMS 213/17</t>
        </is>
      </c>
      <c r="K1238" s="47" t="inlineStr">
        <is>
          <t>(Item 53.0: nova redação dada pelo Decreto nº 16.011/2022. Efeitos a partir de 16.08.2022)</t>
        </is>
      </c>
      <c r="L1238" s="29">
        <f>IF(D1238="NCM/SH","",COUNTIF($D$5:$D$1506,D1238))</f>
        <v/>
      </c>
    </row>
    <row r="1239" ht="15" customHeight="1" thickBot="1">
      <c r="A1239" s="1" t="inlineStr">
        <is>
          <t>22Eletron</t>
        </is>
      </c>
      <c r="B1239" s="82" t="n">
        <v>53</v>
      </c>
      <c r="C1239" s="82" t="inlineStr">
        <is>
          <t>21.053.00</t>
        </is>
      </c>
      <c r="D1239" s="82" t="inlineStr">
        <is>
          <t>8517.14.3</t>
        </is>
      </c>
      <c r="E1239" s="82" t="n">
        <v>9</v>
      </c>
      <c r="F1239" s="82" t="n">
        <v>26.07</v>
      </c>
      <c r="G1239" s="82" t="n">
        <v>22.13</v>
      </c>
      <c r="H1239" s="82" t="n">
        <v>15.56</v>
      </c>
      <c r="I1239" s="82" t="inlineStr">
        <is>
          <t>Telefones inteligentes (“smartphones”) e para redes celulares, excetos por satélite, os de uso automotivo e os classificados nos CEST 21.053.01</t>
        </is>
      </c>
      <c r="J1239" s="107" t="inlineStr">
        <is>
          <t>Lei nº 1.810/97, art. 49, § 1º, inciso XIV; Convênio ICMS 213/17</t>
        </is>
      </c>
      <c r="K1239" s="47" t="inlineStr">
        <is>
          <t>(Item 53.0: nova redação dada pelo Decreto nº 16.011/2022. Efeitos a partir de 16.08.2022)</t>
        </is>
      </c>
      <c r="L1239" s="29">
        <f>IF(D1239="NCM/SH","",COUNTIF($D$5:$D$1506,D1239))</f>
        <v/>
      </c>
    </row>
    <row r="1240" ht="15" customHeight="1" thickBot="1">
      <c r="A1240" s="1" t="inlineStr">
        <is>
          <t>22Eletron</t>
        </is>
      </c>
      <c r="B1240" s="62" t="n">
        <v>53</v>
      </c>
      <c r="C1240" s="95" t="inlineStr">
        <is>
          <t>21.053.00</t>
        </is>
      </c>
      <c r="D1240" s="95" t="inlineStr">
        <is>
          <t>8517.14.3</t>
        </is>
      </c>
      <c r="E1240" s="95" t="n">
        <v>9</v>
      </c>
      <c r="F1240" s="95" t="n">
        <v>26.07</v>
      </c>
      <c r="G1240" s="95" t="n">
        <v>22.13</v>
      </c>
      <c r="H1240" s="95" t="n">
        <v>15.56</v>
      </c>
      <c r="I1240" s="95" t="inlineStr">
        <is>
          <t>Telefones inteligentes (“smartphones”) e para redes celulares, excetos por satélite, os de uso automotivo e os classificados nos CEST 21.053.01</t>
        </is>
      </c>
      <c r="J1240" s="104" t="inlineStr">
        <is>
          <t>Lei nº 1.810/97, art. 49, § 1º, inciso XIV; Convênio ICMS 213/17</t>
        </is>
      </c>
      <c r="K1240" s="47" t="inlineStr">
        <is>
          <t>(Item 53.1: nova redação dada pelo Decreto nº 16.011/2022. Efeitos a partir de 16.08.2022)</t>
        </is>
      </c>
      <c r="L1240" s="29">
        <f>IF(D1240="NCM/SH","",COUNTIF($D$5:$D$1506,D1240))</f>
        <v/>
      </c>
    </row>
    <row r="1241" ht="14.45" customHeight="1" thickBot="1">
      <c r="A1241" s="1" t="inlineStr">
        <is>
          <t>22Eletron</t>
        </is>
      </c>
      <c r="B1241" s="100" t="inlineStr">
        <is>
          <t>53.1</t>
        </is>
      </c>
      <c r="C1241" s="81" t="inlineStr">
        <is>
          <t>21.053.01</t>
        </is>
      </c>
      <c r="D1241" s="81" t="inlineStr">
        <is>
          <t>8517.13.00</t>
        </is>
      </c>
      <c r="E1241" s="81" t="n">
        <v>9</v>
      </c>
      <c r="F1241" s="81" t="n">
        <v>26.07</v>
      </c>
      <c r="G1241" s="81" t="n">
        <v>22.13</v>
      </c>
      <c r="H1241" s="81" t="n">
        <v>15.56</v>
      </c>
      <c r="I1241" s="81" t="inlineStr">
        <is>
          <t>Telefones inteligentes (“smartphones”) e para redes celulares portáteis, excetos por satélite</t>
        </is>
      </c>
      <c r="J1241" s="104" t="inlineStr">
        <is>
          <t>Lei nº 1.810/97, art. 49, § 1º, inciso XIV; Convênio ICMS 213/17</t>
        </is>
      </c>
      <c r="K1241" s="47" t="inlineStr">
        <is>
          <t>(Item 53.1: nova redação dada pelo Decreto nº 16.011/2022. Efeitos a partir de 16.08.2022)</t>
        </is>
      </c>
      <c r="L1241" s="29">
        <f>IF(D1241="NCM/SH","",COUNTIF($D$5:$D$1506,D1241))</f>
        <v/>
      </c>
    </row>
    <row r="1242" ht="15.75" customHeight="1" thickBot="1">
      <c r="A1242" s="1" t="inlineStr">
        <is>
          <t>22Eletron</t>
        </is>
      </c>
      <c r="B1242" s="82" t="n">
        <v>53.1</v>
      </c>
      <c r="C1242" s="82" t="inlineStr">
        <is>
          <t>21.053.01</t>
        </is>
      </c>
      <c r="D1242" s="82" t="inlineStr">
        <is>
          <t>8517.14.31</t>
        </is>
      </c>
      <c r="E1242" s="82" t="n">
        <v>9</v>
      </c>
      <c r="F1242" s="82" t="n">
        <v>26.07</v>
      </c>
      <c r="G1242" s="82" t="n">
        <v>22.13</v>
      </c>
      <c r="H1242" s="82" t="n">
        <v>15.56</v>
      </c>
      <c r="I1242" s="82" t="inlineStr">
        <is>
          <t>Telefones inteligentes (“smartphones”) e para redes celulares portáteis, excetos por satélite</t>
        </is>
      </c>
      <c r="J1242" s="104" t="inlineStr">
        <is>
          <t>Lei nº 1.810/97, art. 49, § 1º, inciso XIV; Convênio ICMS 213/17</t>
        </is>
      </c>
      <c r="L1242" s="29">
        <f>IF(D1242="NCM/SH","",COUNTIF($D$5:$D$1506,D1242))</f>
        <v/>
      </c>
    </row>
    <row r="1243" ht="15" customHeight="1" thickBot="1">
      <c r="A1243" s="1" t="inlineStr">
        <is>
          <t>22Eletron</t>
        </is>
      </c>
      <c r="B1243" s="99" t="inlineStr">
        <is>
          <t>54.0</t>
        </is>
      </c>
      <c r="C1243" s="165" t="inlineStr">
        <is>
          <t>21.054.00</t>
        </is>
      </c>
      <c r="D1243" s="165" t="inlineStr">
        <is>
          <t>8517.14</t>
        </is>
      </c>
      <c r="E1243" s="165" t="n">
        <v>9</v>
      </c>
      <c r="F1243" s="165" t="n">
        <v>26.07</v>
      </c>
      <c r="G1243" s="165" t="n">
        <v>22.13</v>
      </c>
      <c r="H1243" s="165" t="n">
        <v>15.56</v>
      </c>
      <c r="I1243" s="78" t="inlineStr">
        <is>
          <t>Outros telefones para outras redes sem fio, excetos os de uso automotivo e os classificados nos CEST 21.053.00 e 21.053.01</t>
        </is>
      </c>
      <c r="J1243" s="106" t="inlineStr">
        <is>
          <t>Lei nº 1.810/97, art. 49, § 1º, inciso XIV; Convênio ICMS 213/17</t>
        </is>
      </c>
      <c r="K1243" s="47" t="inlineStr">
        <is>
          <t>(Item 54: nova redação dada pelo Decreto nº 16.011/2022. Efeitos a partir de 16.08.2022)</t>
        </is>
      </c>
      <c r="L1243" s="29">
        <f>IF(D1243="NCM/SH","",COUNTIF($D$5:$D$1506,D1243))</f>
        <v/>
      </c>
    </row>
    <row r="1244" ht="14.45" customHeight="1" thickBot="1">
      <c r="A1244" s="1" t="inlineStr">
        <is>
          <t>22Eletron</t>
        </is>
      </c>
      <c r="B1244" s="100" t="inlineStr">
        <is>
          <t>55.0</t>
        </is>
      </c>
      <c r="C1244" s="81" t="inlineStr">
        <is>
          <t>21.055.00</t>
        </is>
      </c>
      <c r="D1244" s="81" t="inlineStr">
        <is>
          <t>8517.18.30</t>
        </is>
      </c>
      <c r="E1244" s="81" t="n">
        <v>35.54</v>
      </c>
      <c r="F1244" s="81" t="n">
        <v>56.77</v>
      </c>
      <c r="G1244" s="81" t="n">
        <v>51.87</v>
      </c>
      <c r="H1244" s="81" t="n">
        <v>43.71</v>
      </c>
      <c r="I1244" s="81" t="inlineStr">
        <is>
          <t>Outros aparelhos telefônicos não combinados com outros aparelhos</t>
        </is>
      </c>
      <c r="J1244" s="42" t="inlineStr">
        <is>
          <t>Lei nº 1.810/97, art. 49, § 1º, inciso XIV; Convênio ICMS 213/17</t>
        </is>
      </c>
      <c r="K1244" s="47" t="inlineStr">
        <is>
          <t>(Item 55: nova redação dada pelo Decreto nº 16.011/2022. Efeitos a partir de 16.08.2022)</t>
        </is>
      </c>
      <c r="L1244" s="29">
        <f>IF(D1244="NCM/SH","",COUNTIF($D$5:$D$1506,D1244))</f>
        <v/>
      </c>
    </row>
    <row r="1245" ht="15" customHeight="1" thickBot="1">
      <c r="A1245" s="1" t="inlineStr">
        <is>
          <t>22Eletron</t>
        </is>
      </c>
      <c r="B1245" s="82" t="inlineStr">
        <is>
          <t>55.1</t>
        </is>
      </c>
      <c r="C1245" s="78" t="inlineStr">
        <is>
          <t>21.055.01</t>
        </is>
      </c>
      <c r="D1245" s="78" t="inlineStr">
        <is>
          <t>8517.18.90</t>
        </is>
      </c>
      <c r="E1245" s="78" t="n">
        <v>35.54</v>
      </c>
      <c r="F1245" s="78" t="n">
        <v>56.77</v>
      </c>
      <c r="G1245" s="78" t="n">
        <v>51.87</v>
      </c>
      <c r="H1245" s="78" t="n">
        <v>43.71</v>
      </c>
      <c r="I1245" s="78" t="inlineStr">
        <is>
          <t>Outros aparelhos telefônicos</t>
        </is>
      </c>
      <c r="J1245" s="106" t="inlineStr">
        <is>
          <t>Lei nº 1.810/97, art. 49, § 1º, inciso XIV; Convênio ICMS 213/17</t>
        </is>
      </c>
      <c r="K1245" s="47" t="inlineStr">
        <is>
          <t>(Item 55.1: nova redação dada pelo Decreto nº 16.011/2022. Efeitos a partir de 16.08.2022)</t>
        </is>
      </c>
      <c r="L1245" s="29">
        <f>IF(D1245="NCM/SH","",COUNTIF($D$5:$D$1506,D1245))</f>
        <v/>
      </c>
    </row>
    <row r="1246" ht="15" customHeight="1" thickBot="1">
      <c r="A1246" s="1" t="inlineStr">
        <is>
          <t>22Eletron</t>
        </is>
      </c>
      <c r="B1246" s="99" t="inlineStr">
        <is>
          <t>56.0</t>
        </is>
      </c>
      <c r="C1246" s="165" t="inlineStr">
        <is>
          <t>21.056.00</t>
        </is>
      </c>
      <c r="D1246" s="165" t="inlineStr">
        <is>
          <t>8517.62.59</t>
        </is>
      </c>
      <c r="E1246" s="165" t="n">
        <v>35.54</v>
      </c>
      <c r="F1246" s="165" t="n">
        <v>56.77</v>
      </c>
      <c r="G1246" s="165" t="n">
        <v>51.87</v>
      </c>
      <c r="H1246" s="165" t="n">
        <v>43.71</v>
      </c>
      <c r="I1246" s="165" t="inlineStr">
        <is>
          <t>Outros aparelhos para transmissão ou recepção de voz, imagem ou outros dados em rede com fio.</t>
        </is>
      </c>
      <c r="J1246" s="42" t="inlineStr">
        <is>
          <t>Lei nº 1.810/97, art. 49, § 1º, inciso XIV;</t>
        </is>
      </c>
      <c r="K1246" s="43" t="inlineStr">
        <is>
          <t>(Item 56.0: nova redação dada pelo Decreto nº 15.520/2020. Efeitos a partir de 1º.03.2020.)</t>
        </is>
      </c>
      <c r="L1246" s="29">
        <f>IF(D1246="NCM/SH","",COUNTIF($D$5:$D$1506,D1246))</f>
        <v/>
      </c>
    </row>
    <row r="1247" ht="14.45" customHeight="1" thickBot="1">
      <c r="A1247" s="1" t="inlineStr">
        <is>
          <t>22Eletron</t>
        </is>
      </c>
      <c r="B1247" s="98" t="inlineStr">
        <is>
          <t>56.1</t>
        </is>
      </c>
      <c r="C1247" s="98" t="inlineStr">
        <is>
          <t>21.056.01</t>
        </is>
      </c>
      <c r="D1247" s="98" t="inlineStr">
        <is>
          <t>8517.62.54</t>
        </is>
      </c>
      <c r="E1247" s="98" t="n">
        <v>35.54</v>
      </c>
      <c r="F1247" s="98" t="n">
        <v>56.77</v>
      </c>
      <c r="G1247" s="98" t="n">
        <v>51.87</v>
      </c>
      <c r="H1247" s="98" t="n">
        <v>43.71</v>
      </c>
      <c r="I1247" s="98" t="inlineStr">
        <is>
          <t>Distribuidores de conexão para rede ("hubs") e moduladores/demuladores ("modens")</t>
        </is>
      </c>
      <c r="J1247" s="45" t="inlineStr">
        <is>
          <t>Lei nº 1.810/97, art. 49, § 1º, inciso XIV;</t>
        </is>
      </c>
      <c r="K1247" s="43" t="inlineStr">
        <is>
          <t>(Item 56.1: acrescentado pelo Decreto nº 15.520/2020. Efeitos a partir de 1º.09.2020.)</t>
        </is>
      </c>
      <c r="L1247" s="29">
        <f>IF(D1247="NCM/SH","",COUNTIF($D$5:$D$1506,D1247))</f>
        <v/>
      </c>
    </row>
    <row r="1248" ht="15.75" customHeight="1" thickBot="1">
      <c r="A1248" s="1" t="inlineStr">
        <is>
          <t>22Eletron</t>
        </is>
      </c>
      <c r="B1248" s="99" t="n">
        <v>56.1</v>
      </c>
      <c r="C1248" s="99" t="inlineStr">
        <is>
          <t>21.056.01</t>
        </is>
      </c>
      <c r="D1248" s="99" t="inlineStr">
        <is>
          <t>8517.62.55</t>
        </is>
      </c>
      <c r="E1248" s="99" t="n">
        <v>35.54</v>
      </c>
      <c r="F1248" s="99" t="n">
        <v>56.77</v>
      </c>
      <c r="G1248" s="99" t="n">
        <v>51.87</v>
      </c>
      <c r="H1248" s="99" t="n">
        <v>43.71</v>
      </c>
      <c r="I1248" s="99" t="inlineStr">
        <is>
          <t>Distribuidores de conexão para rede ("hubs") e moduladores/demuladores ("modens")</t>
        </is>
      </c>
      <c r="J1248" s="45" t="inlineStr">
        <is>
          <t>Lei nº 1.810/97, art. 49, § 1º, inciso XIV;</t>
        </is>
      </c>
      <c r="K1248" s="43" t="inlineStr">
        <is>
          <t>(Item 56.1: acrescentado pelo Decreto nº 15.520/2020. Efeitos a partir de 1º.09.2020.)</t>
        </is>
      </c>
      <c r="L1248" s="29">
        <f>IF(D1248="NCM/SH","",COUNTIF($D$5:$D$1506,D1248))</f>
        <v/>
      </c>
    </row>
    <row r="1249" ht="14.45" customHeight="1" thickBot="1">
      <c r="A1249" s="1" t="inlineStr">
        <is>
          <t>22Eletron</t>
        </is>
      </c>
      <c r="B1249" s="98" t="inlineStr">
        <is>
          <t>57.0</t>
        </is>
      </c>
      <c r="C1249" s="98" t="inlineStr">
        <is>
          <t>21.057.00</t>
        </is>
      </c>
      <c r="D1249" s="98" t="n">
        <v>8518</v>
      </c>
      <c r="E1249" s="98" t="n">
        <v>41.22</v>
      </c>
      <c r="F1249" s="98" t="n">
        <v>63.34</v>
      </c>
      <c r="G1249" s="98" t="n">
        <v>58.23</v>
      </c>
      <c r="H1249" s="98" t="n">
        <v>49.73</v>
      </c>
      <c r="I1249" s="81" t="inlineStr">
        <is>
          <t>Microfones e seus suportes; alto-falantes, mesmo montados nos seus receptáculos, fones de ouvido (auscultadores), mesmo combinados com microfone e conjuntos ou sortidos constituídos por um microfone e um ou mais alto-falantes, amplificadores elétricos de audiofrequência, aparelhos elétricos de amplificação de som; suas partes e acessórios; exceto os de uso automotivo</t>
        </is>
      </c>
      <c r="J1249" s="42" t="inlineStr">
        <is>
          <t>Lei nº 1.810, art. 49, § 1º, XXIX</t>
        </is>
      </c>
      <c r="L1249" s="29">
        <f>IF(D1249="NCM/SH","",COUNTIF($D$5:$D$1506,D1249))</f>
        <v/>
      </c>
    </row>
    <row r="1250" ht="14.45" customHeight="1">
      <c r="A1250" s="1" t="inlineStr">
        <is>
          <t>22Eletron</t>
        </is>
      </c>
      <c r="B1250" s="98" t="inlineStr">
        <is>
          <t>58.0</t>
        </is>
      </c>
      <c r="C1250" s="98" t="inlineStr">
        <is>
          <t>21.058.00</t>
        </is>
      </c>
      <c r="D1250" s="98" t="n">
        <v>8519</v>
      </c>
      <c r="E1250" s="98" t="n">
        <v>47.26</v>
      </c>
      <c r="F1250" s="98" t="n">
        <v>70.31999999999999</v>
      </c>
      <c r="G1250" s="98" t="n">
        <v>65</v>
      </c>
      <c r="H1250" s="98" t="n">
        <v>56.13</v>
      </c>
      <c r="I1250" s="81" t="inlineStr">
        <is>
          <t>Aparelhos de radiodifusão suscetíveis de funcionarem sem fonte externa de energia. Aparelhos de gravação de som; aparelhos de reprodução de som; aparelhos de gravação e de reprodução de som; partes e acessórios; exceto os de uso automotivo</t>
        </is>
      </c>
      <c r="J1250" s="45" t="inlineStr">
        <is>
          <t>Lei nº 1.810, art. 49, § 1º, XXIX; Protocolo ICMS nº 15/07</t>
        </is>
      </c>
      <c r="L1250" s="29">
        <f>IF(D1250="NCM/SH","",COUNTIF($D$5:$D$1506,D1250))</f>
        <v/>
      </c>
    </row>
    <row r="1251" ht="14.45" customHeight="1">
      <c r="A1251" s="1" t="inlineStr">
        <is>
          <t>22Eletron</t>
        </is>
      </c>
      <c r="B1251" s="101" t="n">
        <v>58</v>
      </c>
      <c r="C1251" s="101" t="inlineStr">
        <is>
          <t>21.058.00</t>
        </is>
      </c>
      <c r="D1251" s="101" t="n">
        <v>8522</v>
      </c>
      <c r="E1251" s="101" t="n">
        <v>47.26</v>
      </c>
      <c r="F1251" s="101" t="n">
        <v>70.31999999999999</v>
      </c>
      <c r="G1251" s="101" t="n">
        <v>65</v>
      </c>
      <c r="H1251" s="101" t="n">
        <v>56.13</v>
      </c>
      <c r="I1251" s="100" t="inlineStr">
        <is>
          <t>Aparelhos de radiodifusão suscetíveis de funcionarem sem fonte externa de energia. Aparelhos de gravação de som; aparelhos de reprodução de som; aparelhos de gravação e de reprodução de som; partes e acessórios; exceto os de uso automotivo</t>
        </is>
      </c>
      <c r="J1251" s="45" t="inlineStr">
        <is>
          <t>Lei nº 1.810, art. 49, § 1º, XXIX; Protocolo ICMS nº 15/07</t>
        </is>
      </c>
      <c r="L1251" s="29">
        <f>IF(D1251="NCM/SH","",COUNTIF($D$5:$D$1506,D1251))</f>
        <v/>
      </c>
    </row>
    <row r="1252" ht="15.75" customHeight="1" thickBot="1">
      <c r="A1252" s="1" t="inlineStr">
        <is>
          <t>22Eletron</t>
        </is>
      </c>
      <c r="B1252" s="99" t="n">
        <v>58</v>
      </c>
      <c r="C1252" s="99" t="inlineStr">
        <is>
          <t>21.058.00</t>
        </is>
      </c>
      <c r="D1252" s="99" t="inlineStr">
        <is>
          <t>8527.1</t>
        </is>
      </c>
      <c r="E1252" s="99" t="n">
        <v>47.26</v>
      </c>
      <c r="F1252" s="99" t="n">
        <v>70.31999999999999</v>
      </c>
      <c r="G1252" s="99" t="n">
        <v>65</v>
      </c>
      <c r="H1252" s="99" t="n">
        <v>56.13</v>
      </c>
      <c r="I1252" s="82" t="inlineStr">
        <is>
          <t>Aparelhos de radiodifusão suscetíveis de funcionarem sem fonte externa de energia. Aparelhos de gravação de som; aparelhos de reprodução de som; aparelhos de gravação e de reprodução de som; partes e acessórios; exceto os de uso automotivo</t>
        </is>
      </c>
      <c r="J1252" s="105" t="inlineStr">
        <is>
          <t>Lei nº 1.810, art. 49, § 1º, XXIX; Protocolo ICMS nº 15/07</t>
        </is>
      </c>
      <c r="L1252" s="29">
        <f>IF(D1252="NCM/SH","",COUNTIF($D$5:$D$1506,D1252))</f>
        <v/>
      </c>
    </row>
    <row r="1253" ht="14.45" customHeight="1" thickBot="1">
      <c r="A1253" s="1" t="inlineStr">
        <is>
          <t>22Eletron</t>
        </is>
      </c>
      <c r="B1253" s="98" t="inlineStr">
        <is>
          <t>59.0</t>
        </is>
      </c>
      <c r="C1253" s="98" t="inlineStr">
        <is>
          <t>21.059.00</t>
        </is>
      </c>
      <c r="D1253" s="98" t="inlineStr">
        <is>
          <t>8519.81.90</t>
        </is>
      </c>
      <c r="E1253" s="98" t="n">
        <v>42.8</v>
      </c>
      <c r="F1253" s="98" t="n">
        <v>65.16</v>
      </c>
      <c r="G1253" s="98" t="n">
        <v>60</v>
      </c>
      <c r="H1253" s="98" t="n">
        <v>51.4</v>
      </c>
      <c r="I1253" s="81" t="inlineStr">
        <is>
          <t>Outros aparelhos de gravação de som; aparelhos de reprodução de som; aparelhos de gravação e de reprodução de som; partes e acessórios; exceto os de uso automotivo</t>
        </is>
      </c>
      <c r="J1253" s="42" t="inlineStr">
        <is>
          <t>Lei nº 1.810, art. 49, § 1º, XXIX</t>
        </is>
      </c>
      <c r="L1253" s="29">
        <f>IF(D1253="NCM/SH","",COUNTIF($D$5:$D$1506,D1253))</f>
        <v/>
      </c>
    </row>
    <row r="1254" ht="15" customHeight="1" thickBot="1">
      <c r="A1254" s="1" t="inlineStr">
        <is>
          <t>22Eletron</t>
        </is>
      </c>
      <c r="B1254" s="165" t="inlineStr">
        <is>
          <t>60.0</t>
        </is>
      </c>
      <c r="C1254" s="165" t="inlineStr">
        <is>
          <t>21.060.00</t>
        </is>
      </c>
      <c r="D1254" s="165" t="inlineStr">
        <is>
          <t xml:space="preserve">8521.90.10 </t>
        </is>
      </c>
      <c r="E1254" s="165" t="n">
        <v>47.26</v>
      </c>
      <c r="F1254" s="165" t="n">
        <v>70.31999999999999</v>
      </c>
      <c r="G1254" s="165" t="n">
        <v>65</v>
      </c>
      <c r="H1254" s="165" t="n">
        <v>56.13</v>
      </c>
      <c r="I1254" s="78" t="inlineStr">
        <is>
          <t>Gravador-reprodutor e editor de imagem e som, em discos, por meio magnético, óptico ou optomagnético, exceto de uso automotivo</t>
        </is>
      </c>
      <c r="J1254" s="42" t="inlineStr">
        <is>
          <t>Lei nº 1.810, art. 49, § 1º, XXIX; Protocolo ICMS nº 15/07</t>
        </is>
      </c>
      <c r="L1254" s="29">
        <f>IF(D1254="NCM/SH","",COUNTIF($D$5:$D$1506,D1254))</f>
        <v/>
      </c>
    </row>
    <row r="1255" ht="15" customHeight="1" thickBot="1">
      <c r="A1255" s="1" t="inlineStr">
        <is>
          <t>22Eletron</t>
        </is>
      </c>
      <c r="B1255" s="165" t="inlineStr">
        <is>
          <t>61.0</t>
        </is>
      </c>
      <c r="C1255" s="165" t="inlineStr">
        <is>
          <t>21.061.00</t>
        </is>
      </c>
      <c r="D1255" s="165" t="inlineStr">
        <is>
          <t xml:space="preserve">8521.90.90 </t>
        </is>
      </c>
      <c r="E1255" s="165" t="n">
        <v>47.26</v>
      </c>
      <c r="F1255" s="165" t="n">
        <v>70.31999999999999</v>
      </c>
      <c r="G1255" s="165" t="n">
        <v>65</v>
      </c>
      <c r="H1255" s="165" t="n">
        <v>56.13</v>
      </c>
      <c r="I1255" s="78" t="inlineStr">
        <is>
          <t>Outros aparelhos videofônicos de gravação ou reprodução, mesmo incorporando um receptor de sinais videofônicos, exceto os de uso automotivo</t>
        </is>
      </c>
      <c r="J1255" s="46" t="inlineStr">
        <is>
          <t>Lei nº 1.810, art. 49, § 1º, XXIX; Protocolo ICMS nº 15/07</t>
        </is>
      </c>
      <c r="L1255" s="29">
        <f>IF(D1255="NCM/SH","",COUNTIF($D$5:$D$1506,D1255))</f>
        <v/>
      </c>
    </row>
    <row r="1256" ht="14.45" customHeight="1" thickBot="1">
      <c r="A1256" s="1" t="inlineStr">
        <is>
          <t>22Eletron</t>
        </is>
      </c>
      <c r="B1256" s="98" t="inlineStr">
        <is>
          <t>62.0</t>
        </is>
      </c>
      <c r="C1256" s="98" t="inlineStr">
        <is>
          <t>21.062.00</t>
        </is>
      </c>
      <c r="D1256" s="98" t="inlineStr">
        <is>
          <t xml:space="preserve">8523.51.10 </t>
        </is>
      </c>
      <c r="E1256" s="98" t="n">
        <v>36.24</v>
      </c>
      <c r="F1256" s="98" t="n">
        <v>57.58</v>
      </c>
      <c r="G1256" s="98" t="n">
        <v>52.65</v>
      </c>
      <c r="H1256" s="98" t="n">
        <v>44.45</v>
      </c>
      <c r="I1256" s="81" t="inlineStr">
        <is>
          <t xml:space="preserve">Cartões de memória ("memory cards") </t>
        </is>
      </c>
      <c r="J1256" s="42" t="inlineStr">
        <is>
          <t>Lei nº 1.810, art. 49, § 1º, XXIX</t>
        </is>
      </c>
      <c r="L1256" s="29">
        <f>IF(D1256="NCM/SH","",COUNTIF($D$5:$D$1506,D1256))</f>
        <v/>
      </c>
    </row>
    <row r="1257" ht="15" customHeight="1" thickBot="1">
      <c r="A1257" s="1" t="inlineStr">
        <is>
          <t>22Eletron</t>
        </is>
      </c>
      <c r="B1257" s="165" t="inlineStr">
        <is>
          <t>63.0</t>
        </is>
      </c>
      <c r="C1257" s="165" t="inlineStr">
        <is>
          <t>21.063.00</t>
        </is>
      </c>
      <c r="D1257" s="165" t="inlineStr">
        <is>
          <t xml:space="preserve">8523.52 </t>
        </is>
      </c>
      <c r="E1257" s="165" t="n">
        <v>9</v>
      </c>
      <c r="F1257" s="165" t="n">
        <v>26.07</v>
      </c>
      <c r="G1257" s="165" t="n">
        <v>22.13</v>
      </c>
      <c r="H1257" s="165" t="n">
        <v>15.56</v>
      </c>
      <c r="I1257" s="165" t="inlineStr">
        <is>
          <t>Cartões inteligentes ("smartcards"), exceto o item classificado no CEST 21.064.00</t>
        </is>
      </c>
      <c r="J1257" s="42" t="inlineStr">
        <is>
          <t>Lei nº 1.810/97, art. 49, § 1º, inciso XIV; Convênio ICMS 213/17</t>
        </is>
      </c>
      <c r="K1257" s="47" t="inlineStr">
        <is>
          <t>(Item 63: nova redação dada pelo Decreto nº 16.011/2022. Efeitos a partir de 16.08.2022)</t>
        </is>
      </c>
      <c r="L1257" s="29">
        <f>IF(D1257="NCM/SH","",COUNTIF($D$5:$D$1506,D1257))</f>
        <v/>
      </c>
    </row>
    <row r="1258" ht="14.45" customHeight="1" thickBot="1">
      <c r="A1258" s="1" t="inlineStr">
        <is>
          <t>22Eletron</t>
        </is>
      </c>
      <c r="B1258" s="98" t="inlineStr">
        <is>
          <t>64.0</t>
        </is>
      </c>
      <c r="C1258" s="98" t="inlineStr">
        <is>
          <t>21.064.00</t>
        </is>
      </c>
      <c r="D1258" s="81" t="inlineStr">
        <is>
          <t xml:space="preserve">8523.52 </t>
        </is>
      </c>
      <c r="E1258" s="98" t="n">
        <v>9</v>
      </c>
      <c r="F1258" s="98" t="n">
        <v>26.07</v>
      </c>
      <c r="G1258" s="98" t="n">
        <v>22.13</v>
      </c>
      <c r="H1258" s="98" t="n">
        <v>15.56</v>
      </c>
      <c r="I1258" s="81" t="inlineStr">
        <is>
          <t xml:space="preserve">Cartões inteligentes ("sim cards") </t>
        </is>
      </c>
      <c r="J1258" s="42" t="inlineStr">
        <is>
          <t>Lei nº 1.810/97, art. 49, § 1º, inciso XIV; Convênio ICMS 213/17</t>
        </is>
      </c>
      <c r="K1258" s="47" t="inlineStr">
        <is>
          <t>(Item 64: nova redação dada pelo Decreto nº 16.011/2022. Efeitos a partir de 16.08.2022)</t>
        </is>
      </c>
      <c r="L1258" s="29">
        <f>IF(D1258="NCM/SH","",COUNTIF($D$5:$D$1506,D1258))</f>
        <v/>
      </c>
    </row>
    <row r="1259" ht="15" customHeight="1" thickBot="1">
      <c r="A1259" s="1" t="inlineStr">
        <is>
          <t>22Eletron</t>
        </is>
      </c>
      <c r="B1259" s="165" t="inlineStr">
        <is>
          <t>65.0</t>
        </is>
      </c>
      <c r="C1259" s="165" t="inlineStr">
        <is>
          <t>21.065.00</t>
        </is>
      </c>
      <c r="D1259" s="165" t="inlineStr">
        <is>
          <t>8525.89.2</t>
        </is>
      </c>
      <c r="E1259" s="165" t="n">
        <v>47.26</v>
      </c>
      <c r="F1259" s="165" t="n">
        <v>70.31999999999999</v>
      </c>
      <c r="G1259" s="165" t="n">
        <v>65</v>
      </c>
      <c r="H1259" s="165" t="n">
        <v>56.13</v>
      </c>
      <c r="I1259" s="78" t="inlineStr">
        <is>
          <t>Câmeras fotográficas digitais e câmeras de vídeo</t>
        </is>
      </c>
      <c r="J1259" s="42" t="inlineStr">
        <is>
          <t>Lei nº 1.810, art. 49, § 1º, XXIX; Protocolo ICMS nº 15/07</t>
        </is>
      </c>
      <c r="K1259" s="47" t="inlineStr">
        <is>
          <t>(Item 65.0: nova redação dada pelo Decreto nº 16.211/2023. Efeitos a partir de 14.6.2023.)</t>
        </is>
      </c>
      <c r="L1259" s="29">
        <f>IF(D1259="NCM/SH","",COUNTIF($D$5:$D$1506,D1259))</f>
        <v/>
      </c>
    </row>
    <row r="1260" ht="15" customHeight="1" thickBot="1">
      <c r="A1260" s="1" t="inlineStr">
        <is>
          <t>22Eletron</t>
        </is>
      </c>
      <c r="B1260" s="165" t="inlineStr">
        <is>
          <t>66.0</t>
        </is>
      </c>
      <c r="C1260" s="165" t="inlineStr">
        <is>
          <t>21.066.00</t>
        </is>
      </c>
      <c r="D1260" s="165" t="inlineStr">
        <is>
          <t>8527.9</t>
        </is>
      </c>
      <c r="E1260" s="165" t="n">
        <v>47.26</v>
      </c>
      <c r="F1260" s="165" t="n">
        <v>70.31999999999999</v>
      </c>
      <c r="G1260" s="165" t="n">
        <v>65</v>
      </c>
      <c r="H1260" s="165" t="n">
        <v>56.13</v>
      </c>
      <c r="I1260" s="78" t="inlineStr">
        <is>
          <t xml:space="preserve">Outros aparelhos receptores para radiodifusão, mesmo combinados num invólucro, com um aparelho de gravação ou de reprodução de som, ou com um relógio, inclusive caixa acústica para Home Theaters classificados na posição 8518 </t>
        </is>
      </c>
      <c r="J1260" s="104" t="inlineStr">
        <is>
          <t>Lei nº 1.810, art. 49, § 1º, XXIX; Protocolo ICMS nº 15/07</t>
        </is>
      </c>
      <c r="L1260" s="29">
        <f>IF(D1260="NCM/SH","",COUNTIF($D$5:$D$1506,D1260))</f>
        <v/>
      </c>
    </row>
    <row r="1261" ht="14.45" customHeight="1" thickBot="1">
      <c r="A1261" s="1" t="inlineStr">
        <is>
          <t>22Eletron</t>
        </is>
      </c>
      <c r="B1261" s="81" t="inlineStr">
        <is>
          <t>67.0</t>
        </is>
      </c>
      <c r="C1261" s="81" t="inlineStr">
        <is>
          <t>21.067.00</t>
        </is>
      </c>
      <c r="D1261" s="81" t="inlineStr">
        <is>
          <t>8528.49.90</t>
        </is>
      </c>
      <c r="E1261" s="81" t="n">
        <v>38.33</v>
      </c>
      <c r="F1261" s="81" t="n">
        <v>60</v>
      </c>
      <c r="G1261" s="81" t="n">
        <v>55</v>
      </c>
      <c r="H1261" s="81" t="n">
        <v>46.67</v>
      </c>
      <c r="I1261" s="81" t="inlineStr">
        <is>
          <t>Monitores e projetores que não incorporem aparelhos receptores de televisão, policromáticos</t>
        </is>
      </c>
      <c r="J1261" s="104" t="inlineStr">
        <is>
          <t>Lei nº 1.810, art. 49, § 1º, XXIX; Protocolo ICMS nº 15/07</t>
        </is>
      </c>
      <c r="K1261" s="47" t="inlineStr">
        <is>
          <t>(Item 67: nova redação dada pelo Decreto nº 16.011/2022. Efeitos a partir de 16.08.2022)</t>
        </is>
      </c>
      <c r="L1261" s="29">
        <f>IF(D1261="NCM/SH","",COUNTIF($D$5:$D$1506,D1261))</f>
        <v/>
      </c>
    </row>
    <row r="1262" ht="15.75" customHeight="1" thickBot="1">
      <c r="A1262" s="1" t="inlineStr">
        <is>
          <t>22Eletron</t>
        </is>
      </c>
      <c r="B1262" s="100" t="n">
        <v>67</v>
      </c>
      <c r="C1262" s="100" t="inlineStr">
        <is>
          <t>21.067.00</t>
        </is>
      </c>
      <c r="D1262" s="100" t="inlineStr">
        <is>
          <t>8528.59.00</t>
        </is>
      </c>
      <c r="E1262" s="100" t="n">
        <v>38.33</v>
      </c>
      <c r="F1262" s="100" t="n">
        <v>60</v>
      </c>
      <c r="G1262" s="100" t="n">
        <v>55</v>
      </c>
      <c r="H1262" s="100" t="n">
        <v>46.67</v>
      </c>
      <c r="I1262" s="100" t="inlineStr">
        <is>
          <t>Monitores e projetores que não incorporem aparelhos receptores de televisão, policromáticos</t>
        </is>
      </c>
      <c r="J1262" s="104" t="inlineStr">
        <is>
          <t>Lei nº 1.810, art. 49, § 1º, XXIX; Protocolo ICMS nº 15/07</t>
        </is>
      </c>
      <c r="K1262" s="47" t="inlineStr">
        <is>
          <t>(Item 67: nova redação dada pelo Decreto nº 16.011/2022. Efeitos a partir de 16.08.2022)</t>
        </is>
      </c>
      <c r="L1262" s="29">
        <f>IF(D1262="NCM/SH","",COUNTIF($D$5:$D$1506,D1262))</f>
        <v/>
      </c>
    </row>
    <row r="1263" ht="15.75" customHeight="1" thickBot="1">
      <c r="A1263" s="1" t="inlineStr">
        <is>
          <t>22Eletron</t>
        </is>
      </c>
      <c r="B1263" s="82" t="n">
        <v>67</v>
      </c>
      <c r="C1263" s="82" t="inlineStr">
        <is>
          <t>21.067.00</t>
        </is>
      </c>
      <c r="D1263" s="82" t="inlineStr">
        <is>
          <t>8528.69</t>
        </is>
      </c>
      <c r="E1263" s="82" t="n">
        <v>38.33</v>
      </c>
      <c r="F1263" s="82" t="n">
        <v>60</v>
      </c>
      <c r="G1263" s="82" t="n">
        <v>55</v>
      </c>
      <c r="H1263" s="82" t="n">
        <v>46.67</v>
      </c>
      <c r="I1263" s="82" t="inlineStr">
        <is>
          <t>Monitores e projetores que não incorporem aparelhos receptores de televisão, policromáticos</t>
        </is>
      </c>
      <c r="J1263" s="104" t="inlineStr">
        <is>
          <t>Lei nº 1.810, art. 49, § 1º, XXIX; Protocolo ICMS nº 15/07</t>
        </is>
      </c>
      <c r="K1263" s="47" t="inlineStr">
        <is>
          <t>(Item 67: nova redação dada pelo Decreto nº 16.011/2022. Efeitos a partir de 16.08.2022)</t>
        </is>
      </c>
      <c r="L1263" s="29">
        <f>IF(D1263="NCM/SH","",COUNTIF($D$5:$D$1506,D1263))</f>
        <v/>
      </c>
    </row>
    <row r="1264" ht="14.45" customHeight="1" thickBot="1">
      <c r="A1264" s="1" t="inlineStr">
        <is>
          <t>22Eletron</t>
        </is>
      </c>
      <c r="B1264" s="100" t="inlineStr">
        <is>
          <t>67.1</t>
        </is>
      </c>
      <c r="C1264" s="81" t="inlineStr">
        <is>
          <t>21.067.01</t>
        </is>
      </c>
      <c r="D1264" s="81" t="inlineStr">
        <is>
          <t>8528.62.00</t>
        </is>
      </c>
      <c r="E1264" s="81" t="n">
        <v>38.33</v>
      </c>
      <c r="F1264" s="81" t="n">
        <v>60</v>
      </c>
      <c r="G1264" s="81" t="n">
        <v>55</v>
      </c>
      <c r="H1264" s="81" t="n">
        <v>46.67</v>
      </c>
      <c r="I1264" s="98" t="inlineStr">
        <is>
          <t>Projetores capazes de serem conectados diretamente a uma máquina automática para processamento de dados da posição 84.71 e concebidos para serem utilizados com esta máquina</t>
        </is>
      </c>
      <c r="J1264" s="42" t="inlineStr">
        <is>
          <t>Lei nº 1.810, art. 49, § 1º, XXIX; Protocolo ICMS nº 15/07</t>
        </is>
      </c>
      <c r="K1264" s="43" t="inlineStr">
        <is>
          <t>(Item 67.1: nova redação dada pelo Decreto nº 14.774/2017. Efeitos a partir de 1º.07.2017.)</t>
        </is>
      </c>
      <c r="L1264" s="29">
        <f>IF(D1264="NCM/SH","",COUNTIF($D$5:$D$1506,D1264))</f>
        <v/>
      </c>
    </row>
    <row r="1265" ht="14.45" customHeight="1" thickBot="1">
      <c r="A1265" s="1" t="inlineStr">
        <is>
          <t>22Eletron</t>
        </is>
      </c>
      <c r="B1265" s="101" t="inlineStr">
        <is>
          <t>68.0</t>
        </is>
      </c>
      <c r="C1265" s="98" t="inlineStr">
        <is>
          <t>21.068.00</t>
        </is>
      </c>
      <c r="D1265" s="98" t="inlineStr">
        <is>
          <t xml:space="preserve">8528.52.00 </t>
        </is>
      </c>
      <c r="E1265" s="98" t="n">
        <v>38.33</v>
      </c>
      <c r="F1265" s="98" t="n">
        <v>60</v>
      </c>
      <c r="G1265" s="98" t="n">
        <v>55</v>
      </c>
      <c r="H1265" s="98" t="n">
        <v>46.67</v>
      </c>
      <c r="I1265" s="98" t="inlineStr">
        <is>
          <t>Outros monitores capazes de serem conectados diretamente a uma máquina automática para processamento de dados da posição 84.71 e concebidos para serem utilizados com esta máquina, policromáticos</t>
        </is>
      </c>
      <c r="J1265" s="42" t="inlineStr">
        <is>
          <t>Lei nº 1.810, art. 49, § 1º, XXIX; Protocolo ICMS nº 15/07</t>
        </is>
      </c>
      <c r="K1265" s="47" t="inlineStr">
        <is>
          <t>(Item 68: nova redação dada pelo Decreto nº 16.011/2022. Efeitos a partir de 16.08.2022)</t>
        </is>
      </c>
      <c r="L1265" s="29">
        <f>IF(D1265="NCM/SH","",COUNTIF($D$5:$D$1506,D1265))</f>
        <v/>
      </c>
    </row>
    <row r="1266" ht="15" customHeight="1" thickBot="1">
      <c r="A1266" s="1" t="inlineStr">
        <is>
          <t>22Eletron</t>
        </is>
      </c>
      <c r="B1266" s="165" t="inlineStr">
        <is>
          <t>69.0</t>
        </is>
      </c>
      <c r="C1266" s="165" t="inlineStr">
        <is>
          <t>21.069.00</t>
        </is>
      </c>
      <c r="D1266" s="165" t="inlineStr">
        <is>
          <t>8528.7</t>
        </is>
      </c>
      <c r="E1266" s="165" t="n">
        <v>38.33</v>
      </c>
      <c r="F1266" s="165" t="n">
        <v>60</v>
      </c>
      <c r="G1266" s="165" t="n">
        <v>55</v>
      </c>
      <c r="H1266" s="165" t="n">
        <v>46.67</v>
      </c>
      <c r="I1266" s="78" t="inlineStr">
        <is>
          <t>Aparelhos receptores de televisão, mesmo que incorporem um aparelho receptor de radiodifusão ou um aparelho de gravação ou reprodução de som ou de imagens - Televisores de CRT (tubo de raios catódicos)</t>
        </is>
      </c>
      <c r="J1266" s="42" t="inlineStr">
        <is>
          <t>Lei nº 1.810, art. 49, § 1º, XXIX; Protocolo ICMS nº 15/07</t>
        </is>
      </c>
      <c r="L1266" s="29">
        <f>IF(D1266="NCM/SH","",COUNTIF($D$5:$D$1506,D1266))</f>
        <v/>
      </c>
    </row>
    <row r="1267" ht="15" customHeight="1" thickBot="1">
      <c r="A1267" s="1" t="inlineStr">
        <is>
          <t>22Eletron</t>
        </is>
      </c>
      <c r="B1267" s="165" t="inlineStr">
        <is>
          <t>70.0</t>
        </is>
      </c>
      <c r="C1267" s="165" t="inlineStr">
        <is>
          <t>21.070.00</t>
        </is>
      </c>
      <c r="D1267" s="165" t="inlineStr">
        <is>
          <t xml:space="preserve">8528.7 </t>
        </is>
      </c>
      <c r="E1267" s="165" t="n">
        <v>38.33</v>
      </c>
      <c r="F1267" s="165" t="n">
        <v>60</v>
      </c>
      <c r="G1267" s="165" t="n">
        <v>55</v>
      </c>
      <c r="H1267" s="165" t="n">
        <v>46.67</v>
      </c>
      <c r="I1267" s="78" t="inlineStr">
        <is>
          <t>Aparelhos receptores de televisão, mesmo que incorporem um aparelho receptor de radiodifusão ou um aparelho de gravação ou reprodução de som ou de imagens - Televisores de LCD (Display de Cristal Líquido)</t>
        </is>
      </c>
      <c r="J1267" s="45" t="inlineStr">
        <is>
          <t>Lei nº 1.810, art. 49, § 1º, XXIX; Protocolo ICMS nº 15/07</t>
        </is>
      </c>
      <c r="L1267" s="29">
        <f>IF(D1267="NCM/SH","",COUNTIF($D$5:$D$1506,D1267))</f>
        <v/>
      </c>
    </row>
    <row r="1268" ht="15" customHeight="1" thickBot="1">
      <c r="A1268" s="1" t="inlineStr">
        <is>
          <t>22Eletron</t>
        </is>
      </c>
      <c r="B1268" s="165" t="inlineStr">
        <is>
          <t>71.0</t>
        </is>
      </c>
      <c r="C1268" s="165" t="inlineStr">
        <is>
          <t>21.071.00</t>
        </is>
      </c>
      <c r="D1268" s="165" t="inlineStr">
        <is>
          <t>8528.7</t>
        </is>
      </c>
      <c r="E1268" s="165" t="n">
        <v>38.33</v>
      </c>
      <c r="F1268" s="165" t="n">
        <v>60</v>
      </c>
      <c r="G1268" s="165" t="n">
        <v>55</v>
      </c>
      <c r="H1268" s="165" t="n">
        <v>46.67</v>
      </c>
      <c r="I1268" s="78" t="inlineStr">
        <is>
          <t>Aparelhos receptores de televisão, mesmo que incorporem um aparelho receptor de radiodifusão ou um aparelho de gravação ou reprodução de som ou de imagens - Televisores de Plasma</t>
        </is>
      </c>
      <c r="J1268" s="104" t="inlineStr">
        <is>
          <t>Lei nº 1.810, art. 49, § 1º, XXIX; Protocolo ICMS nº 15/07</t>
        </is>
      </c>
      <c r="L1268" s="29">
        <f>IF(D1268="NCM/SH","",COUNTIF($D$5:$D$1506,D1268))</f>
        <v/>
      </c>
    </row>
    <row r="1269" ht="15" customHeight="1" thickBot="1">
      <c r="A1269" s="1" t="inlineStr">
        <is>
          <t>22Eletron</t>
        </is>
      </c>
      <c r="B1269" s="165" t="inlineStr">
        <is>
          <t>72.0</t>
        </is>
      </c>
      <c r="C1269" s="165" t="inlineStr">
        <is>
          <t>21.072.00</t>
        </is>
      </c>
      <c r="D1269" s="165" t="inlineStr">
        <is>
          <t>8528.7</t>
        </is>
      </c>
      <c r="E1269" s="165" t="n">
        <v>38.33</v>
      </c>
      <c r="F1269" s="165" t="n">
        <v>60</v>
      </c>
      <c r="G1269" s="165" t="n">
        <v>55</v>
      </c>
      <c r="H1269" s="165" t="n">
        <v>46.67</v>
      </c>
      <c r="I1269" s="78" t="inlineStr">
        <is>
          <t>Outros aparelhos receptores de televisão não dotados de monitores ou display de vídeo</t>
        </is>
      </c>
      <c r="J1269" s="104" t="inlineStr">
        <is>
          <t>Lei nº 1.810, art. 49, § 1º, XXIX; Protocolo ICMS nº 15/07</t>
        </is>
      </c>
      <c r="L1269" s="29">
        <f>IF(D1269="NCM/SH","",COUNTIF($D$5:$D$1506,D1269))</f>
        <v/>
      </c>
    </row>
    <row r="1270" ht="15" customHeight="1" thickBot="1">
      <c r="A1270" s="1" t="inlineStr">
        <is>
          <t>22Eletron</t>
        </is>
      </c>
      <c r="B1270" s="78" t="inlineStr">
        <is>
          <t>73.0</t>
        </is>
      </c>
      <c r="C1270" s="78" t="inlineStr">
        <is>
          <t>21.073.00</t>
        </is>
      </c>
      <c r="D1270" s="78" t="inlineStr">
        <is>
          <t>8528.7</t>
        </is>
      </c>
      <c r="E1270" s="78" t="n">
        <v>38.33</v>
      </c>
      <c r="F1270" s="78" t="n">
        <v>60</v>
      </c>
      <c r="G1270" s="78" t="n">
        <v>55</v>
      </c>
      <c r="H1270" s="78" t="n">
        <v>46.67</v>
      </c>
      <c r="I1270" s="78" t="inlineStr">
        <is>
          <t>Outros aparelhos receptores de televisão não relacionados nos CEST 21.069.00, 21.070.00, 21.071.00 e 21.072.00</t>
        </is>
      </c>
      <c r="J1270" s="105" t="inlineStr">
        <is>
          <t>Lei nº 1.810, art. 49, § 1º, XXIX; Protocolo ICMS nº 15/07</t>
        </is>
      </c>
      <c r="K1270" s="43" t="inlineStr">
        <is>
          <t>(Item 73.0: nova redação dada pelo Decreto nº 14.645/2016. Efeitos a partir de 1º.01.2017.)</t>
        </is>
      </c>
      <c r="L1270" s="29">
        <f>IF(D1270="NCM/SH","",COUNTIF($D$5:$D$1506,D1270))</f>
        <v/>
      </c>
    </row>
    <row r="1271" ht="15" customHeight="1" thickBot="1">
      <c r="A1271" s="1" t="inlineStr">
        <is>
          <t>22Eletron</t>
        </is>
      </c>
      <c r="B1271" s="99" t="inlineStr">
        <is>
          <t>74.0</t>
        </is>
      </c>
      <c r="C1271" s="165" t="inlineStr">
        <is>
          <t>21.074.00</t>
        </is>
      </c>
      <c r="D1271" s="165" t="inlineStr">
        <is>
          <t xml:space="preserve">9006.59 </t>
        </is>
      </c>
      <c r="E1271" s="165" t="n">
        <v>47.26</v>
      </c>
      <c r="F1271" s="165" t="n">
        <v>70.31999999999999</v>
      </c>
      <c r="G1271" s="165" t="n">
        <v>65</v>
      </c>
      <c r="H1271" s="165" t="n">
        <v>56.13</v>
      </c>
      <c r="I1271" s="78" t="inlineStr">
        <is>
          <t>Câmeras fotográficas dos tipos utilizadas para preparação de clichês ou cilindros de impressão</t>
        </is>
      </c>
      <c r="J1271" s="42" t="inlineStr">
        <is>
          <t>Lei nº 1.810, art. 49, § 1º, XXIX</t>
        </is>
      </c>
      <c r="K1271" s="43" t="inlineStr">
        <is>
          <t>(Item 74.0: nova redação dada pelo Decreto nº 14.774/2017. Efeitos a partir de 1º.07.2017.)</t>
        </is>
      </c>
      <c r="L1271" s="29">
        <f>IF(D1271="NCM/SH","",COUNTIF($D$5:$D$1506,D1271))</f>
        <v/>
      </c>
    </row>
    <row r="1272" ht="15" customHeight="1" thickBot="1">
      <c r="A1272" s="1" t="inlineStr">
        <is>
          <t>22Eletron</t>
        </is>
      </c>
      <c r="B1272" s="165" t="inlineStr">
        <is>
          <t>75.0</t>
        </is>
      </c>
      <c r="C1272" s="165" t="inlineStr">
        <is>
          <t>21.075.00</t>
        </is>
      </c>
      <c r="D1272" s="165" t="inlineStr">
        <is>
          <t xml:space="preserve">9006.40.00 </t>
        </is>
      </c>
      <c r="E1272" s="165" t="n">
        <v>47.26</v>
      </c>
      <c r="F1272" s="165" t="n">
        <v>70.31999999999999</v>
      </c>
      <c r="G1272" s="165" t="n">
        <v>65</v>
      </c>
      <c r="H1272" s="165" t="n">
        <v>56.13</v>
      </c>
      <c r="I1272" s="78" t="inlineStr">
        <is>
          <t>Câmeras fotográficas para filmes de revelação e copiagem instantâneas</t>
        </is>
      </c>
      <c r="J1272" s="105" t="inlineStr">
        <is>
          <t>Lei nº 1.810, art. 49, § 1º, XXIX</t>
        </is>
      </c>
      <c r="L1272" s="29">
        <f>IF(D1272="NCM/SH","",COUNTIF($D$5:$D$1506,D1272))</f>
        <v/>
      </c>
    </row>
    <row r="1273" ht="15" customHeight="1" thickBot="1">
      <c r="A1273" s="1" t="inlineStr">
        <is>
          <t>22Eletron</t>
        </is>
      </c>
      <c r="B1273" s="165" t="inlineStr">
        <is>
          <t>76.0</t>
        </is>
      </c>
      <c r="C1273" s="165" t="inlineStr">
        <is>
          <t>21.076.00</t>
        </is>
      </c>
      <c r="D1273" s="165" t="inlineStr">
        <is>
          <t xml:space="preserve">9018.90.50 </t>
        </is>
      </c>
      <c r="E1273" s="165" t="n">
        <v>52.77</v>
      </c>
      <c r="F1273" s="165" t="n">
        <v>76.69</v>
      </c>
      <c r="G1273" s="165" t="n">
        <v>71.17</v>
      </c>
      <c r="H1273" s="165" t="n">
        <v>61.97</v>
      </c>
      <c r="I1273" s="78" t="inlineStr">
        <is>
          <t>Aparelhos de diatermia</t>
        </is>
      </c>
      <c r="J1273" s="42" t="inlineStr">
        <is>
          <t>Lei nº 1.810, art. 49, § 1º, XXIX</t>
        </is>
      </c>
      <c r="L1273" s="29">
        <f>IF(D1273="NCM/SH","",COUNTIF($D$5:$D$1506,D1273))</f>
        <v/>
      </c>
    </row>
    <row r="1274" ht="15" customHeight="1" thickBot="1">
      <c r="A1274" s="1" t="inlineStr">
        <is>
          <t>22Eletron</t>
        </is>
      </c>
      <c r="B1274" s="165" t="inlineStr">
        <is>
          <t>77.0</t>
        </is>
      </c>
      <c r="C1274" s="165" t="inlineStr">
        <is>
          <t>21.077.00</t>
        </is>
      </c>
      <c r="D1274" s="165" t="inlineStr">
        <is>
          <t xml:space="preserve">9019.10.00 </t>
        </is>
      </c>
      <c r="E1274" s="165" t="n">
        <v>52.77</v>
      </c>
      <c r="F1274" s="165" t="n">
        <v>76.69</v>
      </c>
      <c r="G1274" s="165" t="n">
        <v>71.17</v>
      </c>
      <c r="H1274" s="165" t="n">
        <v>61.97</v>
      </c>
      <c r="I1274" s="78" t="inlineStr">
        <is>
          <t xml:space="preserve">Aparelhos de massagem </t>
        </is>
      </c>
      <c r="J1274" s="45" t="inlineStr">
        <is>
          <t>Lei nº 1.810, art. 49, § 1º, XXIX</t>
        </is>
      </c>
      <c r="L1274" s="29">
        <f>IF(D1274="NCM/SH","",COUNTIF($D$5:$D$1506,D1274))</f>
        <v/>
      </c>
    </row>
    <row r="1275" ht="15" customHeight="1" thickBot="1">
      <c r="A1275" s="1" t="inlineStr">
        <is>
          <t>22Eletron</t>
        </is>
      </c>
      <c r="B1275" s="165" t="inlineStr">
        <is>
          <t>78.0</t>
        </is>
      </c>
      <c r="C1275" s="165" t="inlineStr">
        <is>
          <t>21.078.00</t>
        </is>
      </c>
      <c r="D1275" s="165" t="inlineStr">
        <is>
          <t xml:space="preserve">9032.89.11 </t>
        </is>
      </c>
      <c r="E1275" s="165" t="n">
        <v>39.22</v>
      </c>
      <c r="F1275" s="165" t="n">
        <v>61.03</v>
      </c>
      <c r="G1275" s="165" t="n">
        <v>55.99</v>
      </c>
      <c r="H1275" s="165" t="n">
        <v>47.61</v>
      </c>
      <c r="I1275" s="78" t="inlineStr">
        <is>
          <t>Reguladores de voltagem eletrônicos</t>
        </is>
      </c>
      <c r="J1275" s="104" t="inlineStr">
        <is>
          <t>Lei nº 1.810, art. 49, § 1º, XXIX</t>
        </is>
      </c>
      <c r="L1275" s="29">
        <f>IF(D1275="NCM/SH","",COUNTIF($D$5:$D$1506,D1275))</f>
        <v/>
      </c>
    </row>
    <row r="1276" ht="15" customHeight="1" thickBot="1">
      <c r="A1276" s="1" t="inlineStr">
        <is>
          <t>22Eletron</t>
        </is>
      </c>
      <c r="B1276" s="165" t="inlineStr">
        <is>
          <t>79.0</t>
        </is>
      </c>
      <c r="C1276" s="165" t="inlineStr">
        <is>
          <t>21.079.00</t>
        </is>
      </c>
      <c r="D1276" s="165" t="inlineStr">
        <is>
          <t xml:space="preserve">9504.50.00 </t>
        </is>
      </c>
      <c r="E1276" s="165" t="n">
        <v>33.54</v>
      </c>
      <c r="F1276" s="165" t="n">
        <v>54.45</v>
      </c>
      <c r="G1276" s="165" t="n">
        <v>49.63</v>
      </c>
      <c r="H1276" s="165" t="n">
        <v>41.58</v>
      </c>
      <c r="I1276" s="78" t="inlineStr">
        <is>
          <t>Consoles e máquinas de jogos de vídeo, exceto os classificados na subposição 9504.30</t>
        </is>
      </c>
      <c r="J1276" s="104" t="inlineStr">
        <is>
          <t>Lei nº 1.810, art. 49, § 1º, XXIX</t>
        </is>
      </c>
      <c r="L1276" s="29">
        <f>IF(D1276="NCM/SH","",COUNTIF($D$5:$D$1506,D1276))</f>
        <v/>
      </c>
    </row>
    <row r="1277" ht="15" customHeight="1" thickBot="1">
      <c r="A1277" s="1" t="inlineStr">
        <is>
          <t>22Eletron</t>
        </is>
      </c>
      <c r="B1277" s="165" t="inlineStr">
        <is>
          <t>80.0</t>
        </is>
      </c>
      <c r="C1277" s="165" t="inlineStr">
        <is>
          <t>21.080.00</t>
        </is>
      </c>
      <c r="D1277" s="165" t="inlineStr">
        <is>
          <t xml:space="preserve">8517.62.1 </t>
        </is>
      </c>
      <c r="E1277" s="165" t="n">
        <v>56.65</v>
      </c>
      <c r="F1277" s="165" t="n">
        <v>81.19</v>
      </c>
      <c r="G1277" s="165" t="n">
        <v>75.52</v>
      </c>
      <c r="H1277" s="165" t="n">
        <v>66.09</v>
      </c>
      <c r="I1277" s="78" t="inlineStr">
        <is>
          <t>Multiplexadores e concentradores</t>
        </is>
      </c>
      <c r="J1277" s="104" t="inlineStr">
        <is>
          <t>Lei nº 1.810, art. 49, § 1º, XXIX</t>
        </is>
      </c>
      <c r="L1277" s="29">
        <f>IF(D1277="NCM/SH","",COUNTIF($D$5:$D$1506,D1277))</f>
        <v/>
      </c>
    </row>
    <row r="1278" ht="15" customHeight="1" thickBot="1">
      <c r="A1278" s="1" t="inlineStr">
        <is>
          <t>22Eletron</t>
        </is>
      </c>
      <c r="B1278" s="165" t="inlineStr">
        <is>
          <t>81.0</t>
        </is>
      </c>
      <c r="C1278" s="165" t="inlineStr">
        <is>
          <t>21.081.00</t>
        </is>
      </c>
      <c r="D1278" s="165" t="inlineStr">
        <is>
          <t xml:space="preserve">8517.62.29 </t>
        </is>
      </c>
      <c r="E1278" s="165" t="n">
        <v>36.36</v>
      </c>
      <c r="F1278" s="165" t="n">
        <v>57.72</v>
      </c>
      <c r="G1278" s="165" t="n">
        <v>52.79</v>
      </c>
      <c r="H1278" s="165" t="n">
        <v>44.57</v>
      </c>
      <c r="I1278" s="78" t="inlineStr">
        <is>
          <t>Centrais automáticas privadas, de capacidade inferior ou igual a 25 ramais</t>
        </is>
      </c>
      <c r="J1278" s="104" t="inlineStr">
        <is>
          <t>Lei nº 1.810, art. 49, § 1º, XXIX</t>
        </is>
      </c>
      <c r="K1278" s="47" t="inlineStr">
        <is>
          <t>(Item 81: nova redação dada pelo Decreto nº 16.011/2022. Efeitos a partir de 16.08.2022)</t>
        </is>
      </c>
      <c r="L1278" s="29">
        <f>IF(D1278="NCM/SH","",COUNTIF($D$5:$D$1506,D1278))</f>
        <v/>
      </c>
    </row>
    <row r="1279" ht="15" customHeight="1" thickBot="1">
      <c r="A1279" s="1" t="inlineStr">
        <is>
          <t>22Eletron</t>
        </is>
      </c>
      <c r="B1279" s="99" t="inlineStr">
        <is>
          <t>82.0</t>
        </is>
      </c>
      <c r="C1279" s="165" t="inlineStr">
        <is>
          <t>21.082.00</t>
        </is>
      </c>
      <c r="D1279" s="165" t="inlineStr">
        <is>
          <t xml:space="preserve">8517.62.39 </t>
        </is>
      </c>
      <c r="E1279" s="165" t="n">
        <v>36.74</v>
      </c>
      <c r="F1279" s="165" t="n">
        <v>58.16</v>
      </c>
      <c r="G1279" s="165" t="n">
        <v>53.21</v>
      </c>
      <c r="H1279" s="165" t="n">
        <v>44.98</v>
      </c>
      <c r="I1279" s="78" t="inlineStr">
        <is>
          <t>Outros aparelhos para comutação</t>
        </is>
      </c>
      <c r="J1279" s="163" t="inlineStr">
        <is>
          <t>Lei nº 1.810, art. 49, § 1º, XXIX</t>
        </is>
      </c>
      <c r="L1279" s="29">
        <f>IF(D1279="NCM/SH","",COUNTIF($D$5:$D$1506,D1279))</f>
        <v/>
      </c>
    </row>
    <row r="1280" ht="15" customHeight="1" thickBot="1">
      <c r="A1280" s="1" t="inlineStr">
        <is>
          <t>22Eletron</t>
        </is>
      </c>
      <c r="B1280" s="165" t="inlineStr">
        <is>
          <t>83.0</t>
        </is>
      </c>
      <c r="C1280" s="165" t="inlineStr">
        <is>
          <t>21.083.00</t>
        </is>
      </c>
      <c r="D1280" s="165" t="inlineStr">
        <is>
          <t xml:space="preserve">8517.62.4 </t>
        </is>
      </c>
      <c r="E1280" s="165" t="n">
        <v>39.87</v>
      </c>
      <c r="F1280" s="165" t="n">
        <v>61.78</v>
      </c>
      <c r="G1280" s="165" t="n">
        <v>56.72</v>
      </c>
      <c r="H1280" s="165" t="n">
        <v>48.3</v>
      </c>
      <c r="I1280" s="78" t="inlineStr">
        <is>
          <t>Roteadores digitais, em redes com ou sem fio</t>
        </is>
      </c>
      <c r="J1280" s="44" t="inlineStr">
        <is>
          <t>Lei nº 1.810, art. 49, § 1º, XXIX</t>
        </is>
      </c>
      <c r="L1280" s="29">
        <f>IF(D1280="NCM/SH","",COUNTIF($D$5:$D$1506,D1280))</f>
        <v/>
      </c>
    </row>
    <row r="1281" ht="15" customHeight="1" thickBot="1">
      <c r="A1281" s="1" t="inlineStr">
        <is>
          <t>22Eletron</t>
        </is>
      </c>
      <c r="B1281" s="165" t="inlineStr">
        <is>
          <t>84.0</t>
        </is>
      </c>
      <c r="C1281" s="165" t="inlineStr">
        <is>
          <t>21.084.00</t>
        </is>
      </c>
      <c r="D1281" s="165" t="inlineStr">
        <is>
          <t xml:space="preserve">8517.62.62 </t>
        </is>
      </c>
      <c r="E1281" s="165" t="n">
        <v>49.08</v>
      </c>
      <c r="F1281" s="165" t="n">
        <v>72.43000000000001</v>
      </c>
      <c r="G1281" s="165" t="n">
        <v>67.04000000000001</v>
      </c>
      <c r="H1281" s="165" t="n">
        <v>58.06</v>
      </c>
      <c r="I1281" s="78" t="inlineStr">
        <is>
          <t>Aparelhos emissores com receptor incorporado de tecnologia celular</t>
        </is>
      </c>
      <c r="J1281" s="44" t="inlineStr">
        <is>
          <t>Lei nº 1.810, art. 49, § 1º, XXIX</t>
        </is>
      </c>
      <c r="K1281" s="47" t="inlineStr">
        <is>
          <t>(Item 84: nova redação dada pelo Decreto nº 16.011/2022. Efeitos a partir de 16.08.2022)</t>
        </is>
      </c>
      <c r="L1281" s="29">
        <f>IF(D1281="NCM/SH","",COUNTIF($D$5:$D$1506,D1281))</f>
        <v/>
      </c>
    </row>
    <row r="1282" ht="15" customHeight="1" thickBot="1">
      <c r="A1282" s="1" t="inlineStr">
        <is>
          <t>22Eletron</t>
        </is>
      </c>
      <c r="B1282" s="99" t="inlineStr">
        <is>
          <t>85.0</t>
        </is>
      </c>
      <c r="C1282" s="165" t="inlineStr">
        <is>
          <t>21.085.00</t>
        </is>
      </c>
      <c r="D1282" s="165" t="inlineStr">
        <is>
          <t xml:space="preserve">8517.62.9 </t>
        </is>
      </c>
      <c r="E1282" s="165" t="n">
        <v>44.4</v>
      </c>
      <c r="F1282" s="165" t="n">
        <v>67.02</v>
      </c>
      <c r="G1282" s="165" t="n">
        <v>61.8</v>
      </c>
      <c r="H1282" s="165" t="n">
        <v>53.1</v>
      </c>
      <c r="I1282" s="78" t="inlineStr">
        <is>
          <t>Outros aparelhos de recepção, conversão e transmissão ou regeneração de voz, imagens ou outros dados, incluindo os aparelhos de comutação e roteamento</t>
        </is>
      </c>
      <c r="J1282" s="163" t="inlineStr">
        <is>
          <t>Lei nº 1.810, art. 49, § 1º, XXIX</t>
        </is>
      </c>
      <c r="L1282" s="29">
        <f>IF(D1282="NCM/SH","",COUNTIF($D$5:$D$1506,D1282))</f>
        <v/>
      </c>
    </row>
    <row r="1283" ht="15" customHeight="1" thickBot="1">
      <c r="A1283" s="1" t="inlineStr">
        <is>
          <t>22Eletron</t>
        </is>
      </c>
      <c r="B1283" s="165" t="inlineStr">
        <is>
          <t>86.0</t>
        </is>
      </c>
      <c r="C1283" s="165" t="inlineStr">
        <is>
          <t>21.086.00</t>
        </is>
      </c>
      <c r="D1283" s="165" t="inlineStr">
        <is>
          <t xml:space="preserve">8517.71.10 </t>
        </is>
      </c>
      <c r="E1283" s="165" t="n">
        <v>56.65</v>
      </c>
      <c r="F1283" s="165" t="n">
        <v>81.19</v>
      </c>
      <c r="G1283" s="165" t="n">
        <v>75.52</v>
      </c>
      <c r="H1283" s="165" t="n">
        <v>66.09</v>
      </c>
      <c r="I1283" s="78" t="inlineStr">
        <is>
          <t>Antenas próprias para telefones celulares portáteis, exceto as telescópicas</t>
        </is>
      </c>
      <c r="J1283" s="164" t="inlineStr">
        <is>
          <t>Lei nº 1.810, art. 49, § 1º, XXIX</t>
        </is>
      </c>
      <c r="K1283" s="47" t="inlineStr">
        <is>
          <t>(Item 86: nova redação dada pelo Decreto nº 16.011/2022. Efeitos a partir de 16.08.2022)</t>
        </is>
      </c>
      <c r="L1283" s="29">
        <f>IF(D1283="NCM/SH","",COUNTIF($D$5:$D$1506,D1283))</f>
        <v/>
      </c>
    </row>
    <row r="1284" ht="15" customHeight="1" thickBot="1">
      <c r="A1284" s="1" t="inlineStr">
        <is>
          <t>22Eletron</t>
        </is>
      </c>
      <c r="B1284" s="99" t="inlineStr">
        <is>
          <t>87.0</t>
        </is>
      </c>
      <c r="C1284" s="165" t="inlineStr">
        <is>
          <t>21.087.00</t>
        </is>
      </c>
      <c r="D1284" s="165" t="inlineStr">
        <is>
          <t>8214.90 8510</t>
        </is>
      </c>
      <c r="E1284" s="165" t="n">
        <v>42.8</v>
      </c>
      <c r="F1284" s="165" t="n">
        <v>65.16</v>
      </c>
      <c r="G1284" s="165" t="n">
        <v>60</v>
      </c>
      <c r="H1284" s="165" t="n">
        <v>51.4</v>
      </c>
      <c r="I1284" s="78" t="inlineStr">
        <is>
          <t>Aparelhos ou máquinas de barbear, máquinas de cortar o cabelo ou de tosquiar e aparelhos de depilar, e suas partes</t>
        </is>
      </c>
      <c r="J1284" s="102" t="inlineStr">
        <is>
          <t>Lei nº 1.810, art. 49, § 1º, XXIX</t>
        </is>
      </c>
      <c r="L1284" s="29">
        <f>IF(D1284="NCM/SH","",COUNTIF($D$5:$D$1506,D1284))</f>
        <v/>
      </c>
    </row>
    <row r="1285" ht="14.45" customHeight="1" thickBot="1">
      <c r="A1285" s="1" t="inlineStr">
        <is>
          <t>22Eletron</t>
        </is>
      </c>
      <c r="B1285" s="98" t="inlineStr">
        <is>
          <t>88.0</t>
        </is>
      </c>
      <c r="C1285" s="98" t="inlineStr">
        <is>
          <t>21.088.00</t>
        </is>
      </c>
      <c r="D1285" s="98" t="inlineStr">
        <is>
          <t xml:space="preserve">8414.5 </t>
        </is>
      </c>
      <c r="E1285" s="98" t="n">
        <v>51.72</v>
      </c>
      <c r="F1285" s="98" t="n">
        <v>75.48</v>
      </c>
      <c r="G1285" s="98" t="n">
        <v>70</v>
      </c>
      <c r="H1285" s="98" t="n">
        <v>60.86</v>
      </c>
      <c r="I1285" s="81" t="inlineStr">
        <is>
          <t>Ventiladores, exceto os de uso agrícola e do CEST 21.088.01</t>
        </is>
      </c>
      <c r="J1285" s="42" t="inlineStr">
        <is>
          <t>Lei nº 1.810, art. 49, § 1º, XXIX; Protocolo ICMS nº 15/07</t>
        </is>
      </c>
      <c r="K1285" s="47" t="inlineStr">
        <is>
          <t>(Item 88: nova redação dada pelo Decreto nº 16.011/2022. Efeitos a partir de 16.08.2022)</t>
        </is>
      </c>
      <c r="L1285" s="29">
        <f>IF(D1285="NCM/SH","",COUNTIF($D$5:$D$1506,D1285))</f>
        <v/>
      </c>
    </row>
    <row r="1286" ht="14.45" customHeight="1" thickBot="1">
      <c r="A1286" s="1" t="inlineStr">
        <is>
          <t>22Eletron</t>
        </is>
      </c>
      <c r="B1286" s="101" t="inlineStr">
        <is>
          <t>88.1</t>
        </is>
      </c>
      <c r="C1286" s="98" t="inlineStr">
        <is>
          <t>21.088.01</t>
        </is>
      </c>
      <c r="D1286" s="98" t="inlineStr">
        <is>
          <t>8414.59.10</t>
        </is>
      </c>
      <c r="E1286" s="98" t="n">
        <v>51.72</v>
      </c>
      <c r="F1286" s="98" t="n">
        <v>75.48</v>
      </c>
      <c r="G1286" s="98" t="n">
        <v>70</v>
      </c>
      <c r="H1286" s="98" t="n">
        <v>60.86</v>
      </c>
      <c r="I1286" s="98" t="inlineStr">
        <is>
          <t>Microventiladores com área de carcaça inferior a 90 cm²</t>
        </is>
      </c>
      <c r="J1286" s="42" t="inlineStr">
        <is>
          <t>Lei nº 1.810, art. 49, § 1º, XXIX; Protocolo ICMS nº 15/07</t>
        </is>
      </c>
      <c r="K1286" s="47" t="inlineStr">
        <is>
          <t>(Item 88.1: acrescentado pelo Decreto nº 16.011/2022. Efeitos a partir de 16.08.2022)</t>
        </is>
      </c>
      <c r="L1286" s="29">
        <f>IF(D1286="NCM/SH","",COUNTIF($D$5:$D$1506,D1286))</f>
        <v/>
      </c>
    </row>
    <row r="1287" ht="14.45" customHeight="1" thickBot="1">
      <c r="A1287" s="1" t="inlineStr">
        <is>
          <t>22Eletron</t>
        </is>
      </c>
      <c r="B1287" s="101" t="inlineStr">
        <is>
          <t>89.0</t>
        </is>
      </c>
      <c r="C1287" s="98" t="inlineStr">
        <is>
          <t>21.089.00</t>
        </is>
      </c>
      <c r="D1287" s="98" t="inlineStr">
        <is>
          <t>8414.59.90</t>
        </is>
      </c>
      <c r="E1287" s="98" t="n">
        <v>47.26</v>
      </c>
      <c r="F1287" s="98" t="n">
        <v>70.31999999999999</v>
      </c>
      <c r="G1287" s="98" t="n">
        <v>65</v>
      </c>
      <c r="H1287" s="98" t="n">
        <v>56.13</v>
      </c>
      <c r="I1287" s="81" t="inlineStr">
        <is>
          <t>Ventiladores de uso agrícola</t>
        </is>
      </c>
      <c r="J1287" s="42" t="inlineStr">
        <is>
          <t>Lei nº 1.810, art. 49, § 1º, XXIX</t>
        </is>
      </c>
      <c r="L1287" s="29">
        <f>IF(D1287="NCM/SH","",COUNTIF($D$5:$D$1506,D1287))</f>
        <v/>
      </c>
    </row>
    <row r="1288" ht="14.45" customHeight="1" thickBot="1">
      <c r="A1288" s="1" t="inlineStr">
        <is>
          <t>22Eletron</t>
        </is>
      </c>
      <c r="B1288" s="98" t="inlineStr">
        <is>
          <t>90.0</t>
        </is>
      </c>
      <c r="C1288" s="98" t="inlineStr">
        <is>
          <t>21.090.00</t>
        </is>
      </c>
      <c r="D1288" s="98" t="inlineStr">
        <is>
          <t xml:space="preserve">8414.60.00 </t>
        </is>
      </c>
      <c r="E1288" s="98" t="n">
        <v>47.26</v>
      </c>
      <c r="F1288" s="98" t="n">
        <v>70.31999999999999</v>
      </c>
      <c r="G1288" s="98" t="n">
        <v>65</v>
      </c>
      <c r="H1288" s="98" t="n">
        <v>56.13</v>
      </c>
      <c r="I1288" s="81" t="inlineStr">
        <is>
          <t>Coifas com dimensão horizontal máxima não superior a 120 cm</t>
        </is>
      </c>
      <c r="J1288" s="42" t="inlineStr">
        <is>
          <t>Lei nº 1.810, art. 49, § 1º, XXIX; Protocolo ICMS nº 15/07</t>
        </is>
      </c>
      <c r="L1288" s="29">
        <f>IF(D1288="NCM/SH","",COUNTIF($D$5:$D$1506,D1288))</f>
        <v/>
      </c>
    </row>
    <row r="1289" ht="14.45" customHeight="1" thickBot="1">
      <c r="A1289" s="1" t="inlineStr">
        <is>
          <t>22Eletron</t>
        </is>
      </c>
      <c r="B1289" s="98" t="inlineStr">
        <is>
          <t>91.0</t>
        </is>
      </c>
      <c r="C1289" s="98" t="inlineStr">
        <is>
          <t>21.091.00</t>
        </is>
      </c>
      <c r="D1289" s="98" t="inlineStr">
        <is>
          <t xml:space="preserve">8414.90.20 </t>
        </is>
      </c>
      <c r="E1289" s="98" t="n">
        <v>47.26</v>
      </c>
      <c r="F1289" s="98" t="n">
        <v>70.31999999999999</v>
      </c>
      <c r="G1289" s="98" t="n">
        <v>65</v>
      </c>
      <c r="H1289" s="98" t="n">
        <v>56.13</v>
      </c>
      <c r="I1289" s="81" t="inlineStr">
        <is>
          <t>Partes de ventiladores ou coifas aspirantes</t>
        </is>
      </c>
      <c r="J1289" s="42" t="inlineStr">
        <is>
          <t>Lei nº 1.810, art. 49, § 1º, XXIX</t>
        </is>
      </c>
      <c r="L1289" s="29">
        <f>IF(D1289="NCM/SH","",COUNTIF($D$5:$D$1506,D1289))</f>
        <v/>
      </c>
    </row>
    <row r="1290" ht="14.45" customHeight="1">
      <c r="A1290" s="1" t="inlineStr">
        <is>
          <t>22Eletron</t>
        </is>
      </c>
      <c r="B1290" s="98" t="inlineStr">
        <is>
          <t>92.0</t>
        </is>
      </c>
      <c r="C1290" s="98" t="inlineStr">
        <is>
          <t>21.092.00</t>
        </is>
      </c>
      <c r="D1290" s="98" t="inlineStr">
        <is>
          <t>8415.10</t>
        </is>
      </c>
      <c r="E1290" s="98" t="n">
        <v>42.8</v>
      </c>
      <c r="F1290" s="98" t="n">
        <v>65.16</v>
      </c>
      <c r="G1290" s="98" t="n">
        <v>60</v>
      </c>
      <c r="H1290" s="98" t="n">
        <v>51.4</v>
      </c>
      <c r="I1290" s="81" t="inlineStr">
        <is>
          <t>Máquinas e aparelhos de ar condicionado contendo um ventilador motorizado e dispositivos próprios para modificar a temperatura e a umidade, incluídos as máquinas e aparelhos em que a umidade não seja regulável separadamente</t>
        </is>
      </c>
      <c r="J1290" s="42" t="inlineStr">
        <is>
          <t>Lei nº 1.810, art. 49, § 1º, XXIX; Protocolo ICMS nº 15/07</t>
        </is>
      </c>
      <c r="L1290" s="29">
        <f>IF(D1290="NCM/SH","",COUNTIF($D$5:$D$1506,D1290))</f>
        <v/>
      </c>
    </row>
    <row r="1291" ht="15" customHeight="1" thickBot="1">
      <c r="A1291" s="1" t="inlineStr">
        <is>
          <t>22Eletron</t>
        </is>
      </c>
      <c r="B1291" s="99" t="n">
        <v>92</v>
      </c>
      <c r="C1291" s="99" t="inlineStr">
        <is>
          <t>21.092.00</t>
        </is>
      </c>
      <c r="D1291" s="99" t="inlineStr">
        <is>
          <t>8415.8</t>
        </is>
      </c>
      <c r="E1291" s="99" t="n">
        <v>42.8</v>
      </c>
      <c r="F1291" s="99" t="n">
        <v>65.16</v>
      </c>
      <c r="G1291" s="99" t="n">
        <v>60</v>
      </c>
      <c r="H1291" s="99" t="n">
        <v>51.4</v>
      </c>
      <c r="I1291" s="82" t="inlineStr">
        <is>
          <t>Máquinas e aparelhos de ar condicionado contendo um ventilador motorizado e dispositivos próprios para modificar a temperatura e a umidade, incluídos as máquinas e aparelhos em que a umidade não seja regulável separadamente</t>
        </is>
      </c>
      <c r="J1291" s="45" t="inlineStr">
        <is>
          <t>Lei nº 1.810, art. 49, § 1º, XXIX; Protocolo ICMS nº 15/07</t>
        </is>
      </c>
      <c r="L1291" s="29">
        <f>IF(D1291="NCM/SH","",COUNTIF($D$5:$D$1506,D1291))</f>
        <v/>
      </c>
    </row>
    <row r="1292" ht="15" customHeight="1" thickBot="1">
      <c r="A1292" s="1" t="inlineStr">
        <is>
          <t>22Eletron</t>
        </is>
      </c>
      <c r="B1292" s="165" t="inlineStr">
        <is>
          <t>93.0</t>
        </is>
      </c>
      <c r="C1292" s="165" t="inlineStr">
        <is>
          <t>21.093.00</t>
        </is>
      </c>
      <c r="D1292" s="165" t="inlineStr">
        <is>
          <t xml:space="preserve">8415.10.11 </t>
        </is>
      </c>
      <c r="E1292" s="165" t="n">
        <v>42.8</v>
      </c>
      <c r="F1292" s="165" t="n">
        <v>65.16</v>
      </c>
      <c r="G1292" s="165" t="n">
        <v>60</v>
      </c>
      <c r="H1292" s="165" t="n">
        <v>51.4</v>
      </c>
      <c r="I1292" s="78" t="inlineStr">
        <is>
          <t>Aparelhos de ar-condicionado tipo Split System (sistema com elementos separados) com unidade externa e interna</t>
        </is>
      </c>
      <c r="J1292" s="104" t="inlineStr">
        <is>
          <t>Lei nº 1.810, art. 49, § 1º, XXIX; Protocolo ICMS nº 15/07</t>
        </is>
      </c>
      <c r="L1292" s="29">
        <f>IF(D1292="NCM/SH","",COUNTIF($D$5:$D$1506,D1292))</f>
        <v/>
      </c>
    </row>
    <row r="1293" ht="15" customHeight="1" thickBot="1">
      <c r="A1293" s="1" t="inlineStr">
        <is>
          <t>22Eletron</t>
        </is>
      </c>
      <c r="B1293" s="165" t="inlineStr">
        <is>
          <t>94.0</t>
        </is>
      </c>
      <c r="C1293" s="165" t="inlineStr">
        <is>
          <t>21.094.00</t>
        </is>
      </c>
      <c r="D1293" s="165" t="inlineStr">
        <is>
          <t xml:space="preserve">8415.10.19 </t>
        </is>
      </c>
      <c r="E1293" s="165" t="n">
        <v>42.8</v>
      </c>
      <c r="F1293" s="165" t="n">
        <v>65.16</v>
      </c>
      <c r="G1293" s="165" t="n">
        <v>60</v>
      </c>
      <c r="H1293" s="165" t="n">
        <v>51.4</v>
      </c>
      <c r="I1293" s="78" t="inlineStr">
        <is>
          <t>Aparelhos de ar-condicionado com capacidade inferior ou igual a 30.000 frigorias/hora</t>
        </is>
      </c>
      <c r="J1293" s="104" t="inlineStr">
        <is>
          <t>Lei nº 1.810, art. 49, § 1º, XXIX; Protocolo ICMS nº 15/07</t>
        </is>
      </c>
      <c r="L1293" s="29">
        <f>IF(D1293="NCM/SH","",COUNTIF($D$5:$D$1506,D1293))</f>
        <v/>
      </c>
    </row>
    <row r="1294" ht="15" customHeight="1" thickBot="1">
      <c r="A1294" s="1" t="inlineStr">
        <is>
          <t>22Eletron</t>
        </is>
      </c>
      <c r="B1294" s="165" t="inlineStr">
        <is>
          <t>95.0</t>
        </is>
      </c>
      <c r="C1294" s="165" t="inlineStr">
        <is>
          <t>21.095.00</t>
        </is>
      </c>
      <c r="D1294" s="165" t="inlineStr">
        <is>
          <t xml:space="preserve">8415.10.90 </t>
        </is>
      </c>
      <c r="E1294" s="165" t="n">
        <v>42.8</v>
      </c>
      <c r="F1294" s="165" t="n">
        <v>65.16</v>
      </c>
      <c r="G1294" s="165" t="n">
        <v>60</v>
      </c>
      <c r="H1294" s="165" t="n">
        <v>51.4</v>
      </c>
      <c r="I1294" s="78" t="inlineStr">
        <is>
          <t>Aparelhos de ar-condicionado com capacidade acima de 30.000 frigorias/hora</t>
        </is>
      </c>
      <c r="J1294" s="104" t="inlineStr">
        <is>
          <t>Lei nº 1.810, art. 49, § 1º, XXIX; Protocolo ICMS nº 15/07</t>
        </is>
      </c>
      <c r="L1294" s="29">
        <f>IF(D1294="NCM/SH","",COUNTIF($D$5:$D$1506,D1294))</f>
        <v/>
      </c>
    </row>
    <row r="1295" ht="15" customHeight="1" thickBot="1">
      <c r="A1295" s="1" t="inlineStr">
        <is>
          <t>22Eletron</t>
        </is>
      </c>
      <c r="B1295" s="165" t="inlineStr">
        <is>
          <t>96.0</t>
        </is>
      </c>
      <c r="C1295" s="165" t="inlineStr">
        <is>
          <t>21.096.00</t>
        </is>
      </c>
      <c r="D1295" s="165" t="inlineStr">
        <is>
          <t xml:space="preserve">8415.90.10 </t>
        </is>
      </c>
      <c r="E1295" s="165" t="n">
        <v>42.8</v>
      </c>
      <c r="F1295" s="165" t="n">
        <v>65.16</v>
      </c>
      <c r="G1295" s="165" t="n">
        <v>60</v>
      </c>
      <c r="H1295" s="165" t="n">
        <v>51.4</v>
      </c>
      <c r="I1295" s="78" t="inlineStr">
        <is>
          <t>Unidades evaporadoras (internas) de aparelho de ar-condicionado do tipo Split System (sistema com elementos separados), com capacidade inferior ou igual a 30.000 frigorias/hora</t>
        </is>
      </c>
      <c r="J1295" s="104" t="inlineStr">
        <is>
          <t>Lei nº 1.810, art. 49, § 1º, XXIX; Protocolo ICMS nº 15/07</t>
        </is>
      </c>
      <c r="L1295" s="29">
        <f>IF(D1295="NCM/SH","",COUNTIF($D$5:$D$1506,D1295))</f>
        <v/>
      </c>
    </row>
    <row r="1296" ht="15" customHeight="1" thickBot="1">
      <c r="A1296" s="1" t="inlineStr">
        <is>
          <t>22Eletron</t>
        </is>
      </c>
      <c r="B1296" s="165" t="inlineStr">
        <is>
          <t>97.0</t>
        </is>
      </c>
      <c r="C1296" s="165" t="inlineStr">
        <is>
          <t>21.097.00</t>
        </is>
      </c>
      <c r="D1296" s="165" t="inlineStr">
        <is>
          <t xml:space="preserve">8415.90.20 </t>
        </is>
      </c>
      <c r="E1296" s="165" t="n">
        <v>42.8</v>
      </c>
      <c r="F1296" s="165" t="n">
        <v>65.16</v>
      </c>
      <c r="G1296" s="165" t="n">
        <v>60</v>
      </c>
      <c r="H1296" s="165" t="n">
        <v>51.4</v>
      </c>
      <c r="I1296" s="78" t="inlineStr">
        <is>
          <t xml:space="preserve">Unidades condensadoras (externas) de aparelho de ar-condicionado do tipo Split System (sistema com elementos separados), com capacidade inferior ou igual a 30.000 frigorias/hora </t>
        </is>
      </c>
      <c r="J1296" s="105" t="inlineStr">
        <is>
          <t>Lei nº 1.810, art. 49, § 1º, XXIX; Protocolo ICMS nº 15/07</t>
        </is>
      </c>
      <c r="L1296" s="29">
        <f>IF(D1296="NCM/SH","",COUNTIF($D$5:$D$1506,D1296))</f>
        <v/>
      </c>
    </row>
    <row r="1297" ht="14.45" customHeight="1" thickBot="1">
      <c r="A1297" s="1" t="inlineStr">
        <is>
          <t>22Eletron</t>
        </is>
      </c>
      <c r="B1297" s="81" t="inlineStr">
        <is>
          <t>98.0</t>
        </is>
      </c>
      <c r="C1297" s="81" t="inlineStr">
        <is>
          <t>21.098.00</t>
        </is>
      </c>
      <c r="D1297" s="81" t="inlineStr">
        <is>
          <t xml:space="preserve">8421.21.00 </t>
        </is>
      </c>
      <c r="E1297" s="81" t="n">
        <v>42.8</v>
      </c>
      <c r="F1297" s="81" t="n">
        <v>65.16</v>
      </c>
      <c r="G1297" s="81" t="n">
        <v>60</v>
      </c>
      <c r="H1297" s="81" t="n">
        <v>51.4</v>
      </c>
      <c r="I1297" s="81" t="inlineStr">
        <is>
          <t>Aparelhos elétricos para filtrar ou depurar água (purificadores de água refrigerados), exceto os itens classificados no CEST 21.098.01</t>
        </is>
      </c>
      <c r="J1297" s="42" t="inlineStr">
        <is>
          <t>Lei nº 1.810, art. 49, § 1º, XXIX; Protocolo ICMS nº 15/07</t>
        </is>
      </c>
      <c r="K1297" s="43" t="inlineStr">
        <is>
          <t>(Item 98.0: nova redação dada pelo Decreto nº 14.645/2016. Efeitos a partir de 1º.01.2017.)</t>
        </is>
      </c>
      <c r="L1297" s="29">
        <f>IF(D1297="NCM/SH","",COUNTIF($D$5:$D$1506,D1297))</f>
        <v/>
      </c>
    </row>
    <row r="1298" ht="15" customHeight="1" thickBot="1">
      <c r="A1298" s="1" t="inlineStr">
        <is>
          <t>22Eletron</t>
        </is>
      </c>
      <c r="B1298" s="82" t="inlineStr">
        <is>
          <t>98.1</t>
        </is>
      </c>
      <c r="C1298" s="78" t="inlineStr">
        <is>
          <t>21.098.01</t>
        </is>
      </c>
      <c r="D1298" s="78" t="inlineStr">
        <is>
          <t>8421.21.00</t>
        </is>
      </c>
      <c r="E1298" s="78" t="n">
        <v>42.8</v>
      </c>
      <c r="F1298" s="78" t="n">
        <v>65.16</v>
      </c>
      <c r="G1298" s="78" t="n">
        <v>60</v>
      </c>
      <c r="H1298" s="78" t="n">
        <v>51.4</v>
      </c>
      <c r="I1298" s="78" t="inlineStr">
        <is>
          <t>Outros aparelhos elétricos para filtrar ou depurar água</t>
        </is>
      </c>
      <c r="J1298" s="102" t="inlineStr">
        <is>
          <t>Lei nº 1.810, art. 49, § 1º, XXIX; Protocolo ICMS nº 15/07</t>
        </is>
      </c>
      <c r="K1298" s="43" t="inlineStr">
        <is>
          <t>(Item 98.1: acrescentado pelo Decreto nº 14.645/2016. Efeitos a partir de 1º.01.2017.)</t>
        </is>
      </c>
      <c r="L1298" s="29">
        <f>IF(D1298="NCM/SH","",COUNTIF($D$5:$D$1506,D1298))</f>
        <v/>
      </c>
    </row>
    <row r="1299" ht="14.45" customHeight="1">
      <c r="A1299" s="1" t="inlineStr">
        <is>
          <t>22Eletron</t>
        </is>
      </c>
      <c r="B1299" s="101" t="inlineStr">
        <is>
          <t>99.0</t>
        </is>
      </c>
      <c r="C1299" s="98" t="inlineStr">
        <is>
          <t>21.099.00</t>
        </is>
      </c>
      <c r="D1299" s="98" t="inlineStr">
        <is>
          <t>8424.30.10</t>
        </is>
      </c>
      <c r="E1299" s="98" t="n">
        <v>47.26</v>
      </c>
      <c r="F1299" s="98" t="n">
        <v>70.31999999999999</v>
      </c>
      <c r="G1299" s="98" t="n">
        <v>65</v>
      </c>
      <c r="H1299" s="98" t="n">
        <v>56.13</v>
      </c>
      <c r="I1299" s="81" t="inlineStr">
        <is>
          <t>Lavadora de alta pressão e suas partes</t>
        </is>
      </c>
      <c r="J1299" s="42" t="inlineStr">
        <is>
          <t>Lei nº 1.810, art. 49, § 1º, XXIx</t>
        </is>
      </c>
      <c r="L1299" s="29">
        <f>IF(D1299="NCM/SH","",COUNTIF($D$5:$D$1506,D1299))</f>
        <v/>
      </c>
    </row>
    <row r="1300">
      <c r="A1300" s="1" t="inlineStr">
        <is>
          <t>22Eletron</t>
        </is>
      </c>
      <c r="B1300" s="101" t="n">
        <v>99</v>
      </c>
      <c r="C1300" s="101" t="inlineStr">
        <is>
          <t>21.099.00</t>
        </is>
      </c>
      <c r="D1300" s="101" t="inlineStr">
        <is>
          <t>8424.30.90</t>
        </is>
      </c>
      <c r="E1300" s="101" t="n">
        <v>47.26</v>
      </c>
      <c r="F1300" s="101" t="n">
        <v>70.31999999999999</v>
      </c>
      <c r="G1300" s="101" t="n">
        <v>65</v>
      </c>
      <c r="H1300" s="101" t="n">
        <v>56.13</v>
      </c>
      <c r="I1300" s="100" t="inlineStr">
        <is>
          <t>Lavadora de alta pressão e suas partes</t>
        </is>
      </c>
      <c r="J1300" s="45" t="inlineStr">
        <is>
          <t>Lei nº 1.810, art. 49, § 1º, XXIx</t>
        </is>
      </c>
      <c r="L1300" s="29">
        <f>IF(D1300="NCM/SH","",COUNTIF($D$5:$D$1506,D1300))</f>
        <v/>
      </c>
    </row>
    <row r="1301" ht="15.75" customHeight="1" thickBot="1">
      <c r="A1301" s="1" t="inlineStr">
        <is>
          <t>22Eletron</t>
        </is>
      </c>
      <c r="B1301" s="99" t="n">
        <v>99</v>
      </c>
      <c r="C1301" s="99" t="inlineStr">
        <is>
          <t>21.099.00</t>
        </is>
      </c>
      <c r="D1301" s="99" t="inlineStr">
        <is>
          <t xml:space="preserve">8424.90.90 </t>
        </is>
      </c>
      <c r="E1301" s="99" t="n">
        <v>47.26</v>
      </c>
      <c r="F1301" s="99" t="n">
        <v>70.31999999999999</v>
      </c>
      <c r="G1301" s="99" t="n">
        <v>65</v>
      </c>
      <c r="H1301" s="99" t="n">
        <v>56.13</v>
      </c>
      <c r="I1301" s="82" t="inlineStr">
        <is>
          <t>Lavadora de alta pressão e suas partes</t>
        </is>
      </c>
      <c r="J1301" s="105" t="inlineStr">
        <is>
          <t>Lei nº 1.810, art. 49, § 1º, XXIx</t>
        </is>
      </c>
      <c r="L1301" s="29">
        <f>IF(D1301="NCM/SH","",COUNTIF($D$5:$D$1506,D1301))</f>
        <v/>
      </c>
    </row>
    <row r="1302" ht="14.45" customHeight="1" thickBot="1">
      <c r="A1302" s="1" t="inlineStr">
        <is>
          <t>22Eletron</t>
        </is>
      </c>
      <c r="B1302" s="98" t="inlineStr">
        <is>
          <t>100.0</t>
        </is>
      </c>
      <c r="C1302" s="98" t="inlineStr">
        <is>
          <t>21.100.00</t>
        </is>
      </c>
      <c r="D1302" s="98" t="inlineStr">
        <is>
          <t xml:space="preserve">8467.21.00 </t>
        </is>
      </c>
      <c r="E1302" s="98" t="n">
        <v>38</v>
      </c>
      <c r="F1302" s="98" t="n">
        <v>59.61</v>
      </c>
      <c r="G1302" s="98" t="n">
        <v>54.63</v>
      </c>
      <c r="H1302" s="98" t="n">
        <v>46.31</v>
      </c>
      <c r="I1302" s="81" t="inlineStr">
        <is>
          <t>Furadeiras elétricas</t>
        </is>
      </c>
      <c r="J1302" s="42" t="inlineStr">
        <is>
          <t>Lei nº 1.810, art. 49, § 1º, XXIX; Protocolo ICMS nº 15/07</t>
        </is>
      </c>
      <c r="L1302" s="29">
        <f>IF(D1302="NCM/SH","",COUNTIF($D$5:$D$1506,D1302))</f>
        <v/>
      </c>
    </row>
    <row r="1303" ht="14.45" customHeight="1" thickBot="1">
      <c r="A1303" s="1" t="inlineStr">
        <is>
          <t>22Eletron</t>
        </is>
      </c>
      <c r="B1303" s="98" t="inlineStr">
        <is>
          <t>101.0</t>
        </is>
      </c>
      <c r="C1303" s="98" t="inlineStr">
        <is>
          <t>21.101.00</t>
        </is>
      </c>
      <c r="D1303" s="98" t="inlineStr">
        <is>
          <t xml:space="preserve">8516.2 </t>
        </is>
      </c>
      <c r="E1303" s="98" t="n">
        <v>33.96</v>
      </c>
      <c r="F1303" s="98" t="n">
        <v>54.94</v>
      </c>
      <c r="G1303" s="98" t="n">
        <v>50.1</v>
      </c>
      <c r="H1303" s="98" t="n">
        <v>42.03</v>
      </c>
      <c r="I1303" s="81" t="inlineStr">
        <is>
          <t>Aparelhos elétricos para aquecimento de ambientes</t>
        </is>
      </c>
      <c r="J1303" s="42" t="inlineStr">
        <is>
          <t>Lei nº 1.810, art. 49, § 1º, XXIX</t>
        </is>
      </c>
      <c r="L1303" s="29">
        <f>IF(D1303="NCM/SH","",COUNTIF($D$5:$D$1506,D1303))</f>
        <v/>
      </c>
    </row>
    <row r="1304" ht="15" customHeight="1" thickBot="1">
      <c r="A1304" s="1" t="inlineStr">
        <is>
          <t>22Eletron</t>
        </is>
      </c>
      <c r="B1304" s="165" t="inlineStr">
        <is>
          <t>102.0</t>
        </is>
      </c>
      <c r="C1304" s="165" t="inlineStr">
        <is>
          <t>21.102.00</t>
        </is>
      </c>
      <c r="D1304" s="165" t="inlineStr">
        <is>
          <t xml:space="preserve">8516.31.00 </t>
        </is>
      </c>
      <c r="E1304" s="165" t="n">
        <v>47.26</v>
      </c>
      <c r="F1304" s="165" t="n">
        <v>70.31999999999999</v>
      </c>
      <c r="G1304" s="165" t="n">
        <v>65</v>
      </c>
      <c r="H1304" s="165" t="n">
        <v>56.13</v>
      </c>
      <c r="I1304" s="78" t="inlineStr">
        <is>
          <t>Secadores de cabelo</t>
        </is>
      </c>
      <c r="J1304" s="42" t="inlineStr">
        <is>
          <t>Lei nº 1.810, art. 49, § 1º, XXIX; Protocolo ICMS nº 15/07</t>
        </is>
      </c>
      <c r="L1304" s="29">
        <f>IF(D1304="NCM/SH","",COUNTIF($D$5:$D$1506,D1304))</f>
        <v/>
      </c>
    </row>
    <row r="1305" ht="15" customHeight="1" thickBot="1">
      <c r="A1305" s="1" t="inlineStr">
        <is>
          <t>22Eletron</t>
        </is>
      </c>
      <c r="B1305" s="165" t="inlineStr">
        <is>
          <t>103.0</t>
        </is>
      </c>
      <c r="C1305" s="165" t="inlineStr">
        <is>
          <t>21.103.00</t>
        </is>
      </c>
      <c r="D1305" s="165" t="inlineStr">
        <is>
          <t xml:space="preserve">8516.32.00 </t>
        </is>
      </c>
      <c r="E1305" s="165" t="n">
        <v>47.26</v>
      </c>
      <c r="F1305" s="165" t="n">
        <v>70.31999999999999</v>
      </c>
      <c r="G1305" s="165" t="n">
        <v>65</v>
      </c>
      <c r="H1305" s="165" t="n">
        <v>56.13</v>
      </c>
      <c r="I1305" s="78" t="inlineStr">
        <is>
          <t>Outros aparelhos para arranjos do cabelo</t>
        </is>
      </c>
      <c r="J1305" s="45" t="inlineStr">
        <is>
          <t>Lei nº 1.810, art. 49, § 1º, XXIX; Protocolo ICMS nº 15/07</t>
        </is>
      </c>
      <c r="L1305" s="29">
        <f>IF(D1305="NCM/SH","",COUNTIF($D$5:$D$1506,D1305))</f>
        <v/>
      </c>
    </row>
    <row r="1306" ht="15" customHeight="1" thickBot="1">
      <c r="A1306" s="1" t="inlineStr">
        <is>
          <t>22Eletron</t>
        </is>
      </c>
      <c r="B1306" s="165" t="inlineStr">
        <is>
          <t>104.0</t>
        </is>
      </c>
      <c r="C1306" s="165" t="inlineStr">
        <is>
          <t>21.104.00</t>
        </is>
      </c>
      <c r="D1306" s="165" t="n">
        <v>8527</v>
      </c>
      <c r="E1306" s="165" t="n">
        <v>47.26</v>
      </c>
      <c r="F1306" s="165" t="n">
        <v>70.31999999999999</v>
      </c>
      <c r="G1306" s="165" t="n">
        <v>65</v>
      </c>
      <c r="H1306" s="165" t="n">
        <v>56.13</v>
      </c>
      <c r="I1306" s="78" t="inlineStr">
        <is>
          <t>Aparelhos receptores para radiodifusão, mesmo combinados num mesmo invólucro, com um aparelho de gravação ou de reprodução de som, ou com um relógio, exceto os classificados na posição 8527.1, 8527.2 e 8527.9  que sejam de uso automotivo</t>
        </is>
      </c>
      <c r="J1306" s="105" t="inlineStr">
        <is>
          <t>Lei nº 1.810, art. 49, § 1º, XXIX; Protocolo ICMS nº 15/07</t>
        </is>
      </c>
      <c r="L1306" s="29">
        <f>IF(D1306="NCM/SH","",COUNTIF($D$5:$D$1506,D1306))</f>
        <v/>
      </c>
    </row>
    <row r="1307" ht="14.45" customHeight="1" thickBot="1">
      <c r="A1307" s="1" t="inlineStr">
        <is>
          <t>22Eletron</t>
        </is>
      </c>
      <c r="B1307" s="98" t="inlineStr">
        <is>
          <t>105.0</t>
        </is>
      </c>
      <c r="C1307" s="98" t="inlineStr">
        <is>
          <t>21.105.00</t>
        </is>
      </c>
      <c r="D1307" s="98" t="inlineStr">
        <is>
          <t>8479.60.00</t>
        </is>
      </c>
      <c r="E1307" s="98" t="n">
        <v>36.07</v>
      </c>
      <c r="F1307" s="98" t="n">
        <v>57.38</v>
      </c>
      <c r="G1307" s="98" t="n">
        <v>52.46</v>
      </c>
      <c r="H1307" s="98" t="n">
        <v>44.27</v>
      </c>
      <c r="I1307" s="81" t="inlineStr">
        <is>
          <t>Climatizadores de ar</t>
        </is>
      </c>
      <c r="J1307" s="42" t="inlineStr">
        <is>
          <t>Lei nº 1.810, art. 49, § 1º, XXIX</t>
        </is>
      </c>
      <c r="L1307" s="29">
        <f>IF(D1307="NCM/SH","",COUNTIF($D$5:$D$1506,D1307))</f>
        <v/>
      </c>
    </row>
    <row r="1308" ht="14.45" customHeight="1" thickBot="1">
      <c r="A1308" s="1" t="inlineStr">
        <is>
          <t>22Eletron</t>
        </is>
      </c>
      <c r="B1308" s="98" t="inlineStr">
        <is>
          <t>106.0</t>
        </is>
      </c>
      <c r="C1308" s="98" t="inlineStr">
        <is>
          <t>21.106.00</t>
        </is>
      </c>
      <c r="D1308" s="98" t="inlineStr">
        <is>
          <t>8415.90.90</t>
        </is>
      </c>
      <c r="E1308" s="98" t="n">
        <v>42.8</v>
      </c>
      <c r="F1308" s="98" t="n">
        <v>65.16</v>
      </c>
      <c r="G1308" s="98" t="n">
        <v>60</v>
      </c>
      <c r="H1308" s="98" t="n">
        <v>51.4</v>
      </c>
      <c r="I1308" s="81" t="inlineStr">
        <is>
          <t>Outras partes para máquinas e aparelhos de ar-condicionado que contenham um ventilador motorizado e dispositivos próprios para modificar a temperatura e a umidade, incluindo as máquinas e aparelhos em que a umidade não seja regulável separadamente</t>
        </is>
      </c>
      <c r="J1308" s="42" t="inlineStr">
        <is>
          <t>Lei nº 1.810, art. 49, § 1º, XXIX; Protocolo ICMS nº 15/07</t>
        </is>
      </c>
      <c r="L1308" s="29">
        <f>IF(D1308="NCM/SH","",COUNTIF($D$5:$D$1506,D1308))</f>
        <v/>
      </c>
    </row>
    <row r="1309" ht="14.45" customHeight="1" thickBot="1">
      <c r="A1309" s="1" t="inlineStr">
        <is>
          <t>22Eletron</t>
        </is>
      </c>
      <c r="B1309" s="98" t="inlineStr">
        <is>
          <t>107.0</t>
        </is>
      </c>
      <c r="C1309" s="98" t="inlineStr">
        <is>
          <t>21.107.00</t>
        </is>
      </c>
      <c r="D1309" s="98" t="inlineStr">
        <is>
          <t>8525.89.1</t>
        </is>
      </c>
      <c r="E1309" s="98" t="n">
        <v>60.31</v>
      </c>
      <c r="F1309" s="98" t="n">
        <v>85.42</v>
      </c>
      <c r="G1309" s="98" t="n">
        <v>79.62</v>
      </c>
      <c r="H1309" s="98" t="n">
        <v>69.97</v>
      </c>
      <c r="I1309" s="81" t="inlineStr">
        <is>
          <t>Câmeras de televisão</t>
        </is>
      </c>
      <c r="J1309" s="42" t="inlineStr">
        <is>
          <t>Lei nº 1.810, art. 49, § 1º, XXIX</t>
        </is>
      </c>
      <c r="K1309" s="47" t="inlineStr">
        <is>
          <t>(Item 107: nova redação dada pelo Decreto nº 16.011/2022. Efeitos a partir de 16.08.2022)</t>
        </is>
      </c>
      <c r="L1309" s="29">
        <f>IF(D1309="NCM/SH","",COUNTIF($D$5:$D$1506,D1309))</f>
        <v/>
      </c>
    </row>
    <row r="1310" ht="14.45" customHeight="1" thickBot="1">
      <c r="A1310" s="1" t="inlineStr">
        <is>
          <t>22Eletron</t>
        </is>
      </c>
      <c r="B1310" s="101" t="inlineStr">
        <is>
          <t>108.0</t>
        </is>
      </c>
      <c r="C1310" s="98" t="inlineStr">
        <is>
          <t>21.108.00</t>
        </is>
      </c>
      <c r="D1310" s="98" t="inlineStr">
        <is>
          <t>8423.10.00</t>
        </is>
      </c>
      <c r="E1310" s="98" t="n">
        <v>42.8</v>
      </c>
      <c r="F1310" s="98" t="n">
        <v>65.16</v>
      </c>
      <c r="G1310" s="98" t="n">
        <v>60</v>
      </c>
      <c r="H1310" s="98" t="n">
        <v>51.4</v>
      </c>
      <c r="I1310" s="81" t="inlineStr">
        <is>
          <t>Balanças de uso doméstico</t>
        </is>
      </c>
      <c r="J1310" s="42" t="inlineStr">
        <is>
          <t>Lei nº 1.810, art. 49, § 1º, XXIX; Protocolo ICMS nº 15/07</t>
        </is>
      </c>
      <c r="L1310" s="29">
        <f>IF(D1310="NCM/SH","",COUNTIF($D$5:$D$1506,D1310))</f>
        <v/>
      </c>
    </row>
    <row r="1311" ht="15" customHeight="1" thickBot="1">
      <c r="A1311" s="1" t="inlineStr">
        <is>
          <t>22Eletron</t>
        </is>
      </c>
      <c r="B1311" s="165" t="inlineStr">
        <is>
          <t>109.0</t>
        </is>
      </c>
      <c r="C1311" s="165" t="inlineStr">
        <is>
          <t>21.109.00</t>
        </is>
      </c>
      <c r="D1311" s="165" t="n">
        <v>8540</v>
      </c>
      <c r="E1311" s="165" t="n">
        <v>30</v>
      </c>
      <c r="F1311" s="165" t="n">
        <v>50.36</v>
      </c>
      <c r="G1311" s="165" t="n">
        <v>45.66</v>
      </c>
      <c r="H1311" s="165" t="n">
        <v>37.83</v>
      </c>
      <c r="I1311" s="78" t="inlineStr">
        <is>
          <t>Tubos e válvulas, eletrônicos, de cátodo quente, cátodo frio ou fotocátodo (por exemplo, tubos e válvulas, de vácuo, de vapor ou de gás, ampolas retificadoras de vapor de mercúrio, tubos catódicos, tubos e válvulas para câmeras de televisão)</t>
        </is>
      </c>
      <c r="J1311" s="42" t="inlineStr">
        <is>
          <t>Lei nº 1.810, art. 49, § 1º, XXIX</t>
        </is>
      </c>
      <c r="L1311" s="29">
        <f>IF(D1311="NCM/SH","",COUNTIF($D$5:$D$1506,D1311))</f>
        <v/>
      </c>
    </row>
    <row r="1312" ht="15" customHeight="1" thickBot="1">
      <c r="A1312" s="1" t="inlineStr">
        <is>
          <t>22Eletron</t>
        </is>
      </c>
      <c r="B1312" s="165" t="inlineStr">
        <is>
          <t>110.0</t>
        </is>
      </c>
      <c r="C1312" s="165" t="inlineStr">
        <is>
          <t>21.110.00</t>
        </is>
      </c>
      <c r="D1312" s="165" t="n">
        <v>8517</v>
      </c>
      <c r="E1312" s="165" t="n">
        <v>41.9</v>
      </c>
      <c r="F1312" s="165" t="n">
        <v>64.13</v>
      </c>
      <c r="G1312" s="165" t="n">
        <v>59</v>
      </c>
      <c r="H1312" s="165" t="n">
        <v>50.45</v>
      </c>
      <c r="I1312" s="78" t="inlineStr">
        <is>
          <t>Aparelhos elétricos para telefonia; outros aparelhos para transmissão ou recepção de voz, imagens ou outros dados, incluídos os aparelhos para comunicação em redes por fio ou redes sem fio (tal como uma rede local (LAN) ou uma rede de área estendida (WAN), incluídas suas partes, exceto os de uso automotivo e os classificados nos códigos  8517.62.51, 8517.62.52 e 8517.62.53</t>
        </is>
      </c>
      <c r="J1312" s="46" t="inlineStr">
        <is>
          <t>Lei nº 1.810, art. 49, § 1º, XXIX</t>
        </is>
      </c>
      <c r="L1312" s="29">
        <f>IF(D1312="NCM/SH","",COUNTIF($D$5:$D$1506,D1312))</f>
        <v/>
      </c>
    </row>
    <row r="1313" ht="14.45" customHeight="1" thickBot="1">
      <c r="A1313" s="1" t="inlineStr">
        <is>
          <t>22Eletron</t>
        </is>
      </c>
      <c r="B1313" s="98" t="inlineStr">
        <is>
          <t>111.0</t>
        </is>
      </c>
      <c r="C1313" s="98" t="inlineStr">
        <is>
          <t>21.111.00</t>
        </is>
      </c>
      <c r="D1313" s="98" t="n">
        <v>8517</v>
      </c>
      <c r="E1313" s="98" t="n">
        <v>38</v>
      </c>
      <c r="F1313" s="98" t="n">
        <v>59.61</v>
      </c>
      <c r="G1313" s="98" t="n">
        <v>54.63</v>
      </c>
      <c r="H1313" s="98" t="n">
        <v>46.31</v>
      </c>
      <c r="I1313" s="81" t="inlineStr">
        <is>
          <t>Interfones, seus acessórios, tomadas e "plugs"</t>
        </is>
      </c>
      <c r="J1313" s="42" t="inlineStr">
        <is>
          <t>Lei nº 1.810, art. 49, § 1º, XXIX; Protocolo ICMS nº 15/07</t>
        </is>
      </c>
      <c r="L1313" s="29">
        <f>IF(D1313="NCM/SH","",COUNTIF($D$5:$D$1506,D1313))</f>
        <v/>
      </c>
    </row>
    <row r="1314" ht="14.45" customHeight="1" thickBot="1">
      <c r="A1314" s="1" t="inlineStr">
        <is>
          <t>22Eletron</t>
        </is>
      </c>
      <c r="B1314" s="98" t="inlineStr">
        <is>
          <t>112.0</t>
        </is>
      </c>
      <c r="C1314" s="98" t="inlineStr">
        <is>
          <t>21.112.00</t>
        </is>
      </c>
      <c r="D1314" s="98" t="n">
        <v>8529</v>
      </c>
      <c r="E1314" s="98" t="n">
        <v>38</v>
      </c>
      <c r="F1314" s="98" t="n">
        <v>59.61</v>
      </c>
      <c r="G1314" s="98" t="n">
        <v>54.63</v>
      </c>
      <c r="H1314" s="98" t="n">
        <v>46.31</v>
      </c>
      <c r="I1314" s="81" t="inlineStr">
        <is>
          <t>Partes reconhecíveis como exclusiva ou principalmente destinadas aos aparelhos das posições 8525 a 8528; exceto as de uso automotivo</t>
        </is>
      </c>
      <c r="J1314" s="42" t="inlineStr">
        <is>
          <t>Lei nº 1.810, art. 49, § 1º, XXIX</t>
        </is>
      </c>
      <c r="L1314" s="29">
        <f>IF(D1314="NCM/SH","",COUNTIF($D$5:$D$1506,D1314))</f>
        <v/>
      </c>
    </row>
    <row r="1315" ht="15" customHeight="1" thickBot="1">
      <c r="A1315" s="1" t="inlineStr">
        <is>
          <t>22Eletron</t>
        </is>
      </c>
      <c r="B1315" s="165" t="inlineStr">
        <is>
          <t>113.0</t>
        </is>
      </c>
      <c r="C1315" s="165" t="inlineStr">
        <is>
          <t>21.113.00</t>
        </is>
      </c>
      <c r="D1315" s="165" t="n">
        <v>8531</v>
      </c>
      <c r="E1315" s="165" t="n">
        <v>38</v>
      </c>
      <c r="F1315" s="165" t="n">
        <v>59.61</v>
      </c>
      <c r="G1315" s="165" t="n">
        <v>54.63</v>
      </c>
      <c r="H1315" s="165" t="n">
        <v>46.31</v>
      </c>
      <c r="I1315" s="78" t="inlineStr">
        <is>
          <t>Aparelhos elétricos de sinalização acústica ou visual (por exemplo, campainhas, sirenes, quadros indicadores, aparelhos de alarme para proteção contra roubo ou incêndio); exceto os de uso automotivo e os classificados nas posições 8531.10 e 8531.80.00.</t>
        </is>
      </c>
      <c r="J1315" s="42" t="inlineStr">
        <is>
          <t>Lei nº 1.810, art. 49, § 1º, XXIX; Protocolo ICMS nº 15/07</t>
        </is>
      </c>
      <c r="L1315" s="29">
        <f>IF(D1315="NCM/SH","",COUNTIF($D$5:$D$1506,D1315))</f>
        <v/>
      </c>
    </row>
    <row r="1316" ht="15" customHeight="1" thickBot="1">
      <c r="A1316" s="1" t="inlineStr">
        <is>
          <t>22Eletron</t>
        </is>
      </c>
      <c r="B1316" s="165" t="inlineStr">
        <is>
          <t>114.0</t>
        </is>
      </c>
      <c r="C1316" s="165" t="inlineStr">
        <is>
          <t>21.114.00</t>
        </is>
      </c>
      <c r="D1316" s="165" t="inlineStr">
        <is>
          <t xml:space="preserve">8531.10 </t>
        </is>
      </c>
      <c r="E1316" s="165" t="n">
        <v>38</v>
      </c>
      <c r="F1316" s="165" t="n">
        <v>59.61</v>
      </c>
      <c r="G1316" s="165" t="n">
        <v>54.63</v>
      </c>
      <c r="H1316" s="165" t="n">
        <v>46.31</v>
      </c>
      <c r="I1316" s="78" t="inlineStr">
        <is>
          <t xml:space="preserve">Aparelhos elétricos de alarme, para proteção contra roubo ou incêndio e aparelhos semelhantes, exceto os de uso automotivo </t>
        </is>
      </c>
      <c r="J1316" s="45" t="inlineStr">
        <is>
          <t>Lei nº 1.810, art. 49, § 1º, XXIX; Protocolo ICMS nº 15/07</t>
        </is>
      </c>
      <c r="L1316" s="29">
        <f>IF(D1316="NCM/SH","",COUNTIF($D$5:$D$1506,D1316))</f>
        <v/>
      </c>
    </row>
    <row r="1317" ht="15" customHeight="1" thickBot="1">
      <c r="A1317" s="1" t="inlineStr">
        <is>
          <t>22Eletron</t>
        </is>
      </c>
      <c r="B1317" s="165" t="inlineStr">
        <is>
          <t>115.0</t>
        </is>
      </c>
      <c r="C1317" s="165" t="inlineStr">
        <is>
          <t>21.115.00</t>
        </is>
      </c>
      <c r="D1317" s="165" t="inlineStr">
        <is>
          <t xml:space="preserve">8531.80.00 </t>
        </is>
      </c>
      <c r="E1317" s="165" t="n">
        <v>38</v>
      </c>
      <c r="F1317" s="165" t="n">
        <v>59.61</v>
      </c>
      <c r="G1317" s="165" t="n">
        <v>54.63</v>
      </c>
      <c r="H1317" s="165" t="n">
        <v>46.31</v>
      </c>
      <c r="I1317" s="78" t="inlineStr">
        <is>
          <t xml:space="preserve">Outros aparelhos de sinalização acústica ou visual, exceto os de uso automotivo </t>
        </is>
      </c>
      <c r="J1317" s="105" t="inlineStr">
        <is>
          <t>Lei nº 1.810, art. 49, § 1º, XXIX; Protocolo ICMS nº 15/07</t>
        </is>
      </c>
      <c r="L1317" s="29">
        <f>IF(D1317="NCM/SH","",COUNTIF($D$5:$D$1506,D1317))</f>
        <v/>
      </c>
    </row>
    <row r="1318" ht="15" customHeight="1" thickBot="1">
      <c r="A1318" s="1" t="inlineStr">
        <is>
          <t>22Eletron</t>
        </is>
      </c>
      <c r="B1318" s="165" t="inlineStr">
        <is>
          <t>116.0</t>
        </is>
      </c>
      <c r="C1318" s="165" t="inlineStr">
        <is>
          <t>21.116.00</t>
        </is>
      </c>
      <c r="D1318" s="165" t="inlineStr">
        <is>
          <t xml:space="preserve">8534.00 </t>
        </is>
      </c>
      <c r="E1318" s="165" t="n">
        <v>38</v>
      </c>
      <c r="F1318" s="165" t="n">
        <v>59.61</v>
      </c>
      <c r="G1318" s="165" t="n">
        <v>54.63</v>
      </c>
      <c r="H1318" s="165" t="n">
        <v>46.31</v>
      </c>
      <c r="I1318" s="78" t="inlineStr">
        <is>
          <t xml:space="preserve">Circuitos impressos, exceto os de uso automotivo </t>
        </is>
      </c>
      <c r="J1318" s="42" t="inlineStr">
        <is>
          <t>Lei nº 1.810, art. 49, § 1º, XXIX</t>
        </is>
      </c>
      <c r="K1318" s="47" t="inlineStr">
        <is>
          <t>(Item 117: nova redação dada pelo Decreto nº 16.011/2022. Efeitos a partir de 16.08.2022)</t>
        </is>
      </c>
      <c r="L1318" s="29">
        <f>IF(D1318="NCM/SH","",COUNTIF($D$5:$D$1506,D1318))</f>
        <v/>
      </c>
    </row>
    <row r="1319" ht="14.45" customHeight="1" thickBot="1">
      <c r="A1319" s="1" t="inlineStr">
        <is>
          <t>22Eletron</t>
        </is>
      </c>
      <c r="B1319" s="98" t="inlineStr">
        <is>
          <t>117.0</t>
        </is>
      </c>
      <c r="C1319" s="98" t="inlineStr">
        <is>
          <t>21.117.00</t>
        </is>
      </c>
      <c r="D1319" s="98" t="inlineStr">
        <is>
          <t>8541.41.11</t>
        </is>
      </c>
      <c r="E1319" s="98" t="n">
        <v>38</v>
      </c>
      <c r="F1319" s="98" t="n">
        <v>59.61</v>
      </c>
      <c r="G1319" s="98" t="n">
        <v>54.63</v>
      </c>
      <c r="H1319" s="98" t="n">
        <v>46.31</v>
      </c>
      <c r="I1319" s="81" t="inlineStr">
        <is>
          <t>Diodos emissores de luz (LED), exceto diodos "laser"</t>
        </is>
      </c>
      <c r="J1319" s="45" t="inlineStr">
        <is>
          <t>Lei nº 1.810, art. 49, § 1º, XXIX</t>
        </is>
      </c>
      <c r="K1319" s="47" t="inlineStr">
        <is>
          <t>(Item 117: nova redação dada pelo Decreto nº 16.011/2022. Efeitos a partir de 16.08.2022)</t>
        </is>
      </c>
      <c r="L1319" s="29">
        <f>IF(D1319="NCM/SH","",COUNTIF($D$5:$D$1506,D1319))</f>
        <v/>
      </c>
    </row>
    <row r="1320" ht="15.75" customHeight="1" thickBot="1">
      <c r="A1320" s="1" t="inlineStr">
        <is>
          <t>22Eletron</t>
        </is>
      </c>
      <c r="B1320" s="101" t="n">
        <v>117</v>
      </c>
      <c r="C1320" s="101" t="inlineStr">
        <is>
          <t>21.117.00</t>
        </is>
      </c>
      <c r="D1320" s="101" t="inlineStr">
        <is>
          <t>8541.41.21</t>
        </is>
      </c>
      <c r="E1320" s="101" t="n">
        <v>38</v>
      </c>
      <c r="F1320" s="101" t="n">
        <v>59.61</v>
      </c>
      <c r="G1320" s="101" t="n">
        <v>54.63</v>
      </c>
      <c r="H1320" s="101" t="n">
        <v>46.31</v>
      </c>
      <c r="I1320" s="100" t="inlineStr">
        <is>
          <t>Diodos emissores de luz (LED), exceto diodos "laser"</t>
        </is>
      </c>
      <c r="J1320" s="104" t="inlineStr">
        <is>
          <t>Lei nº 1.810, art. 49, § 1º, XXIX</t>
        </is>
      </c>
      <c r="K1320" s="47" t="inlineStr">
        <is>
          <t>(Item 117: nova redação dada pelo Decreto nº 16.011/2022. Efeitos a partir de 16.08.2022)</t>
        </is>
      </c>
      <c r="L1320" s="29">
        <f>IF(D1320="NCM/SH","",COUNTIF($D$5:$D$1506,D1320))</f>
        <v/>
      </c>
    </row>
    <row r="1321" ht="15.75" customHeight="1" thickBot="1">
      <c r="A1321" s="1" t="inlineStr">
        <is>
          <t>22Eletron</t>
        </is>
      </c>
      <c r="B1321" s="99" t="n">
        <v>117</v>
      </c>
      <c r="C1321" s="99" t="inlineStr">
        <is>
          <t>21.117.00</t>
        </is>
      </c>
      <c r="D1321" s="99" t="inlineStr">
        <is>
          <t>8541.41.22</t>
        </is>
      </c>
      <c r="E1321" s="99" t="n">
        <v>38</v>
      </c>
      <c r="F1321" s="99" t="n">
        <v>59.61</v>
      </c>
      <c r="G1321" s="99" t="n">
        <v>54.63</v>
      </c>
      <c r="H1321" s="99" t="n">
        <v>46.31</v>
      </c>
      <c r="I1321" s="82" t="inlineStr">
        <is>
          <t>Diodos emissores de luz (LED), exceto diodos "laser"</t>
        </is>
      </c>
      <c r="J1321" s="105" t="inlineStr">
        <is>
          <t>Lei nº 1.810, art. 49, § 1º, XXIX</t>
        </is>
      </c>
      <c r="K1321" s="47" t="inlineStr">
        <is>
          <t>(Item 117: nova redação dada pelo Decreto nº 16.011/2022. Efeitos a partir de 16.08.2022)</t>
        </is>
      </c>
      <c r="L1321" s="29">
        <f>IF(D1321="NCM/SH","",COUNTIF($D$5:$D$1506,D1321))</f>
        <v/>
      </c>
    </row>
    <row r="1322" ht="15" customHeight="1" thickBot="1">
      <c r="A1322" s="1" t="inlineStr">
        <is>
          <t>22Eletron</t>
        </is>
      </c>
      <c r="B1322" s="99" t="inlineStr">
        <is>
          <t>118.0</t>
        </is>
      </c>
      <c r="C1322" s="165" t="inlineStr">
        <is>
          <t>21.118.00</t>
        </is>
      </c>
      <c r="D1322" s="165" t="inlineStr">
        <is>
          <t xml:space="preserve">8543.70.92 </t>
        </is>
      </c>
      <c r="E1322" s="165" t="n">
        <v>38</v>
      </c>
      <c r="F1322" s="165" t="n">
        <v>59.61</v>
      </c>
      <c r="G1322" s="165" t="n">
        <v>54.63</v>
      </c>
      <c r="H1322" s="165" t="n">
        <v>46.31</v>
      </c>
      <c r="I1322" s="78" t="inlineStr">
        <is>
          <t>Eletrificadores de cercas eletrônicos</t>
        </is>
      </c>
      <c r="J1322" s="42" t="inlineStr">
        <is>
          <t>Lei nº 1.810, art. 49, § 1º, XXIX; Protocolo ICMS nº 15/07</t>
        </is>
      </c>
      <c r="L1322" s="29">
        <f>IF(D1322="NCM/SH","",COUNTIF($D$5:$D$1506,D1322))</f>
        <v/>
      </c>
    </row>
    <row r="1323" ht="15" customHeight="1" thickBot="1">
      <c r="A1323" s="1" t="inlineStr">
        <is>
          <t>22Eletron</t>
        </is>
      </c>
      <c r="B1323" s="165" t="inlineStr">
        <is>
          <t>119.0</t>
        </is>
      </c>
      <c r="C1323" s="165" t="inlineStr">
        <is>
          <t>21.119.00</t>
        </is>
      </c>
      <c r="D1323" s="165" t="inlineStr">
        <is>
          <t xml:space="preserve">9030.3 </t>
        </is>
      </c>
      <c r="E1323" s="165" t="n">
        <v>38</v>
      </c>
      <c r="F1323" s="165" t="n">
        <v>59.61</v>
      </c>
      <c r="G1323" s="165" t="n">
        <v>54.63</v>
      </c>
      <c r="H1323" s="165" t="n">
        <v>46.31</v>
      </c>
      <c r="I1323" s="78" t="inlineStr">
        <is>
          <t xml:space="preserve">Aparelhos e instrumentos para medida ou controle da tensão, intensidade, resistência ou da potência, sem dispositivo registrador; exceto os de uso automotivo </t>
        </is>
      </c>
      <c r="J1323" s="46" t="inlineStr">
        <is>
          <t>Lei nº 1.810, art. 49, § 1º, XXIX; Protocolo ICMS nº 15/07</t>
        </is>
      </c>
      <c r="L1323" s="29">
        <f>IF(D1323="NCM/SH","",COUNTIF($D$5:$D$1506,D1323))</f>
        <v/>
      </c>
    </row>
    <row r="1324" ht="14.45" customHeight="1" thickBot="1">
      <c r="A1324" s="1" t="inlineStr">
        <is>
          <t>22Eletron</t>
        </is>
      </c>
      <c r="B1324" s="98" t="inlineStr">
        <is>
          <t>120.0</t>
        </is>
      </c>
      <c r="C1324" s="98" t="inlineStr">
        <is>
          <t>21.120.00</t>
        </is>
      </c>
      <c r="D1324" s="98" t="inlineStr">
        <is>
          <t xml:space="preserve">9030.89 </t>
        </is>
      </c>
      <c r="E1324" s="98" t="n">
        <v>38</v>
      </c>
      <c r="F1324" s="98" t="n">
        <v>59.61</v>
      </c>
      <c r="G1324" s="98" t="n">
        <v>54.63</v>
      </c>
      <c r="H1324" s="98" t="n">
        <v>46.31</v>
      </c>
      <c r="I1324" s="81" t="inlineStr">
        <is>
          <t xml:space="preserve">Analisadores lógicos de circuitos digitais, de espectro de frequência, frequencímetros, fasímetros, e outros instrumentos e aparelhos de controle de grandezas elétricas e detecção </t>
        </is>
      </c>
      <c r="J1324" s="42" t="inlineStr">
        <is>
          <t>Lei nº 1.810, art. 49, § 1º, XXIX</t>
        </is>
      </c>
      <c r="L1324" s="29">
        <f>IF(D1324="NCM/SH","",COUNTIF($D$5:$D$1506,D1324))</f>
        <v/>
      </c>
    </row>
    <row r="1325" ht="14.45" customHeight="1" thickBot="1">
      <c r="A1325" s="1" t="inlineStr">
        <is>
          <t>22Eletron</t>
        </is>
      </c>
      <c r="B1325" s="98" t="inlineStr">
        <is>
          <t>121.0</t>
        </is>
      </c>
      <c r="C1325" s="98" t="inlineStr">
        <is>
          <t>21.121.00</t>
        </is>
      </c>
      <c r="D1325" s="98" t="inlineStr">
        <is>
          <t xml:space="preserve">9107.00 </t>
        </is>
      </c>
      <c r="E1325" s="98" t="n">
        <v>38</v>
      </c>
      <c r="F1325" s="98" t="n">
        <v>59.61</v>
      </c>
      <c r="G1325" s="98" t="n">
        <v>54.63</v>
      </c>
      <c r="H1325" s="98" t="n">
        <v>46.31</v>
      </c>
      <c r="I1325" s="81" t="inlineStr">
        <is>
          <t xml:space="preserve">Interruptores horários e outros aparelhos que permitam acionar um mecanismo em tempo determinado, munidos de maquinismo de aparelhos de relojoaria ou de motor síncrono </t>
        </is>
      </c>
      <c r="J1325" s="42" t="inlineStr">
        <is>
          <t>Lei nº 1.810, art. 49, § 1º, XXIX; Protocolo ICMS nº 15/07</t>
        </is>
      </c>
      <c r="L1325" s="29">
        <f>IF(D1325="NCM/SH","",COUNTIF($D$5:$D$1506,D1325))</f>
        <v/>
      </c>
    </row>
    <row r="1326" ht="14.45" customHeight="1" thickBot="1">
      <c r="A1326" s="1" t="inlineStr">
        <is>
          <t>22Eletron</t>
        </is>
      </c>
      <c r="B1326" s="81" t="inlineStr">
        <is>
          <t>122.0</t>
        </is>
      </c>
      <c r="C1326" s="81" t="inlineStr">
        <is>
          <t>21.122.00</t>
        </is>
      </c>
      <c r="D1326" s="81" t="n">
        <v>9405</v>
      </c>
      <c r="E1326" s="81" t="n">
        <v>38</v>
      </c>
      <c r="F1326" s="81" t="n">
        <v>59.61</v>
      </c>
      <c r="G1326" s="81" t="n">
        <v>54.63</v>
      </c>
      <c r="H1326" s="81" t="n">
        <v>46.31</v>
      </c>
      <c r="I1326" s="81" t="inlineStr">
        <is>
          <t>Aparelhos de iluminação (incluídos os projetores) e suas partes, não especificados nem compreendidos em outras posições; anúncios, cartazes ou tabuletas e placas indicadoras luminosos, e artigos semelhantes, contendo uma fonte luminosa fixa permanente, e suas partes não especificadas nem compreendidas em outras posições, com exceção dos itens classificados nos CEST 21.123.00, 21.124,00 e 21.125.00</t>
        </is>
      </c>
      <c r="J1326" s="42" t="inlineStr">
        <is>
          <t>Lei nº 1.810, art. 49, § 1º, XXIX; Protocolo ICMS nº 15/07</t>
        </is>
      </c>
      <c r="K1326" s="43" t="inlineStr">
        <is>
          <t>(Item 122.0: nova redação dada pelo Decreto nº 14.645/2016. Efeitos a partir de 1º.01.2017.)</t>
        </is>
      </c>
      <c r="L1326" s="29">
        <f>IF(D1326="NCM/SH","",COUNTIF($D$5:$D$1506,D1326))</f>
        <v/>
      </c>
    </row>
    <row r="1327" ht="14.45" customHeight="1" thickBot="1">
      <c r="A1327" s="1" t="inlineStr">
        <is>
          <t>22Eletron</t>
        </is>
      </c>
      <c r="B1327" s="100" t="inlineStr">
        <is>
          <t>123.0</t>
        </is>
      </c>
      <c r="C1327" s="81" t="inlineStr">
        <is>
          <t>21.123.00</t>
        </is>
      </c>
      <c r="D1327" s="81" t="inlineStr">
        <is>
          <t>9405.1</t>
        </is>
      </c>
      <c r="E1327" s="81" t="n">
        <v>38</v>
      </c>
      <c r="F1327" s="81" t="n">
        <v>59.61</v>
      </c>
      <c r="G1327" s="81" t="n">
        <v>54.63</v>
      </c>
      <c r="H1327" s="81" t="n">
        <v>46.31</v>
      </c>
      <c r="I1327" s="81" t="inlineStr">
        <is>
          <t>Lustres e outros aparelhos elétricos de iluminação, próprios para serem suspensos ou fixados no teto ou na parede, exceto os dos tipos utilizados na iluminação pública, e suas partes</t>
        </is>
      </c>
      <c r="J1327" s="163" t="inlineStr">
        <is>
          <t>Lei nº 1.810, art. 49, § 1º, XXIX; Protocolo ICMS nº 15/07</t>
        </is>
      </c>
      <c r="K1327" s="47" t="inlineStr">
        <is>
          <t>(Item 123: nova redação dada pelo Decreto nº 16.011/2022. Efeitos a partir de 16.08.2022)</t>
        </is>
      </c>
      <c r="L1327" s="29">
        <f>IF(D1327="NCM/SH","",COUNTIF($D$5:$D$1506,D1327))</f>
        <v/>
      </c>
    </row>
    <row r="1328" ht="15.75" customHeight="1" thickBot="1">
      <c r="A1328" s="1" t="inlineStr">
        <is>
          <t>22Eletron</t>
        </is>
      </c>
      <c r="B1328" s="82" t="n">
        <v>123</v>
      </c>
      <c r="C1328" s="82" t="inlineStr">
        <is>
          <t>21.123.00</t>
        </is>
      </c>
      <c r="D1328" s="82" t="inlineStr">
        <is>
          <t>9405.9</t>
        </is>
      </c>
      <c r="E1328" s="82" t="n">
        <v>38</v>
      </c>
      <c r="F1328" s="82" t="n">
        <v>59.61</v>
      </c>
      <c r="G1328" s="82" t="n">
        <v>54.63</v>
      </c>
      <c r="H1328" s="82" t="n">
        <v>46.31</v>
      </c>
      <c r="I1328" s="82" t="inlineStr">
        <is>
          <t>Lustres e outros aparelhos elétricos de iluminação, próprios para serem suspensos ou fixados no teto ou na parede, exceto os dos tipos utilizados na iluminação pública, e suas partes</t>
        </is>
      </c>
      <c r="J1328" s="164" t="inlineStr">
        <is>
          <t>Lei nº 1.810, art. 49, § 1º, XXIX; Protocolo ICMS nº 15/07</t>
        </is>
      </c>
      <c r="K1328" s="47" t="inlineStr">
        <is>
          <t>(Item 123: nova redação dada pelo Decreto nº 16.011/2022. Efeitos a partir de 16.08.2022)</t>
        </is>
      </c>
      <c r="L1328" s="29">
        <f>IF(D1328="NCM/SH","",COUNTIF($D$5:$D$1506,D1328))</f>
        <v/>
      </c>
    </row>
    <row r="1329" ht="14.45" customHeight="1" thickBot="1">
      <c r="A1329" s="1" t="inlineStr">
        <is>
          <t>22Eletron</t>
        </is>
      </c>
      <c r="B1329" s="81" t="inlineStr">
        <is>
          <t>124.0</t>
        </is>
      </c>
      <c r="C1329" s="81" t="inlineStr">
        <is>
          <t>21.124.00</t>
        </is>
      </c>
      <c r="D1329" s="81" t="inlineStr">
        <is>
          <t>9405.2</t>
        </is>
      </c>
      <c r="E1329" s="81" t="n">
        <v>38</v>
      </c>
      <c r="F1329" s="81" t="n">
        <v>59.61</v>
      </c>
      <c r="G1329" s="81" t="n">
        <v>54.63</v>
      </c>
      <c r="H1329" s="81" t="n">
        <v>46.31</v>
      </c>
      <c r="I1329" s="81" t="inlineStr">
        <is>
          <t>Abajures de cabeceiras, de escritório e lampadários de interior, elétricos e suas partes</t>
        </is>
      </c>
      <c r="J1329" s="163" t="inlineStr">
        <is>
          <t>Lei nº 1.810, art. 49, § 1º, XXIX; Protocolo ICMS nº 15/07</t>
        </is>
      </c>
      <c r="K1329" s="47" t="inlineStr">
        <is>
          <t>(Item 124: nova redação dada pelo Decreto nº 16.011/2022. Efeitos a partir de 16.08.2022)</t>
        </is>
      </c>
      <c r="L1329" s="29">
        <f>IF(D1329="NCM/SH","",COUNTIF($D$5:$D$1506,D1329))</f>
        <v/>
      </c>
    </row>
    <row r="1330" ht="15.75" customHeight="1" thickBot="1">
      <c r="A1330" s="1" t="inlineStr">
        <is>
          <t>22Eletron</t>
        </is>
      </c>
      <c r="B1330" s="82" t="n">
        <v>124</v>
      </c>
      <c r="C1330" s="82" t="inlineStr">
        <is>
          <t>21.124.00</t>
        </is>
      </c>
      <c r="D1330" s="82" t="inlineStr">
        <is>
          <t>9405.9</t>
        </is>
      </c>
      <c r="E1330" s="82" t="n">
        <v>38</v>
      </c>
      <c r="F1330" s="82" t="n">
        <v>59.61</v>
      </c>
      <c r="G1330" s="82" t="n">
        <v>54.63</v>
      </c>
      <c r="H1330" s="82" t="n">
        <v>46.31</v>
      </c>
      <c r="I1330" s="82" t="inlineStr">
        <is>
          <t>Abajures de cabeceiras, de escritório e lampadários de interior, elétricos e suas partes</t>
        </is>
      </c>
      <c r="J1330" s="164" t="inlineStr">
        <is>
          <t>Lei nº 1.810, art. 49, § 1º, XXIX; Protocolo ICMS nº 15/07</t>
        </is>
      </c>
      <c r="K1330" s="47" t="inlineStr">
        <is>
          <t>(Item 124: nova redação dada pelo Decreto nº 16.011/2022. Efeitos a partir de 16.08.2022)</t>
        </is>
      </c>
      <c r="L1330" s="29">
        <f>IF(D1330="NCM/SH","",COUNTIF($D$5:$D$1506,D1330))</f>
        <v/>
      </c>
    </row>
    <row r="1331" ht="14.45" customHeight="1" thickBot="1">
      <c r="A1331" s="1" t="inlineStr">
        <is>
          <t>22Eletron</t>
        </is>
      </c>
      <c r="B1331" s="81" t="inlineStr">
        <is>
          <t>125.0</t>
        </is>
      </c>
      <c r="C1331" s="81" t="inlineStr">
        <is>
          <t>21.125.00</t>
        </is>
      </c>
      <c r="D1331" s="98" t="inlineStr">
        <is>
          <t>9405.4</t>
        </is>
      </c>
      <c r="E1331" s="81" t="n">
        <v>38</v>
      </c>
      <c r="F1331" s="81" t="n">
        <v>59.61</v>
      </c>
      <c r="G1331" s="81" t="n">
        <v>54.63</v>
      </c>
      <c r="H1331" s="81" t="n">
        <v>46.31</v>
      </c>
      <c r="I1331" s="81" t="inlineStr">
        <is>
          <t>Outras luminárias e aparelhos de iluminação, elétricos, e suas partes</t>
        </is>
      </c>
      <c r="J1331" s="163" t="inlineStr">
        <is>
          <t>Lei nº 1.810, art. 49, § 1º, XXIX; Protocolo ICMS nº 15/07</t>
        </is>
      </c>
      <c r="K1331" s="47" t="inlineStr">
        <is>
          <t>(Item 125.0: nova redação dada pelo Decreto nº 16.211/2023. Efeitos a partir de 14.6.2023.)</t>
        </is>
      </c>
      <c r="L1331" s="29">
        <f>IF(D1331="NCM/SH","",COUNTIF($D$5:$D$1506,D1331))</f>
        <v/>
      </c>
    </row>
    <row r="1332" ht="15.75" customHeight="1" thickBot="1">
      <c r="A1332" s="1" t="inlineStr">
        <is>
          <t>22Eletron</t>
        </is>
      </c>
      <c r="B1332" s="82" t="n">
        <v>125</v>
      </c>
      <c r="C1332" s="82" t="inlineStr">
        <is>
          <t>21.125.00</t>
        </is>
      </c>
      <c r="D1332" s="99" t="inlineStr">
        <is>
          <t>9405.9</t>
        </is>
      </c>
      <c r="E1332" s="82" t="n">
        <v>38</v>
      </c>
      <c r="F1332" s="82" t="n">
        <v>59.61</v>
      </c>
      <c r="G1332" s="82" t="n">
        <v>54.63</v>
      </c>
      <c r="H1332" s="82" t="n">
        <v>46.31</v>
      </c>
      <c r="I1332" s="82" t="inlineStr">
        <is>
          <t>Outras luminárias e aparelhos de iluminação, elétricos, e suas partes</t>
        </is>
      </c>
      <c r="J1332" s="164" t="inlineStr">
        <is>
          <t>Lei nº 1.810, art. 49, § 1º, XXIX; Protocolo ICMS nº 15/07</t>
        </is>
      </c>
      <c r="K1332" s="47" t="inlineStr">
        <is>
          <t>(Item 125.0: nova redação dada pelo Decreto nº 16.211/2023. Efeitos a partir de 14.6.2023.)</t>
        </is>
      </c>
      <c r="L1332" s="29">
        <f>IF(D1332="NCM/SH","",COUNTIF($D$5:$D$1506,D1332))</f>
        <v/>
      </c>
    </row>
    <row r="1333" ht="15" customHeight="1" thickBot="1">
      <c r="A1333" s="1" t="inlineStr">
        <is>
          <t>22Eletron</t>
        </is>
      </c>
      <c r="B1333" s="78" t="inlineStr">
        <is>
          <t>126.0</t>
        </is>
      </c>
      <c r="C1333" s="78" t="inlineStr">
        <is>
          <t>21.126.00</t>
        </is>
      </c>
      <c r="D1333" s="78" t="inlineStr">
        <is>
          <t>8542.31.90</t>
        </is>
      </c>
      <c r="E1333" s="78" t="n">
        <v>30</v>
      </c>
      <c r="F1333" s="78" t="n">
        <v>50.36</v>
      </c>
      <c r="G1333" s="78" t="n">
        <v>45.66</v>
      </c>
      <c r="H1333" s="78" t="n">
        <v>37.83</v>
      </c>
      <c r="I1333" s="78" t="inlineStr">
        <is>
          <t>Microprocessador</t>
        </is>
      </c>
      <c r="J1333" s="106" t="inlineStr">
        <is>
          <t>Lei nº 1.810, art. 49, § 1º, XXIX; Protocolo ICMS nº 15/07</t>
        </is>
      </c>
      <c r="K1333" s="43" t="inlineStr">
        <is>
          <t>(Itens 123.0 a 126.0: acrescentados pelo Decreto nº 14.645/2016. Efeitos a partir de 1º.01.2017.)</t>
        </is>
      </c>
      <c r="L1333" s="29">
        <f>IF(D1333="NCM/SH","",COUNTIF($D$5:$D$1506,D1333))</f>
        <v/>
      </c>
    </row>
    <row r="1334">
      <c r="B1334" s="65" t="n"/>
      <c r="C1334" s="65" t="n"/>
      <c r="D1334" s="65" t="n"/>
      <c r="E1334" s="65" t="n"/>
      <c r="F1334" s="65" t="n"/>
      <c r="G1334" s="65" t="n"/>
      <c r="H1334" s="65" t="n"/>
      <c r="I1334" s="65" t="n"/>
      <c r="J1334" s="65" t="n"/>
      <c r="K1334" s="65" t="n"/>
      <c r="L1334" s="29">
        <f>IF(D1334="NCM/SH","",COUNTIF($D$5:$D$1506,D1334))</f>
        <v/>
      </c>
      <c r="M1334" s="65" t="n"/>
      <c r="N1334" s="65" t="n"/>
      <c r="O1334" s="65" t="n"/>
      <c r="P1334" s="65" t="n"/>
      <c r="Q1334" s="65" t="n"/>
      <c r="R1334" s="65" t="n"/>
      <c r="S1334" s="65" t="n"/>
      <c r="T1334" s="65" t="n"/>
    </row>
    <row r="1335">
      <c r="B1335" s="28" t="n"/>
      <c r="L1335" s="29">
        <f>IF(D1335="NCM/SH","",COUNTIF($D$5:$D$1506,D1335))</f>
        <v/>
      </c>
    </row>
    <row r="1336" ht="15.75" customHeight="1" thickBot="1">
      <c r="A1336" s="1" t="inlineStr">
        <is>
          <t>23Ração</t>
        </is>
      </c>
      <c r="B1336" s="28" t="inlineStr">
        <is>
          <t>Tabela XXIII</t>
        </is>
      </c>
      <c r="C1336" s="28" t="inlineStr">
        <is>
          <t>RAÇÕES PARA ANIMAIS DOMÉSTICOS</t>
        </is>
      </c>
      <c r="L1336" s="29">
        <f>IF(D1336="NCM/SH","",COUNTIF($D$5:$D$1506,D1336))</f>
        <v/>
      </c>
    </row>
    <row r="1337" ht="15" customHeight="1" thickBot="1">
      <c r="A1337" s="1" t="inlineStr">
        <is>
          <t>23Ração</t>
        </is>
      </c>
      <c r="B1337" s="163" t="inlineStr">
        <is>
          <t>ITEM</t>
        </is>
      </c>
      <c r="C1337" s="163" t="inlineStr">
        <is>
          <t>CEST</t>
        </is>
      </c>
      <c r="D1337" s="163" t="inlineStr">
        <is>
          <t>NCM/SH</t>
        </is>
      </c>
      <c r="E1337" s="165" t="inlineStr">
        <is>
          <t>MARGEM DE VALOR AGREGADO</t>
        </is>
      </c>
      <c r="F1337" s="166" t="n"/>
      <c r="G1337" s="166" t="n"/>
      <c r="H1337" s="167" t="n"/>
      <c r="I1337" s="163" t="inlineStr">
        <is>
          <t xml:space="preserve">DESCRIÇÃO </t>
        </is>
      </c>
      <c r="J1337" s="163" t="inlineStr">
        <is>
          <t>DISPOSITIVO LEGAL</t>
        </is>
      </c>
      <c r="L1337" s="29">
        <f>IF(D1337="NCM/SH","",COUNTIF($D$5:$D$1506,D1337))</f>
        <v/>
      </c>
    </row>
    <row r="1338" ht="15.75" customHeight="1" thickBot="1">
      <c r="A1338" s="1" t="inlineStr">
        <is>
          <t>23Ração</t>
        </is>
      </c>
      <c r="B1338" s="164" t="n"/>
      <c r="C1338" s="164" t="n"/>
      <c r="D1338" s="164" t="n"/>
      <c r="E1338" s="35" t="inlineStr">
        <is>
          <t>Oper. interna</t>
        </is>
      </c>
      <c r="F1338" s="167" t="inlineStr">
        <is>
          <t>Alíq. 4%</t>
        </is>
      </c>
      <c r="G1338" s="167" t="inlineStr">
        <is>
          <t>Alíq. 7%</t>
        </is>
      </c>
      <c r="H1338" s="167" t="inlineStr">
        <is>
          <t>Alíq. 12%</t>
        </is>
      </c>
      <c r="I1338" s="164" t="n"/>
      <c r="J1338" s="164" t="n"/>
      <c r="L1338" s="29">
        <f>IF(D1338="NCM/SH","",COUNTIF($D$5:$D$1506,D1338))</f>
        <v/>
      </c>
    </row>
    <row r="1339" ht="15.75" customHeight="1" thickBot="1">
      <c r="A1339" s="1" t="inlineStr">
        <is>
          <t>23Ração</t>
        </is>
      </c>
      <c r="B1339" s="164" t="inlineStr">
        <is>
          <t>1.0</t>
        </is>
      </c>
      <c r="C1339" s="35" t="inlineStr">
        <is>
          <t>22.001.00</t>
        </is>
      </c>
      <c r="D1339" s="35" t="n">
        <v>2309</v>
      </c>
      <c r="E1339" s="35" t="n">
        <v>46</v>
      </c>
      <c r="F1339" s="35" t="n">
        <v>68.87</v>
      </c>
      <c r="G1339" s="35" t="n">
        <v>63.59</v>
      </c>
      <c r="H1339" s="35" t="n">
        <v>54.8</v>
      </c>
      <c r="I1339" s="35" t="inlineStr">
        <is>
          <t>Ração tipo “pet” para animais domésticos</t>
        </is>
      </c>
      <c r="J1339" s="48" t="inlineStr">
        <is>
          <t>Lei nº 1.810, art. 49, § 1º, XXIX; Protocolo ICMS nº 26/04 e 13/07</t>
        </is>
      </c>
      <c r="L1339" s="29">
        <f>IF(D1339="NCM/SH","",COUNTIF($D$5:$D$1506,D1339))</f>
        <v/>
      </c>
    </row>
    <row r="1340">
      <c r="B1340" s="28" t="n"/>
      <c r="L1340" s="29">
        <f>IF(D1340="NCM/SH","",COUNTIF($D$5:$D$1506,D1340))</f>
        <v/>
      </c>
    </row>
    <row r="1341">
      <c r="B1341" s="28" t="n"/>
      <c r="L1341" s="29">
        <f>IF(D1341="NCM/SH","",COUNTIF($D$5:$D$1506,D1341))</f>
        <v/>
      </c>
    </row>
    <row r="1342">
      <c r="B1342" s="28" t="n"/>
      <c r="L1342" s="29">
        <f>IF(D1342="NCM/SH","",COUNTIF($D$5:$D$1506,D1342))</f>
        <v/>
      </c>
    </row>
    <row r="1343" ht="15.75" customHeight="1" thickBot="1">
      <c r="A1343" s="1" t="inlineStr">
        <is>
          <t>24Sorvete</t>
        </is>
      </c>
      <c r="B1343" s="28" t="inlineStr">
        <is>
          <t>Tabela XXIV</t>
        </is>
      </c>
      <c r="C1343" s="28" t="inlineStr">
        <is>
          <t>SORVETES E PREPARADOS PARA FABRICAÇÃO DE SORVETES EM MÁQUINAS</t>
        </is>
      </c>
      <c r="D1343" s="62" t="n"/>
      <c r="E1343" s="62" t="n"/>
      <c r="F1343" s="62" t="n"/>
      <c r="G1343" s="62" t="n"/>
      <c r="H1343" s="62" t="n"/>
      <c r="L1343" s="29">
        <f>IF(D1343="NCM/SH","",COUNTIF($D$5:$D$1506,D1343))</f>
        <v/>
      </c>
    </row>
    <row r="1344" ht="15" customHeight="1" thickBot="1">
      <c r="A1344" s="1" t="inlineStr">
        <is>
          <t>24Sorvete</t>
        </is>
      </c>
      <c r="B1344" s="163" t="inlineStr">
        <is>
          <t>ITEM</t>
        </is>
      </c>
      <c r="C1344" s="163" t="inlineStr">
        <is>
          <t>CEST</t>
        </is>
      </c>
      <c r="D1344" s="163" t="inlineStr">
        <is>
          <t>NCM/SH</t>
        </is>
      </c>
      <c r="E1344" s="165" t="inlineStr">
        <is>
          <t>MARGEM DE VALOR AGREGADO</t>
        </is>
      </c>
      <c r="F1344" s="166" t="n"/>
      <c r="G1344" s="166" t="n"/>
      <c r="H1344" s="167" t="n"/>
      <c r="I1344" s="163" t="inlineStr">
        <is>
          <t xml:space="preserve">DESCRIÇÃO </t>
        </is>
      </c>
      <c r="J1344" s="163" t="inlineStr">
        <is>
          <t>DISPOSITIVO LEGAL</t>
        </is>
      </c>
      <c r="L1344" s="29">
        <f>IF(D1344="NCM/SH","",COUNTIF($D$5:$D$1506,D1344))</f>
        <v/>
      </c>
    </row>
    <row r="1345" ht="15.75" customHeight="1" thickBot="1">
      <c r="A1345" s="1" t="inlineStr">
        <is>
          <t>24Sorvete</t>
        </is>
      </c>
      <c r="B1345" s="164" t="inlineStr">
        <is>
          <t>ITEM</t>
        </is>
      </c>
      <c r="C1345" s="164" t="inlineStr">
        <is>
          <t>CEST</t>
        </is>
      </c>
      <c r="D1345" s="164" t="inlineStr">
        <is>
          <t>NCM/SH</t>
        </is>
      </c>
      <c r="E1345" s="35" t="inlineStr">
        <is>
          <t>Oper. interna</t>
        </is>
      </c>
      <c r="F1345" s="167" t="inlineStr">
        <is>
          <t>Alíq. 4%</t>
        </is>
      </c>
      <c r="G1345" s="167" t="inlineStr">
        <is>
          <t>Alíq. 7%</t>
        </is>
      </c>
      <c r="H1345" s="167" t="inlineStr">
        <is>
          <t>Alíq. 12%</t>
        </is>
      </c>
      <c r="I1345" s="164" t="inlineStr">
        <is>
          <t xml:space="preserve">DESCRIÇÃO </t>
        </is>
      </c>
      <c r="J1345" s="164" t="inlineStr">
        <is>
          <t>DISPOSITIVO LEGAL</t>
        </is>
      </c>
      <c r="L1345" s="29">
        <f>IF(D1345="NCM/SH","",COUNTIF($D$5:$D$1506,D1345))</f>
        <v/>
      </c>
    </row>
    <row r="1346" ht="15" customHeight="1" thickBot="1">
      <c r="A1346" s="1" t="inlineStr">
        <is>
          <t>24Sorvete</t>
        </is>
      </c>
      <c r="B1346" s="164" t="inlineStr">
        <is>
          <t>1.0</t>
        </is>
      </c>
      <c r="C1346" s="35" t="inlineStr">
        <is>
          <t>23.001.00</t>
        </is>
      </c>
      <c r="D1346" s="35" t="inlineStr">
        <is>
          <t>2105.00</t>
        </is>
      </c>
      <c r="E1346" s="35" t="n">
        <v>70</v>
      </c>
      <c r="F1346" s="35" t="n">
        <v>96.63</v>
      </c>
      <c r="G1346" s="35" t="n">
        <v>90.48</v>
      </c>
      <c r="H1346" s="35" t="n">
        <v>80.23999999999999</v>
      </c>
      <c r="I1346" s="35" t="inlineStr">
        <is>
          <t>Sorvetes de qualquer espécie</t>
        </is>
      </c>
      <c r="J1346" s="42" t="inlineStr">
        <is>
          <t>Lei nº 1.810, art. 49, § 1º, XXIV; Protocolo ICMS nº 20/05</t>
        </is>
      </c>
      <c r="L1346" s="29">
        <f>IF(D1346="NCM/SH","",COUNTIF($D$5:$D$1506,D1346))</f>
        <v/>
      </c>
    </row>
    <row r="1347" ht="14.45" customHeight="1" thickBot="1">
      <c r="A1347" s="1" t="inlineStr">
        <is>
          <t>24Sorvete</t>
        </is>
      </c>
      <c r="B1347" s="163" t="inlineStr">
        <is>
          <t>2.0</t>
        </is>
      </c>
      <c r="C1347" s="163" t="inlineStr">
        <is>
          <t>23.002.00</t>
        </is>
      </c>
      <c r="D1347" s="37" t="n">
        <v>1806</v>
      </c>
      <c r="E1347" s="163" t="n">
        <v>328</v>
      </c>
      <c r="F1347" s="163" t="n">
        <v>395.04</v>
      </c>
      <c r="G1347" s="163" t="n">
        <v>379.57</v>
      </c>
      <c r="H1347" s="163" t="n">
        <v>353.78</v>
      </c>
      <c r="I1347" s="163" t="inlineStr">
        <is>
          <t>Preparados para fabricação de sorvete em máquina</t>
        </is>
      </c>
      <c r="J1347" s="45" t="inlineStr">
        <is>
          <t>Lei nº 1.810, art. 49, § 1º, XXIV; Protocolo ICMS nº 20/05</t>
        </is>
      </c>
      <c r="K1347" s="47" t="inlineStr">
        <is>
          <t>(Item 2.0: nova redação dada pelo Decreto nº 16.211/2023. Efeitos a partir de 1º.6.2023.)</t>
        </is>
      </c>
      <c r="L1347" s="29">
        <f>IF(D1347="NCM/SH","",COUNTIF($D$5:$D$1506,D1347))</f>
        <v/>
      </c>
    </row>
    <row r="1348" ht="15.75" customHeight="1" thickBot="1">
      <c r="A1348" s="1" t="inlineStr">
        <is>
          <t>24Sorvete</t>
        </is>
      </c>
      <c r="B1348" s="44" t="n">
        <v>2</v>
      </c>
      <c r="C1348" s="44" t="inlineStr">
        <is>
          <t>23.002.00</t>
        </is>
      </c>
      <c r="D1348" s="37" t="n">
        <v>1901</v>
      </c>
      <c r="E1348" s="44" t="n">
        <v>328</v>
      </c>
      <c r="F1348" s="44" t="n">
        <v>395.04</v>
      </c>
      <c r="G1348" s="44" t="n">
        <v>379.57</v>
      </c>
      <c r="H1348" s="44" t="n">
        <v>353.78</v>
      </c>
      <c r="I1348" s="44" t="inlineStr">
        <is>
          <t>Preparados para fabricação de sorvete em máquina</t>
        </is>
      </c>
      <c r="J1348" s="45" t="inlineStr">
        <is>
          <t>Lei nº 1.810, art. 49, § 1º, XXIV; Protocolo ICMS nº 20/05</t>
        </is>
      </c>
      <c r="K1348" s="47" t="inlineStr">
        <is>
          <t>(Item 2.0: nova redação dada pelo Decreto nº 16.211/2023. Efeitos a partir de 1º.6.2023.)</t>
        </is>
      </c>
      <c r="L1348" s="29">
        <f>IF(D1348="NCM/SH","",COUNTIF($D$5:$D$1506,D1348))</f>
        <v/>
      </c>
    </row>
    <row r="1349" ht="15.75" customHeight="1" thickBot="1">
      <c r="A1349" s="1" t="inlineStr">
        <is>
          <t>24Sorvete</t>
        </is>
      </c>
      <c r="B1349" s="44" t="n">
        <v>2</v>
      </c>
      <c r="C1349" s="44" t="inlineStr">
        <is>
          <t>23.002.00</t>
        </is>
      </c>
      <c r="D1349" s="37" t="n">
        <v>2106</v>
      </c>
      <c r="E1349" s="44" t="n">
        <v>328</v>
      </c>
      <c r="F1349" s="44" t="n">
        <v>395.04</v>
      </c>
      <c r="G1349" s="44" t="n">
        <v>379.57</v>
      </c>
      <c r="H1349" s="44" t="n">
        <v>353.78</v>
      </c>
      <c r="I1349" s="44" t="inlineStr">
        <is>
          <t>Preparados para fabricação de sorvete em máquina</t>
        </is>
      </c>
      <c r="J1349" s="45" t="inlineStr">
        <is>
          <t>Lei nº 1.810, art. 49, § 1º, XXIV; Protocolo ICMS nº 20/05</t>
        </is>
      </c>
      <c r="K1349" s="47" t="inlineStr">
        <is>
          <t>(Item 2.0: nova redação dada pelo Decreto nº 16.211/2023. Efeitos a partir de 1º.6.2023.)</t>
        </is>
      </c>
      <c r="L1349" s="29">
        <f>IF(D1349="NCM/SH","",COUNTIF($D$5:$D$1506,D1349))</f>
        <v/>
      </c>
    </row>
    <row r="1350" ht="15.75" customHeight="1" thickBot="1">
      <c r="A1350" s="1" t="inlineStr">
        <is>
          <t>24Sorvete</t>
        </is>
      </c>
      <c r="B1350" s="164" t="n">
        <v>2</v>
      </c>
      <c r="C1350" s="164" t="inlineStr">
        <is>
          <t>23.002.00</t>
        </is>
      </c>
      <c r="D1350" s="35" t="n">
        <v>404</v>
      </c>
      <c r="E1350" s="164" t="n">
        <v>328</v>
      </c>
      <c r="F1350" s="164" t="n">
        <v>395.04</v>
      </c>
      <c r="G1350" s="164" t="n">
        <v>379.57</v>
      </c>
      <c r="H1350" s="164" t="n">
        <v>353.78</v>
      </c>
      <c r="I1350" s="164" t="inlineStr">
        <is>
          <t>Preparados para fabricação de sorvete em máquina</t>
        </is>
      </c>
      <c r="J1350" s="45" t="inlineStr">
        <is>
          <t>Lei nº 1.810, art. 49, § 1º, XXIV; Protocolo ICMS nº 20/05</t>
        </is>
      </c>
      <c r="K1350" s="47" t="inlineStr">
        <is>
          <t>(Item 2.0: nova redação dada pelo Decreto nº 16.211/2023. Efeitos a partir de 1º.6.2023.)</t>
        </is>
      </c>
      <c r="L1350" s="29">
        <f>IF(D1350="NCM/SH","",COUNTIF($D$5:$D$1506,D1350))</f>
        <v/>
      </c>
    </row>
    <row r="1351">
      <c r="B1351" s="28" t="n"/>
      <c r="L1351" s="29">
        <f>IF(D1351="NCM/SH","",COUNTIF($D$5:$D$1506,D1351))</f>
        <v/>
      </c>
    </row>
    <row r="1352">
      <c r="B1352" s="28" t="n"/>
      <c r="L1352" s="29">
        <f>IF(D1352="NCM/SH","",COUNTIF($D$5:$D$1506,D1352))</f>
        <v/>
      </c>
    </row>
    <row r="1353">
      <c r="B1353" s="28" t="n"/>
      <c r="L1353" s="29">
        <f>IF(D1353="NCM/SH","",COUNTIF($D$5:$D$1506,D1353))</f>
        <v/>
      </c>
    </row>
    <row r="1354">
      <c r="B1354" s="28" t="n"/>
      <c r="L1354" s="29">
        <f>IF(D1354="NCM/SH","",COUNTIF($D$5:$D$1506,D1354))</f>
        <v/>
      </c>
    </row>
    <row r="1355" ht="15.75" customHeight="1" thickBot="1">
      <c r="A1355" s="1" t="inlineStr">
        <is>
          <t>25Tinta</t>
        </is>
      </c>
      <c r="B1355" s="28" t="inlineStr">
        <is>
          <t>Tabela XXV</t>
        </is>
      </c>
      <c r="C1355" s="28" t="inlineStr">
        <is>
          <t>TINTAS E VERNIZES</t>
        </is>
      </c>
      <c r="D1355" s="62" t="n"/>
      <c r="E1355" s="62" t="n"/>
      <c r="F1355" s="62" t="n"/>
      <c r="G1355" s="62" t="n"/>
      <c r="H1355" s="62" t="n"/>
      <c r="L1355" s="29">
        <f>IF(D1355="NCM/SH","",COUNTIF($D$5:$D$1506,D1355))</f>
        <v/>
      </c>
    </row>
    <row r="1356" ht="15" customHeight="1" thickBot="1">
      <c r="A1356" s="1" t="inlineStr">
        <is>
          <t>25Tinta</t>
        </is>
      </c>
      <c r="B1356" s="163" t="inlineStr">
        <is>
          <t>ITEM</t>
        </is>
      </c>
      <c r="C1356" s="163" t="inlineStr">
        <is>
          <t>CEST</t>
        </is>
      </c>
      <c r="D1356" s="163" t="inlineStr">
        <is>
          <t>NCM/SH</t>
        </is>
      </c>
      <c r="E1356" s="165" t="inlineStr">
        <is>
          <t>MARGEM DE VALOR AGREGADO</t>
        </is>
      </c>
      <c r="F1356" s="166" t="n"/>
      <c r="G1356" s="166" t="n"/>
      <c r="H1356" s="167" t="n"/>
      <c r="I1356" s="163" t="inlineStr">
        <is>
          <t xml:space="preserve">DESCRIÇÃO </t>
        </is>
      </c>
      <c r="J1356" s="163" t="inlineStr">
        <is>
          <t>DISPOSITIVO LEGAL</t>
        </is>
      </c>
      <c r="L1356" s="29">
        <f>IF(D1356="NCM/SH","",COUNTIF($D$5:$D$1506,D1356))</f>
        <v/>
      </c>
    </row>
    <row r="1357" ht="15.75" customHeight="1" thickBot="1">
      <c r="A1357" s="1" t="inlineStr">
        <is>
          <t>25Tinta</t>
        </is>
      </c>
      <c r="B1357" s="164" t="inlineStr">
        <is>
          <t>ITEM</t>
        </is>
      </c>
      <c r="C1357" s="164" t="inlineStr">
        <is>
          <t>CEST</t>
        </is>
      </c>
      <c r="D1357" s="164" t="inlineStr">
        <is>
          <t>NCM/SH</t>
        </is>
      </c>
      <c r="E1357" s="35" t="inlineStr">
        <is>
          <t>Oper. interna</t>
        </is>
      </c>
      <c r="F1357" s="167" t="inlineStr">
        <is>
          <t>Alíq. 4%</t>
        </is>
      </c>
      <c r="G1357" s="167" t="inlineStr">
        <is>
          <t>Alíq. 7%</t>
        </is>
      </c>
      <c r="H1357" s="167" t="inlineStr">
        <is>
          <t>Alíq. 12%</t>
        </is>
      </c>
      <c r="I1357" s="164" t="inlineStr">
        <is>
          <t xml:space="preserve">DESCRIÇÃO </t>
        </is>
      </c>
      <c r="J1357" s="164" t="inlineStr">
        <is>
          <t>DISPOSITIVO LEGAL</t>
        </is>
      </c>
      <c r="L1357" s="29">
        <f>IF(D1357="NCM/SH","",COUNTIF($D$5:$D$1506,D1357))</f>
        <v/>
      </c>
    </row>
    <row r="1358">
      <c r="A1358" s="1" t="inlineStr">
        <is>
          <t>25Tinta</t>
        </is>
      </c>
      <c r="B1358" s="163" t="inlineStr">
        <is>
          <t>1.0</t>
        </is>
      </c>
      <c r="C1358" s="163" t="inlineStr">
        <is>
          <t>24.001.00</t>
        </is>
      </c>
      <c r="D1358" s="37" t="n">
        <v>3208</v>
      </c>
      <c r="E1358" s="163" t="n">
        <v>35</v>
      </c>
      <c r="F1358" s="163" t="n">
        <v>56.14</v>
      </c>
      <c r="G1358" s="163" t="n">
        <v>51.27</v>
      </c>
      <c r="H1358" s="163" t="n">
        <v>43.14</v>
      </c>
      <c r="I1358" s="163" t="inlineStr">
        <is>
          <t>Tintas, vernizes</t>
        </is>
      </c>
      <c r="J1358" s="38" t="inlineStr">
        <is>
          <t>Lei nº 1.810/97, art. 49, § 1º, inciso XIII; Convênio ICMS 118/17</t>
        </is>
      </c>
      <c r="L1358" s="29">
        <f>IF(D1358="NCM/SH","",COUNTIF($D$5:$D$1506,D1358))</f>
        <v/>
      </c>
    </row>
    <row r="1359">
      <c r="A1359" s="1" t="inlineStr">
        <is>
          <t>25Tinta</t>
        </is>
      </c>
      <c r="B1359" s="44" t="n">
        <v>1</v>
      </c>
      <c r="C1359" s="44" t="inlineStr">
        <is>
          <t>24.001.00</t>
        </is>
      </c>
      <c r="D1359" s="37" t="n">
        <v>3209</v>
      </c>
      <c r="E1359" s="44" t="n">
        <v>35</v>
      </c>
      <c r="F1359" s="44" t="n">
        <v>56.14</v>
      </c>
      <c r="G1359" s="44" t="n">
        <v>51.27</v>
      </c>
      <c r="H1359" s="44" t="n">
        <v>43.14</v>
      </c>
      <c r="I1359" s="44" t="inlineStr">
        <is>
          <t>Tintas, vernizes</t>
        </is>
      </c>
      <c r="J1359" s="97" t="inlineStr">
        <is>
          <t>(Nova redação dada pelo Decreto nº 15.024/18. Efeitos a partir de 1º.01.18.)</t>
        </is>
      </c>
      <c r="L1359" s="29">
        <f>IF(D1359="NCM/SH","",COUNTIF($D$5:$D$1506,D1359))</f>
        <v/>
      </c>
    </row>
    <row r="1360" ht="15.75" customHeight="1" thickBot="1">
      <c r="A1360" s="1" t="inlineStr">
        <is>
          <t>25Tinta</t>
        </is>
      </c>
      <c r="B1360" s="164" t="n">
        <v>1</v>
      </c>
      <c r="C1360" s="164" t="inlineStr">
        <is>
          <t>24.001.00</t>
        </is>
      </c>
      <c r="D1360" s="35" t="inlineStr">
        <is>
          <t>3210.00</t>
        </is>
      </c>
      <c r="E1360" s="164" t="n">
        <v>35</v>
      </c>
      <c r="F1360" s="164" t="n">
        <v>56.14</v>
      </c>
      <c r="G1360" s="164" t="n">
        <v>51.27</v>
      </c>
      <c r="H1360" s="164" t="n">
        <v>43.14</v>
      </c>
      <c r="I1360" s="164" t="inlineStr">
        <is>
          <t>Tintas, vernizes</t>
        </is>
      </c>
      <c r="J1360" s="41" t="inlineStr">
        <is>
          <t>(Nova redação dada pelo Decreto nº 15.024/18. Efeitos a partir de 1º.01.18.)</t>
        </is>
      </c>
      <c r="L1360" s="29">
        <f>IF(D1360="NCM/SH","",COUNTIF($D$5:$D$1506,D1360))</f>
        <v/>
      </c>
    </row>
    <row r="1361" ht="14.45" customHeight="1" thickBot="1">
      <c r="A1361" s="1" t="inlineStr">
        <is>
          <t>25Tinta</t>
        </is>
      </c>
      <c r="B1361" s="163" t="inlineStr">
        <is>
          <t>2.0</t>
        </is>
      </c>
      <c r="C1361" s="163" t="inlineStr">
        <is>
          <t>24.002.00</t>
        </is>
      </c>
      <c r="D1361" s="37" t="n">
        <v>2821</v>
      </c>
      <c r="E1361" s="163" t="n">
        <v>35</v>
      </c>
      <c r="F1361" s="163" t="n">
        <v>56.14</v>
      </c>
      <c r="G1361" s="163" t="n">
        <v>51.27</v>
      </c>
      <c r="H1361" s="163" t="n">
        <v>43.14</v>
      </c>
      <c r="I1361" s="163" t="inlineStr">
        <is>
          <t>Xadrez e pós assemelhados, em embalagem de conteúdo inferior ou igual a 1 kg, exceto pigmentos à base de dióxido de titânio classificados no código NCM 3206.11.10</t>
        </is>
      </c>
      <c r="J1361" s="42" t="inlineStr">
        <is>
          <t>Lei nº 1.810/97, art. 49, § 1º, inciso XIII; Convênio ICMS 118/17</t>
        </is>
      </c>
      <c r="K1361" s="47" t="inlineStr">
        <is>
          <t>(Item 2.0: nova redação dada pelo Decreto nº 16.011/2022. Efeitos a partir de 16.08.2022.)</t>
        </is>
      </c>
      <c r="L1361" s="29">
        <f>IF(D1361="NCM/SH","",COUNTIF($D$5:$D$1506,D1361))</f>
        <v/>
      </c>
    </row>
    <row r="1362" ht="15.75" customHeight="1" thickBot="1">
      <c r="A1362" s="1" t="inlineStr">
        <is>
          <t>25Tinta</t>
        </is>
      </c>
      <c r="B1362" s="44" t="n">
        <v>2</v>
      </c>
      <c r="C1362" s="44" t="inlineStr">
        <is>
          <t>24.002.00</t>
        </is>
      </c>
      <c r="D1362" s="37" t="inlineStr">
        <is>
          <t>3204.17.00</t>
        </is>
      </c>
      <c r="E1362" s="44" t="n">
        <v>35</v>
      </c>
      <c r="F1362" s="44" t="n">
        <v>56.14</v>
      </c>
      <c r="G1362" s="44" t="n">
        <v>51.27</v>
      </c>
      <c r="H1362" s="44" t="n">
        <v>43.14</v>
      </c>
      <c r="I1362" s="44" t="inlineStr">
        <is>
          <t>Xadrez e pós assemelhados, em embalagem de conteúdo inferior ou igual a 1 kg, exceto pigmentos à base de dióxido de titânio classificados no código NCM 3206.11.10</t>
        </is>
      </c>
      <c r="J1362" s="45" t="inlineStr">
        <is>
          <t>Lei nº 1.810/97, art. 49, § 1º, inciso XIII; Convênio ICMS 118/17</t>
        </is>
      </c>
      <c r="K1362" s="47" t="inlineStr">
        <is>
          <t>(Item 2.0: nova redação dada pelo Decreto nº 16.011/2022. Efeitos a partir de 16.08.2022.)</t>
        </is>
      </c>
      <c r="L1362" s="29">
        <f>IF(D1362="NCM/SH","",COUNTIF($D$5:$D$1506,D1362))</f>
        <v/>
      </c>
    </row>
    <row r="1363" ht="15.75" customHeight="1" thickBot="1">
      <c r="A1363" s="1" t="inlineStr">
        <is>
          <t>25Tinta</t>
        </is>
      </c>
      <c r="B1363" s="164" t="n">
        <v>2</v>
      </c>
      <c r="C1363" s="164" t="inlineStr">
        <is>
          <t>24.002.00</t>
        </is>
      </c>
      <c r="D1363" s="35" t="n">
        <v>3206</v>
      </c>
      <c r="E1363" s="164" t="n">
        <v>35</v>
      </c>
      <c r="F1363" s="164" t="n">
        <v>56.14</v>
      </c>
      <c r="G1363" s="164" t="n">
        <v>51.27</v>
      </c>
      <c r="H1363" s="164" t="n">
        <v>43.14</v>
      </c>
      <c r="I1363" s="164" t="inlineStr">
        <is>
          <t>Xadrez e pós assemelhados, em embalagem de conteúdo inferior ou igual a 1 kg, exceto pigmentos à base de dióxido de titânio classificados no código NCM 3206.11.10</t>
        </is>
      </c>
      <c r="J1363" s="45" t="inlineStr">
        <is>
          <t>Lei nº 1.810/97, art. 49, § 1º, inciso XIII; Convênio ICMS 118/17</t>
        </is>
      </c>
      <c r="K1363" s="47" t="inlineStr">
        <is>
          <t>(Item 2.0: nova redação dada pelo Decreto nº 16.011/2022. Efeitos a partir de 16.08.2022.)</t>
        </is>
      </c>
      <c r="L1363" s="29">
        <f>IF(D1363="NCM/SH","",COUNTIF($D$5:$D$1506,D1363))</f>
        <v/>
      </c>
    </row>
    <row r="1364" ht="14.45" customHeight="1" thickBot="1">
      <c r="A1364" s="1" t="inlineStr">
        <is>
          <t>25Tinta</t>
        </is>
      </c>
      <c r="B1364" s="163" t="inlineStr">
        <is>
          <t>2.1</t>
        </is>
      </c>
      <c r="C1364" s="163" t="inlineStr">
        <is>
          <t>24.002.01</t>
        </is>
      </c>
      <c r="D1364" s="37" t="n">
        <v>2821</v>
      </c>
      <c r="E1364" s="163" t="n">
        <v>35</v>
      </c>
      <c r="F1364" s="163" t="n">
        <v>56.14</v>
      </c>
      <c r="G1364" s="163" t="n">
        <v>51.27</v>
      </c>
      <c r="H1364" s="163" t="n">
        <v>43.14</v>
      </c>
      <c r="I1364" s="163" t="inlineStr">
        <is>
          <t>Xadrez e pós assemelhados, em embalagem de conteúdo superior a 1 kg, exceto pigmentos à base de dióxido de titânio classificados no código NCM 3206.11.10</t>
        </is>
      </c>
      <c r="J1364" s="45" t="inlineStr">
        <is>
          <t>Lei nº 1.810/97, art. 49, § 1º, inciso XIII; Convênio ICMS 118/17</t>
        </is>
      </c>
      <c r="K1364" s="47" t="inlineStr">
        <is>
          <t>(Item 2.1: nova redação dada pelo Decreto nº 16.011/2022. Efeitos a partir de 16.08.2022.)</t>
        </is>
      </c>
      <c r="L1364" s="29">
        <f>IF(D1364="NCM/SH","",COUNTIF($D$5:$D$1506,D1364))</f>
        <v/>
      </c>
    </row>
    <row r="1365" ht="15.75" customHeight="1" thickBot="1">
      <c r="A1365" s="1" t="inlineStr">
        <is>
          <t>25Tinta</t>
        </is>
      </c>
      <c r="B1365" s="44" t="n">
        <v>2.1</v>
      </c>
      <c r="C1365" s="44" t="inlineStr">
        <is>
          <t>24.002.01</t>
        </is>
      </c>
      <c r="D1365" s="37" t="inlineStr">
        <is>
          <t>3204.17.00</t>
        </is>
      </c>
      <c r="E1365" s="44" t="n">
        <v>35</v>
      </c>
      <c r="F1365" s="44" t="n">
        <v>56.14</v>
      </c>
      <c r="G1365" s="44" t="n">
        <v>51.27</v>
      </c>
      <c r="H1365" s="44" t="n">
        <v>43.14</v>
      </c>
      <c r="I1365" s="44" t="inlineStr">
        <is>
          <t>Xadrez e pós assemelhados, em embalagem de conteúdo superior a 1 kg, exceto pigmentos à base de dióxido de titânio classificados no código NCM 3206.11.10</t>
        </is>
      </c>
      <c r="J1365" s="45" t="inlineStr">
        <is>
          <t>Lei nº 1.810/97, art. 49, § 1º, inciso XIII; Convênio ICMS 118/17</t>
        </is>
      </c>
      <c r="K1365" s="47" t="inlineStr">
        <is>
          <t>(Item 2.1: nova redação dada pelo Decreto nº 16.011/2022. Efeitos a partir de 16.08.2022.)</t>
        </is>
      </c>
      <c r="L1365" s="29">
        <f>IF(D1365="NCM/SH","",COUNTIF($D$5:$D$1506,D1365))</f>
        <v/>
      </c>
    </row>
    <row r="1366" ht="15.75" customHeight="1" thickBot="1">
      <c r="A1366" s="1" t="inlineStr">
        <is>
          <t>25Tinta</t>
        </is>
      </c>
      <c r="B1366" s="164" t="n">
        <v>2.1</v>
      </c>
      <c r="C1366" s="164" t="inlineStr">
        <is>
          <t>24.002.01</t>
        </is>
      </c>
      <c r="D1366" s="35" t="n">
        <v>3206</v>
      </c>
      <c r="E1366" s="164" t="n">
        <v>35</v>
      </c>
      <c r="F1366" s="164" t="n">
        <v>56.14</v>
      </c>
      <c r="G1366" s="164" t="n">
        <v>51.27</v>
      </c>
      <c r="H1366" s="164" t="n">
        <v>43.14</v>
      </c>
      <c r="I1366" s="164" t="inlineStr">
        <is>
          <t>Xadrez e pós assemelhados, em embalagem de conteúdo superior a 1 kg, exceto pigmentos à base de dióxido de titânio classificados no código NCM 3206.11.10</t>
        </is>
      </c>
      <c r="J1366" s="45" t="inlineStr">
        <is>
          <t>Lei nº 1.810/97, art. 49, § 1º, inciso XIII; Convênio ICMS 118/17</t>
        </is>
      </c>
      <c r="K1366" s="47" t="inlineStr">
        <is>
          <t>(Item 2.1: nova redação dada pelo Decreto nº 16.011/2022. Efeitos a partir de 16.08.2022.)</t>
        </is>
      </c>
      <c r="L1366" s="29">
        <f>IF(D1366="NCM/SH","",COUNTIF($D$5:$D$1506,D1366))</f>
        <v/>
      </c>
    </row>
    <row r="1367" ht="15.75" customHeight="1" thickBot="1">
      <c r="A1367" s="1" t="inlineStr">
        <is>
          <t>25Tinta</t>
        </is>
      </c>
      <c r="B1367" s="42" t="inlineStr">
        <is>
          <t>3.0</t>
        </is>
      </c>
      <c r="C1367" s="42" t="inlineStr">
        <is>
          <t>24.003.00</t>
        </is>
      </c>
      <c r="D1367" s="38" t="n">
        <v>3204</v>
      </c>
      <c r="E1367" s="42" t="n">
        <v>35</v>
      </c>
      <c r="F1367" s="42" t="n">
        <v>56.14</v>
      </c>
      <c r="G1367" s="42" t="n">
        <v>51.27</v>
      </c>
      <c r="H1367" s="42" t="n">
        <v>43.14</v>
      </c>
      <c r="I1367" s="42" t="inlineStr">
        <is>
          <t>Corantes para aplicação em bases, tintas e vernizes</t>
        </is>
      </c>
      <c r="J1367" s="38" t="inlineStr">
        <is>
          <t>Lei nº 1.810/97, art. 49, § 1º, inciso XIII; Convênio ICMS 118/17</t>
        </is>
      </c>
      <c r="K1367" s="43" t="inlineStr">
        <is>
          <t>(Item 3.0: acrescentado pelo Decreto nº 14.645/2016. Efeitos a partir de 1º.01.2017.)</t>
        </is>
      </c>
      <c r="L1367" s="29">
        <f>IF(D1367="NCM/SH","",COUNTIF($D$5:$D$1506,D1367))</f>
        <v/>
      </c>
    </row>
    <row r="1368" ht="15.75" customHeight="1" thickBot="1">
      <c r="A1368" s="1" t="inlineStr">
        <is>
          <t>25Tinta</t>
        </is>
      </c>
      <c r="B1368" s="45" t="n">
        <v>3</v>
      </c>
      <c r="C1368" s="45" t="inlineStr">
        <is>
          <t>24.003.00</t>
        </is>
      </c>
      <c r="D1368" s="38" t="inlineStr">
        <is>
          <t>3205.00.00</t>
        </is>
      </c>
      <c r="E1368" s="45" t="n">
        <v>35</v>
      </c>
      <c r="F1368" s="45" t="n">
        <v>56.14</v>
      </c>
      <c r="G1368" s="45" t="n">
        <v>51.27</v>
      </c>
      <c r="H1368" s="45" t="n">
        <v>43.14</v>
      </c>
      <c r="I1368" s="45" t="inlineStr">
        <is>
          <t>Corantes para aplicação em bases, tintas e vernizes</t>
        </is>
      </c>
      <c r="J1368" s="97" t="inlineStr">
        <is>
          <t>(Nova redação dada pelo Decreto nº 15.024/18. Efeitos a partir de 1º.01.18.)</t>
        </is>
      </c>
      <c r="K1368" s="43" t="inlineStr">
        <is>
          <t>(Item 3.0: acrescentado pelo Decreto nº 14.645/2016. Efeitos a partir de 1º.01.2017.)</t>
        </is>
      </c>
      <c r="L1368" s="29">
        <f>IF(D1368="NCM/SH","",COUNTIF($D$5:$D$1506,D1368))</f>
        <v/>
      </c>
    </row>
    <row r="1369" ht="15.75" customHeight="1" thickBot="1">
      <c r="A1369" s="1" t="inlineStr">
        <is>
          <t>25Tinta</t>
        </is>
      </c>
      <c r="B1369" s="45" t="n">
        <v>3</v>
      </c>
      <c r="C1369" s="45" t="inlineStr">
        <is>
          <t>24.003.00</t>
        </is>
      </c>
      <c r="D1369" s="38" t="n">
        <v>3206</v>
      </c>
      <c r="E1369" s="45" t="n">
        <v>35</v>
      </c>
      <c r="F1369" s="45" t="n">
        <v>56.14</v>
      </c>
      <c r="G1369" s="45" t="n">
        <v>51.27</v>
      </c>
      <c r="H1369" s="45" t="n">
        <v>43.14</v>
      </c>
      <c r="I1369" s="45" t="inlineStr">
        <is>
          <t>Corantes para aplicação em bases, tintas e vernizes</t>
        </is>
      </c>
      <c r="J1369" s="93" t="inlineStr">
        <is>
          <t>(Nova redação dada pelo Decreto nº 15.024/18. Efeitos a partir de 1º.01.18.)</t>
        </is>
      </c>
      <c r="K1369" s="43" t="inlineStr">
        <is>
          <t>(Item 3.0: acrescentado pelo Decreto nº 14.645/2016. Efeitos a partir de 1º.01.2017.)</t>
        </is>
      </c>
      <c r="L1369" s="29">
        <f>IF(D1369="NCM/SH","",COUNTIF($D$5:$D$1506,D1369))</f>
        <v/>
      </c>
    </row>
    <row r="1370" ht="15.75" customHeight="1" thickBot="1">
      <c r="A1370" s="1" t="inlineStr">
        <is>
          <t>25Tinta</t>
        </is>
      </c>
      <c r="B1370" s="46" t="n">
        <v>3</v>
      </c>
      <c r="C1370" s="46" t="inlineStr">
        <is>
          <t>24.003.00</t>
        </is>
      </c>
      <c r="D1370" s="48" t="inlineStr">
        <is>
          <t>32.12</t>
        </is>
      </c>
      <c r="E1370" s="46" t="n">
        <v>35</v>
      </c>
      <c r="F1370" s="46" t="n">
        <v>56.14</v>
      </c>
      <c r="G1370" s="46" t="n">
        <v>51.27</v>
      </c>
      <c r="H1370" s="46" t="n">
        <v>43.14</v>
      </c>
      <c r="I1370" s="46" t="inlineStr">
        <is>
          <t>Corantes para aplicação em bases, tintas e vernizes</t>
        </is>
      </c>
      <c r="J1370" s="93" t="inlineStr">
        <is>
          <t>(Nova redação dada pelo Decreto nº 15.024/18. Efeitos a partir de 1º.01.18.)</t>
        </is>
      </c>
      <c r="K1370" s="43" t="inlineStr">
        <is>
          <t>(Item 3.0: acrescentado pelo Decreto nº 14.645/2016. Efeitos a partir de 1º.01.2017.)</t>
        </is>
      </c>
      <c r="L1370" s="29">
        <f>IF(D1370="NCM/SH","",COUNTIF($D$5:$D$1506,D1370))</f>
        <v/>
      </c>
    </row>
    <row r="1371">
      <c r="B1371" s="28" t="n"/>
      <c r="L1371" s="29">
        <f>IF(D1371="NCM/SH","",COUNTIF($D$5:$D$1506,D1371))</f>
        <v/>
      </c>
    </row>
    <row r="1372">
      <c r="B1372" s="28" t="n"/>
      <c r="L1372" s="29">
        <f>IF(D1372="NCM/SH","",COUNTIF($D$5:$D$1506,D1372))</f>
        <v/>
      </c>
    </row>
    <row r="1373" ht="15.75" customHeight="1" thickBot="1">
      <c r="A1373" s="1" t="inlineStr">
        <is>
          <t>26Veiculo</t>
        </is>
      </c>
      <c r="B1373" s="28" t="inlineStr">
        <is>
          <t>Tabela XXVI</t>
        </is>
      </c>
      <c r="C1373" s="28" t="inlineStr">
        <is>
          <t>VEÍCULOS AUTOMOTORES</t>
        </is>
      </c>
      <c r="D1373" s="62" t="n"/>
      <c r="E1373" s="62" t="n"/>
      <c r="F1373" s="62" t="n"/>
      <c r="G1373" s="62" t="n"/>
      <c r="H1373" s="62" t="n"/>
      <c r="L1373" s="29">
        <f>IF(D1373="NCM/SH","",COUNTIF($D$5:$D$1506,D1373))</f>
        <v/>
      </c>
    </row>
    <row r="1374" ht="15" customHeight="1" thickBot="1">
      <c r="A1374" s="1" t="inlineStr">
        <is>
          <t>26Veiculo</t>
        </is>
      </c>
      <c r="B1374" s="163" t="inlineStr">
        <is>
          <t>ITEM</t>
        </is>
      </c>
      <c r="C1374" s="163" t="inlineStr">
        <is>
          <t>CEST</t>
        </is>
      </c>
      <c r="D1374" s="163" t="inlineStr">
        <is>
          <t>NCM/SH</t>
        </is>
      </c>
      <c r="E1374" s="165" t="inlineStr">
        <is>
          <t>MARGEM DE VALOR AGREGADO</t>
        </is>
      </c>
      <c r="F1374" s="166" t="n"/>
      <c r="G1374" s="166" t="n"/>
      <c r="H1374" s="167" t="n"/>
      <c r="I1374" s="163" t="inlineStr">
        <is>
          <t xml:space="preserve">DESCRIÇÃO </t>
        </is>
      </c>
      <c r="J1374" s="163" t="inlineStr">
        <is>
          <t>DISPOSITIVO LEGAL</t>
        </is>
      </c>
      <c r="L1374" s="29">
        <f>IF(D1374="NCM/SH","",COUNTIF($D$5:$D$1506,D1374))</f>
        <v/>
      </c>
    </row>
    <row r="1375" ht="15.75" customHeight="1" thickBot="1">
      <c r="A1375" s="1" t="inlineStr">
        <is>
          <t>26Veiculo</t>
        </is>
      </c>
      <c r="B1375" s="164" t="inlineStr">
        <is>
          <t>ITEM</t>
        </is>
      </c>
      <c r="C1375" s="164" t="inlineStr">
        <is>
          <t>CEST</t>
        </is>
      </c>
      <c r="D1375" s="164" t="inlineStr">
        <is>
          <t>NCM/SH</t>
        </is>
      </c>
      <c r="E1375" s="35" t="inlineStr">
        <is>
          <t>Oper. interna</t>
        </is>
      </c>
      <c r="F1375" s="167" t="inlineStr">
        <is>
          <t>Alíq. 4%</t>
        </is>
      </c>
      <c r="G1375" s="167" t="inlineStr">
        <is>
          <t>Alíq. 7%</t>
        </is>
      </c>
      <c r="H1375" s="167" t="inlineStr">
        <is>
          <t>Alíq. 12%</t>
        </is>
      </c>
      <c r="I1375" s="164" t="inlineStr">
        <is>
          <t xml:space="preserve">DESCRIÇÃO </t>
        </is>
      </c>
      <c r="J1375" s="164" t="inlineStr">
        <is>
          <t>DISPOSITIVO LEGAL</t>
        </is>
      </c>
      <c r="L1375" s="29">
        <f>IF(D1375="NCM/SH","",COUNTIF($D$5:$D$1506,D1375))</f>
        <v/>
      </c>
    </row>
    <row r="1376" ht="15.75" customHeight="1" thickBot="1">
      <c r="A1376" s="1" t="inlineStr">
        <is>
          <t>26Veiculo</t>
        </is>
      </c>
      <c r="B1376" s="108" t="inlineStr">
        <is>
          <t>1.0</t>
        </is>
      </c>
      <c r="C1376" s="109" t="inlineStr">
        <is>
          <t>25.001.00</t>
        </is>
      </c>
      <c r="D1376" s="109" t="inlineStr">
        <is>
          <t>8702.10.00</t>
        </is>
      </c>
      <c r="E1376" s="35" t="n">
        <v>30</v>
      </c>
      <c r="F1376" s="35" t="n">
        <v>41.82</v>
      </c>
      <c r="G1376" s="35" t="n">
        <v>37.39</v>
      </c>
      <c r="H1376" s="35" t="n">
        <v>30</v>
      </c>
      <c r="I1376" s="48" t="inlineStr">
        <is>
          <t>Veículos automóveis para transporte de 10 pessoas ou mais, incluindo o motorista, unicamente com motor de pistão, de ignição por compressão (diesel ou semidiesel), com volume interno de habitáculo, destinado a passageiros e motorista, superior a 6 m³, mas inferior a 9 m³</t>
        </is>
      </c>
      <c r="J1376" s="38" t="inlineStr">
        <is>
          <t>Lei nº 1.810/97, art. 49, § 1º, inciso VI; Convênio ICMS 199/17</t>
        </is>
      </c>
      <c r="K1376" s="49" t="inlineStr">
        <is>
          <t>(Item 1.0: nova redação dada pelo Decreto n° 14.913/2017. Efeitos a partir de 1°.01.2018.)</t>
        </is>
      </c>
      <c r="L1376" s="29">
        <f>IF(D1376="NCM/SH","",COUNTIF($D$5:$D$1506,D1376))</f>
        <v/>
      </c>
    </row>
    <row r="1377" ht="15.75" customHeight="1" thickBot="1">
      <c r="A1377" s="1" t="inlineStr">
        <is>
          <t>26Veiculo</t>
        </is>
      </c>
      <c r="B1377" s="108" t="inlineStr">
        <is>
          <t>2.0</t>
        </is>
      </c>
      <c r="C1377" s="109" t="inlineStr">
        <is>
          <t>25.002.00</t>
        </is>
      </c>
      <c r="D1377" s="109" t="inlineStr">
        <is>
          <t>8702.40.90</t>
        </is>
      </c>
      <c r="E1377" s="35" t="n">
        <v>30</v>
      </c>
      <c r="F1377" s="35" t="n">
        <v>41.82</v>
      </c>
      <c r="G1377" s="35" t="n">
        <v>37.39</v>
      </c>
      <c r="H1377" s="35" t="n">
        <v>30</v>
      </c>
      <c r="I1377" s="48" t="inlineStr">
        <is>
          <t>Veículos automóveis para transporte de 10 pessoas ou mais, incluindo o motorista, unicamente com motor elétrico para propulsão, com volume interno de habitáculo, destinado a passageiros e motorista, superior a 6 m³, mas inferior a 9 m³</t>
        </is>
      </c>
      <c r="J1377" s="37" t="inlineStr">
        <is>
          <t>Lei nº 1.810/97, art. 49, § 1º, inciso VI; Convênio ICMS 199/17</t>
        </is>
      </c>
      <c r="K1377" s="49" t="inlineStr">
        <is>
          <t>(Item 2.0: nova redação dada pelo Decreto n° 14.913/2017. Efeitos a partir de 1°.01.2018.)</t>
        </is>
      </c>
      <c r="L1377" s="29">
        <f>IF(D1377="NCM/SH","",COUNTIF($D$5:$D$1506,D1377))</f>
        <v/>
      </c>
    </row>
    <row r="1378" ht="15.75" customHeight="1" thickBot="1">
      <c r="A1378" s="1" t="inlineStr">
        <is>
          <t>26Veiculo</t>
        </is>
      </c>
      <c r="B1378" s="108" t="inlineStr">
        <is>
          <t>3.0</t>
        </is>
      </c>
      <c r="C1378" s="109" t="inlineStr">
        <is>
          <t>25.003.00</t>
        </is>
      </c>
      <c r="D1378" s="109" t="inlineStr">
        <is>
          <t>8703.21.00</t>
        </is>
      </c>
      <c r="E1378" s="35" t="n">
        <v>30</v>
      </c>
      <c r="F1378" s="35" t="n">
        <v>41.82</v>
      </c>
      <c r="G1378" s="35" t="n">
        <v>37.39</v>
      </c>
      <c r="H1378" s="35" t="n">
        <v>30</v>
      </c>
      <c r="I1378" s="48" t="inlineStr">
        <is>
          <t>Automóveis unicamente com motor de pistão alternativo de ignição por centelha (faísca*), de cilindrada não superior a 1000 cm³</t>
        </is>
      </c>
      <c r="J1378" s="40" t="inlineStr">
        <is>
          <t>Lei nº 1.810/97, art. 49, § 1º, inciso VI; Convênio ICMS 199/17</t>
        </is>
      </c>
      <c r="K1378" s="49" t="inlineStr">
        <is>
          <t>(Item 3.0: nova redação dada pelo Decreto n° 14.913/2017. Efeitos a partir de 1°.01.2018.)</t>
        </is>
      </c>
      <c r="L1378" s="29">
        <f>IF(D1378="NCM/SH","",COUNTIF($D$5:$D$1506,D1378))</f>
        <v/>
      </c>
    </row>
    <row r="1379" ht="15.75" customHeight="1" thickBot="1">
      <c r="A1379" s="1" t="inlineStr">
        <is>
          <t>26Veiculo</t>
        </is>
      </c>
      <c r="B1379" s="108" t="inlineStr">
        <is>
          <t>4.0</t>
        </is>
      </c>
      <c r="C1379" s="109" t="inlineStr">
        <is>
          <t>25.004.00</t>
        </is>
      </c>
      <c r="D1379" s="109" t="inlineStr">
        <is>
          <t>8703.22.10</t>
        </is>
      </c>
      <c r="E1379" s="35" t="n">
        <v>30</v>
      </c>
      <c r="F1379" s="35" t="n">
        <v>41.82</v>
      </c>
      <c r="G1379" s="35" t="n">
        <v>37.39</v>
      </c>
      <c r="H1379" s="35" t="n">
        <v>30</v>
      </c>
      <c r="I1379" s="48" t="inlineStr">
        <is>
          <t>Automóveis unicamente com motor de pistão alternativo de ignição por centelha (faísca*), de cilindrada superior a 1000 cm³, mas não superior a 1500 cm³, com capacidade de transporte de pessoas sentadas inferior ou igual a 6, incluído o condutor, exceto carro celular</t>
        </is>
      </c>
      <c r="J1379" s="40" t="inlineStr">
        <is>
          <t>Lei nº 1.810/97, art. 49, § 1º, inciso VI; Convênio ICMS 199/17</t>
        </is>
      </c>
      <c r="K1379" s="49" t="inlineStr">
        <is>
          <t>(Item 4.0: nova redação dada pelo Decreto n° 14.913/2017. Efeitos a partir de 1°.01.2018.)</t>
        </is>
      </c>
      <c r="L1379" s="29">
        <f>IF(D1379="NCM/SH","",COUNTIF($D$5:$D$1506,D1379))</f>
        <v/>
      </c>
    </row>
    <row r="1380" ht="15.75" customHeight="1" thickBot="1">
      <c r="A1380" s="1" t="inlineStr">
        <is>
          <t>26Veiculo</t>
        </is>
      </c>
      <c r="B1380" s="108" t="inlineStr">
        <is>
          <t>5.0</t>
        </is>
      </c>
      <c r="C1380" s="109" t="inlineStr">
        <is>
          <t>25.005.00</t>
        </is>
      </c>
      <c r="D1380" s="109" t="inlineStr">
        <is>
          <t>8703.22.90</t>
        </is>
      </c>
      <c r="E1380" s="35" t="n">
        <v>30</v>
      </c>
      <c r="F1380" s="35" t="n">
        <v>41.82</v>
      </c>
      <c r="G1380" s="35" t="n">
        <v>37.39</v>
      </c>
      <c r="H1380" s="35" t="n">
        <v>30</v>
      </c>
      <c r="I1380" s="48" t="inlineStr">
        <is>
          <t>Outros automóveis unicamente com motor de pistão alternativo de ignição por centelha (faísca*), de cilindrada superior a 1000 cm³, mas não superior a 1500 cm³, exceto carro celular</t>
        </is>
      </c>
      <c r="J1380" s="40" t="inlineStr">
        <is>
          <t>Lei nº 1.810/97, art. 49, § 1º, inciso VI; Convênio ICMS 199/17</t>
        </is>
      </c>
      <c r="K1380" s="49" t="inlineStr">
        <is>
          <t>(Item 5.0: nova redação dada pelo Decreto n° 14.913/2017. Efeitos a partir de 1°.01.2018.)</t>
        </is>
      </c>
      <c r="L1380" s="29">
        <f>IF(D1380="NCM/SH","",COUNTIF($D$5:$D$1506,D1380))</f>
        <v/>
      </c>
    </row>
    <row r="1381" ht="15.75" customHeight="1" thickBot="1">
      <c r="A1381" s="1" t="inlineStr">
        <is>
          <t>26Veiculo</t>
        </is>
      </c>
      <c r="B1381" s="108" t="inlineStr">
        <is>
          <t>6.0</t>
        </is>
      </c>
      <c r="C1381" s="110" t="inlineStr">
        <is>
          <t>25.006.00</t>
        </is>
      </c>
      <c r="D1381" s="110" t="inlineStr">
        <is>
          <t>8703.23.10</t>
        </is>
      </c>
      <c r="E1381" s="73" t="n">
        <v>30</v>
      </c>
      <c r="F1381" s="73" t="n">
        <v>41.82</v>
      </c>
      <c r="G1381" s="73" t="n">
        <v>37.39</v>
      </c>
      <c r="H1381" s="73" t="n">
        <v>30</v>
      </c>
      <c r="I1381" s="92" t="inlineStr">
        <is>
          <t>Automóveis unicamente com motor de pistão alternativo de ignição por centelha (faísca*), de cilindrada superior a 1500 cm³, mas não superior a 3000 cm³, com capacidade de transporte de pessoas sentadas inferior ou igual a 6, incluído o condutor, exceto carro celular, carro funerário e automóveis de corrida</t>
        </is>
      </c>
      <c r="J1381" s="40" t="inlineStr">
        <is>
          <t>Lei nº 1.810/97, art. 49, § 1º, inciso VI; Convênio ICMS 199/17</t>
        </is>
      </c>
      <c r="K1381" s="49" t="inlineStr">
        <is>
          <t>(Item 6.0: nova redação dada pelo Decreto n° 14.913/2017. Efeitos a partir de 1°.01.2018.)</t>
        </is>
      </c>
      <c r="L1381" s="29">
        <f>IF(D1381="NCM/SH","",COUNTIF($D$5:$D$1506,D1381))</f>
        <v/>
      </c>
    </row>
    <row r="1382" ht="15.75" customHeight="1" thickBot="1">
      <c r="A1382" s="1" t="inlineStr">
        <is>
          <t>26Veiculo</t>
        </is>
      </c>
      <c r="B1382" s="108" t="inlineStr">
        <is>
          <t>7.0</t>
        </is>
      </c>
      <c r="C1382" s="109" t="inlineStr">
        <is>
          <t>25.007.00</t>
        </is>
      </c>
      <c r="D1382" s="109" t="inlineStr">
        <is>
          <t>8703.23.90</t>
        </is>
      </c>
      <c r="E1382" s="35" t="n">
        <v>30</v>
      </c>
      <c r="F1382" s="35" t="n">
        <v>41.82</v>
      </c>
      <c r="G1382" s="35" t="n">
        <v>37.39</v>
      </c>
      <c r="H1382" s="35" t="n">
        <v>30</v>
      </c>
      <c r="I1382" s="48" t="inlineStr">
        <is>
          <t>Outros automóveis unicamente com motor de pistão alternativo de ignição por centelha (faísca*), de cilindrada superior a 1500 cm³, mas não superior a 3000 cm³, exceto carro celular, carro funerário e automóveis de corrida</t>
        </is>
      </c>
      <c r="J1382" s="41" t="inlineStr">
        <is>
          <t>Lei nº 1.810/97, art. 49, § 1º, inciso VI; Convênio ICMS 199/17</t>
        </is>
      </c>
      <c r="K1382" s="49" t="inlineStr">
        <is>
          <t>(Item 7.0: nova redação dada pelo Decreto n° 14.913/2017. Efeitos a partir de 1°.01.2018.)</t>
        </is>
      </c>
      <c r="L1382" s="29">
        <f>IF(D1382="NCM/SH","",COUNTIF($D$5:$D$1506,D1382))</f>
        <v/>
      </c>
    </row>
    <row r="1383" ht="15.75" customHeight="1" thickBot="1">
      <c r="A1383" s="1" t="inlineStr">
        <is>
          <t>26Veiculo</t>
        </is>
      </c>
      <c r="B1383" s="108" t="inlineStr">
        <is>
          <t>8.0</t>
        </is>
      </c>
      <c r="C1383" s="109" t="inlineStr">
        <is>
          <t>25.008.00</t>
        </is>
      </c>
      <c r="D1383" s="109" t="inlineStr">
        <is>
          <t>8703.24.10</t>
        </is>
      </c>
      <c r="E1383" s="35" t="n">
        <v>30</v>
      </c>
      <c r="F1383" s="35" t="n">
        <v>41.82</v>
      </c>
      <c r="G1383" s="35" t="n">
        <v>37.39</v>
      </c>
      <c r="H1383" s="35" t="n">
        <v>30</v>
      </c>
      <c r="I1383" s="48" t="inlineStr">
        <is>
          <t>Automóveis unicamente com motor de pistão alternativo de ignição por centelha (faísca*), de cilindrada superior a 3000 cm³, com capacidade de transporte de pessoas sentadas inferior ou igual a 6, incluído o condutor, exceto carro celular, carro funerário e automóveis de corrida</t>
        </is>
      </c>
      <c r="J1383" s="38" t="inlineStr">
        <is>
          <t>Lei nº 1.810/97, art. 49, § 1º, inciso VI; Convênio ICMS 199/17</t>
        </is>
      </c>
      <c r="K1383" s="49" t="inlineStr">
        <is>
          <t>(Item 8.0: nova redação dada pelo Decreto n° 14.913/2017. Efeitos a partir de 1°.01.2018.)</t>
        </is>
      </c>
      <c r="L1383" s="29">
        <f>IF(D1383="NCM/SH","",COUNTIF($D$5:$D$1506,D1383))</f>
        <v/>
      </c>
    </row>
    <row r="1384" ht="15.75" customHeight="1" thickBot="1">
      <c r="A1384" s="1" t="inlineStr">
        <is>
          <t>26Veiculo</t>
        </is>
      </c>
      <c r="B1384" s="108" t="inlineStr">
        <is>
          <t>9.0</t>
        </is>
      </c>
      <c r="C1384" s="109" t="inlineStr">
        <is>
          <t>25.009.00</t>
        </is>
      </c>
      <c r="D1384" s="109" t="inlineStr">
        <is>
          <t>8703.24.90</t>
        </is>
      </c>
      <c r="E1384" s="35" t="n">
        <v>30</v>
      </c>
      <c r="F1384" s="35" t="n">
        <v>41.82</v>
      </c>
      <c r="G1384" s="35" t="n">
        <v>37.39</v>
      </c>
      <c r="H1384" s="35" t="n">
        <v>30</v>
      </c>
      <c r="I1384" s="48" t="inlineStr">
        <is>
          <t>Outros automóveis unicamente com motor de pistão alternativo de ignição por centelha (faísca*), de cilindrada superior a 3000 cm³, exceto carro celular, carro funerário e automóveis de corrida</t>
        </is>
      </c>
      <c r="J1384" s="37" t="inlineStr">
        <is>
          <t>Lei nº 1.810/97, art. 49, § 1º, inciso VI; Convênio ICMS 199/17</t>
        </is>
      </c>
      <c r="K1384" s="49" t="inlineStr">
        <is>
          <t>(Item 9.0: nova redação dada pelo Decreto n° 14.913/2017. Efeitos a partir de 1°.01.2018.)</t>
        </is>
      </c>
      <c r="L1384" s="29">
        <f>IF(D1384="NCM/SH","",COUNTIF($D$5:$D$1506,D1384))</f>
        <v/>
      </c>
    </row>
    <row r="1385" ht="15.75" customHeight="1" thickBot="1">
      <c r="A1385" s="1" t="inlineStr">
        <is>
          <t>26Veiculo</t>
        </is>
      </c>
      <c r="B1385" s="108" t="inlineStr">
        <is>
          <t>10.0</t>
        </is>
      </c>
      <c r="C1385" s="109" t="inlineStr">
        <is>
          <t>25.010.00</t>
        </is>
      </c>
      <c r="D1385" s="109" t="inlineStr">
        <is>
          <t>8703.32.10</t>
        </is>
      </c>
      <c r="E1385" s="35" t="n">
        <v>30</v>
      </c>
      <c r="F1385" s="35" t="n">
        <v>41.82</v>
      </c>
      <c r="G1385" s="35" t="n">
        <v>37.39</v>
      </c>
      <c r="H1385" s="35" t="n">
        <v>30</v>
      </c>
      <c r="I1385" s="48" t="inlineStr">
        <is>
          <t>Automóveis unicamente com motor diesel ou semidiesel, de cilindrada superior a 1500 cm³, mas não superior a 2500 cm³, com capacidade de transporte de pessoas sentadas inferior ou igual a 6, incluído o condutor, exceto ambulância, carro celular e carro funerário</t>
        </is>
      </c>
      <c r="J1385" s="40" t="inlineStr">
        <is>
          <t>Lei nº 1.810/97, art. 49, § 1º, inciso VI; Convênio ICMS 199/17</t>
        </is>
      </c>
      <c r="K1385" s="49" t="inlineStr">
        <is>
          <t>(Item 10.0: nova redação dada pelo Decreto n° 14.913/2017. Efeitos a partir de 1°.01.2018.)</t>
        </is>
      </c>
      <c r="L1385" s="29">
        <f>IF(D1385="NCM/SH","",COUNTIF($D$5:$D$1506,D1385))</f>
        <v/>
      </c>
    </row>
    <row r="1386" ht="15.75" customHeight="1" thickBot="1">
      <c r="A1386" s="1" t="inlineStr">
        <is>
          <t>26Veiculo</t>
        </is>
      </c>
      <c r="B1386" s="108" t="inlineStr">
        <is>
          <t>11.0</t>
        </is>
      </c>
      <c r="C1386" s="109" t="inlineStr">
        <is>
          <t>25.011.00</t>
        </is>
      </c>
      <c r="D1386" s="109" t="inlineStr">
        <is>
          <t>8703.32.90</t>
        </is>
      </c>
      <c r="E1386" s="35" t="n">
        <v>30</v>
      </c>
      <c r="F1386" s="35" t="n">
        <v>41.82</v>
      </c>
      <c r="G1386" s="35" t="n">
        <v>37.39</v>
      </c>
      <c r="H1386" s="35" t="n">
        <v>30</v>
      </c>
      <c r="I1386" s="48" t="inlineStr">
        <is>
          <t>Outros automóveis unicamente com motor diesel ou semidiesel, de cilindrada superior a 1500 cm³, mas não superior a 2500 cm³, exceto ambulância, carro celular e carro funerário</t>
        </is>
      </c>
      <c r="J1386" s="40" t="inlineStr">
        <is>
          <t>Lei nº 1.810/97, art. 49, § 1º, inciso VI; Convênio ICMS 199/17</t>
        </is>
      </c>
      <c r="K1386" s="49" t="inlineStr">
        <is>
          <t>(Item 11.0: nova redação dada pelo Decreto n° 14.913/2017. Efeitos a partir de 1°.01.2018.)</t>
        </is>
      </c>
      <c r="L1386" s="29">
        <f>IF(D1386="NCM/SH","",COUNTIF($D$5:$D$1506,D1386))</f>
        <v/>
      </c>
    </row>
    <row r="1387" ht="15.75" customHeight="1" thickBot="1">
      <c r="A1387" s="1" t="inlineStr">
        <is>
          <t>26Veiculo</t>
        </is>
      </c>
      <c r="B1387" s="108" t="inlineStr">
        <is>
          <t>12.0</t>
        </is>
      </c>
      <c r="C1387" s="109" t="inlineStr">
        <is>
          <t>25.012.00</t>
        </is>
      </c>
      <c r="D1387" s="109" t="inlineStr">
        <is>
          <t>8703.33.10</t>
        </is>
      </c>
      <c r="E1387" s="35" t="n">
        <v>30</v>
      </c>
      <c r="F1387" s="35" t="n">
        <v>41.82</v>
      </c>
      <c r="G1387" s="35" t="n">
        <v>37.39</v>
      </c>
      <c r="H1387" s="35" t="n">
        <v>30</v>
      </c>
      <c r="I1387" s="48" t="inlineStr">
        <is>
          <t>Automóveis unicamente com motor diesel ou semidiesel, de cilindrada superior a 2500 cm³, com capacidade de transporte de pessoas sentadas inferior ou igual a 6, incluído o condutor, exceto carro celular e carro funerário</t>
        </is>
      </c>
      <c r="J1387" s="40" t="inlineStr">
        <is>
          <t>Lei nº 1.810/97, art. 49, § 1º, inciso VI; Convênio ICMS 199/17</t>
        </is>
      </c>
      <c r="K1387" s="49" t="inlineStr">
        <is>
          <t>(Item 12.0: nova redação dada pelo Decreto n° 14.913/2017. Efeitos a partir de 1°.01.2018.)</t>
        </is>
      </c>
      <c r="L1387" s="29">
        <f>IF(D1387="NCM/SH","",COUNTIF($D$5:$D$1506,D1387))</f>
        <v/>
      </c>
    </row>
    <row r="1388" ht="15.75" customHeight="1" thickBot="1">
      <c r="A1388" s="1" t="inlineStr">
        <is>
          <t>26Veiculo</t>
        </is>
      </c>
      <c r="B1388" s="108" t="inlineStr">
        <is>
          <t>13.0</t>
        </is>
      </c>
      <c r="C1388" s="109" t="inlineStr">
        <is>
          <t>25.013.00</t>
        </is>
      </c>
      <c r="D1388" s="109" t="inlineStr">
        <is>
          <t>8703.33.90</t>
        </is>
      </c>
      <c r="E1388" s="35" t="n">
        <v>30</v>
      </c>
      <c r="F1388" s="35" t="n">
        <v>41.82</v>
      </c>
      <c r="G1388" s="35" t="n">
        <v>37.39</v>
      </c>
      <c r="H1388" s="35" t="n">
        <v>30</v>
      </c>
      <c r="I1388" s="48" t="inlineStr">
        <is>
          <t>Outros automóveis unicamente com motor diesel ou semidiesel, de cilindrada superior a 2500 cm³, exceto carro celular e carro funerário</t>
        </is>
      </c>
      <c r="J1388" s="40" t="inlineStr">
        <is>
          <t>Lei nº 1.810/97, art. 49, § 1º, inciso VI; Convênio ICMS 199/17</t>
        </is>
      </c>
      <c r="K1388" s="49" t="inlineStr">
        <is>
          <t>(Item 13.0: nova redação dada pelo Decreto n° 14.913/2017. Efeitos a partir de 1°.01.2018.)</t>
        </is>
      </c>
      <c r="L1388" s="29">
        <f>IF(D1388="NCM/SH","",COUNTIF($D$5:$D$1506,D1388))</f>
        <v/>
      </c>
    </row>
    <row r="1389" ht="15.75" customHeight="1" thickBot="1">
      <c r="A1389" s="1" t="inlineStr">
        <is>
          <t>26Veiculo</t>
        </is>
      </c>
      <c r="B1389" s="164" t="inlineStr">
        <is>
          <t>14.0</t>
        </is>
      </c>
      <c r="C1389" s="35" t="inlineStr">
        <is>
          <t>25.014.00</t>
        </is>
      </c>
      <c r="D1389" s="35" t="inlineStr">
        <is>
          <t xml:space="preserve">8704.21.10 </t>
        </is>
      </c>
      <c r="E1389" s="35" t="n">
        <v>30</v>
      </c>
      <c r="F1389" s="35" t="n">
        <v>41.82</v>
      </c>
      <c r="G1389" s="35" t="n">
        <v>37.39</v>
      </c>
      <c r="H1389" s="35" t="n">
        <v>30</v>
      </c>
      <c r="I1389" s="35" t="inlineStr">
        <is>
          <t>Veículos automóveis para transporte de mercadorias, de peso em carga máxima não superior a 5 toneladas, chassis com motor diesel ou semidiesel e cabina, exceto caminhão de peso em carga máxima superior a 3,9 toneladas</t>
        </is>
      </c>
      <c r="J1389" s="40" t="inlineStr">
        <is>
          <t>Lei nº 1.810/97, art. 49, § 1º, inciso VI; Convênio ICMS 199/17</t>
        </is>
      </c>
      <c r="L1389" s="29">
        <f>IF(D1389="NCM/SH","",COUNTIF($D$5:$D$1506,D1389))</f>
        <v/>
      </c>
    </row>
    <row r="1390" ht="15.75" customHeight="1" thickBot="1">
      <c r="A1390" s="1" t="inlineStr">
        <is>
          <t>26Veiculo</t>
        </is>
      </c>
      <c r="B1390" s="164" t="inlineStr">
        <is>
          <t>15.0</t>
        </is>
      </c>
      <c r="C1390" s="35" t="inlineStr">
        <is>
          <t>25.015.00</t>
        </is>
      </c>
      <c r="D1390" s="35" t="inlineStr">
        <is>
          <t xml:space="preserve">8704.21.20 </t>
        </is>
      </c>
      <c r="E1390" s="35" t="n">
        <v>30</v>
      </c>
      <c r="F1390" s="35" t="n">
        <v>41.82</v>
      </c>
      <c r="G1390" s="35" t="n">
        <v>37.39</v>
      </c>
      <c r="H1390" s="35" t="n">
        <v>30</v>
      </c>
      <c r="I1390" s="35" t="inlineStr">
        <is>
          <t xml:space="preserve">Veículos automóveis para transporte de mercadorias, de peso em carga máxima não superior a 5 toneladas, com motor diesel ou semidiesel, com caixa basculante, exceto caminhão de peso em carga máxima superior a 3,9 toneladas </t>
        </is>
      </c>
      <c r="J1390" s="41" t="inlineStr">
        <is>
          <t>Lei nº 1.810/97, art. 49, § 1º, inciso VI; Convênio ICMS 199/17</t>
        </is>
      </c>
      <c r="L1390" s="29">
        <f>IF(D1390="NCM/SH","",COUNTIF($D$5:$D$1506,D1390))</f>
        <v/>
      </c>
    </row>
    <row r="1391" ht="15.75" customHeight="1" thickBot="1">
      <c r="A1391" s="1" t="inlineStr">
        <is>
          <t>26Veiculo</t>
        </is>
      </c>
      <c r="B1391" s="164" t="inlineStr">
        <is>
          <t>16.0</t>
        </is>
      </c>
      <c r="C1391" s="35" t="inlineStr">
        <is>
          <t>25.016.00</t>
        </is>
      </c>
      <c r="D1391" s="35" t="inlineStr">
        <is>
          <t xml:space="preserve">8704.21.30 </t>
        </is>
      </c>
      <c r="E1391" s="35" t="n">
        <v>30</v>
      </c>
      <c r="F1391" s="35" t="n">
        <v>41.82</v>
      </c>
      <c r="G1391" s="35" t="n">
        <v>37.39</v>
      </c>
      <c r="H1391" s="35" t="n">
        <v>30</v>
      </c>
      <c r="I1391" s="35" t="inlineStr">
        <is>
          <t>Veículos automóveis para transporte de mercadorias, de peso em carga máxima não superior a 5 toneladas, frigoríficos ou isotérmicos, com motor diesel ou semidiesel, exceto caminhão de peso em carga máxima superior a 3,9 toneladas</t>
        </is>
      </c>
      <c r="J1391" s="38" t="inlineStr">
        <is>
          <t>Lei nº 1.810/97, art. 49, § 1º, inciso VI; Convênio ICMS 199/17</t>
        </is>
      </c>
      <c r="L1391" s="29">
        <f>IF(D1391="NCM/SH","",COUNTIF($D$5:$D$1506,D1391))</f>
        <v/>
      </c>
    </row>
    <row r="1392" ht="15.75" customHeight="1" thickBot="1">
      <c r="A1392" s="1" t="inlineStr">
        <is>
          <t>26Veiculo</t>
        </is>
      </c>
      <c r="B1392" s="164" t="inlineStr">
        <is>
          <t>17.0</t>
        </is>
      </c>
      <c r="C1392" s="35" t="inlineStr">
        <is>
          <t>25.017.00</t>
        </is>
      </c>
      <c r="D1392" s="35" t="inlineStr">
        <is>
          <t xml:space="preserve">8704.21.90 </t>
        </is>
      </c>
      <c r="E1392" s="35" t="n">
        <v>30</v>
      </c>
      <c r="F1392" s="35" t="n">
        <v>41.82</v>
      </c>
      <c r="G1392" s="35" t="n">
        <v>37.39</v>
      </c>
      <c r="H1392" s="35" t="n">
        <v>30</v>
      </c>
      <c r="I1392" s="35" t="inlineStr">
        <is>
          <t>Outros veículos automóveis para transporte de mercadorias, de peso em carga máxima não superior a 5 toneladas, com motor diesel ou semidiesel, exceto carro-forte para transporte de valores e caminhão de peso em carga máxima superior a 3,9 toneladas</t>
        </is>
      </c>
      <c r="J1392" s="97" t="inlineStr">
        <is>
          <t>Lei nº 1.810/97, art. 49, § 1º, inciso VI; Convênio ICMS 199/17</t>
        </is>
      </c>
      <c r="L1392" s="29">
        <f>IF(D1392="NCM/SH","",COUNTIF($D$5:$D$1506,D1392))</f>
        <v/>
      </c>
    </row>
    <row r="1393" ht="15.75" customHeight="1" thickBot="1">
      <c r="A1393" s="1" t="inlineStr">
        <is>
          <t>26Veiculo</t>
        </is>
      </c>
      <c r="B1393" s="164" t="inlineStr">
        <is>
          <t>18.0</t>
        </is>
      </c>
      <c r="C1393" s="35" t="inlineStr">
        <is>
          <t>25.018.00</t>
        </is>
      </c>
      <c r="D1393" s="35" t="inlineStr">
        <is>
          <t xml:space="preserve">8704.31.10 </t>
        </is>
      </c>
      <c r="E1393" s="35" t="n">
        <v>30</v>
      </c>
      <c r="F1393" s="35" t="n">
        <v>41.82</v>
      </c>
      <c r="G1393" s="35" t="n">
        <v>37.39</v>
      </c>
      <c r="H1393" s="35" t="n">
        <v>30</v>
      </c>
      <c r="I1393" s="35" t="inlineStr">
        <is>
          <t>Veículos automóveis para transporte de mercadorias, de peso em carga máxima não superior a 5 toneladas, com motor a explosão, chassis e cabina, exceto caminhão de peso em carga máxima superior a 3,9 toneladas</t>
        </is>
      </c>
      <c r="J1393" s="37" t="inlineStr">
        <is>
          <t>Lei nº 1.810/97, art. 49, § 1º, inciso VI; Convênio ICMS 199/17</t>
        </is>
      </c>
      <c r="L1393" s="29">
        <f>IF(D1393="NCM/SH","",COUNTIF($D$5:$D$1506,D1393))</f>
        <v/>
      </c>
    </row>
    <row r="1394" ht="15.75" customHeight="1" thickBot="1">
      <c r="A1394" s="1" t="inlineStr">
        <is>
          <t>26Veiculo</t>
        </is>
      </c>
      <c r="B1394" s="164" t="inlineStr">
        <is>
          <t>19.0</t>
        </is>
      </c>
      <c r="C1394" s="35" t="inlineStr">
        <is>
          <t>25.019.00</t>
        </is>
      </c>
      <c r="D1394" s="48" t="inlineStr">
        <is>
          <t>8704.31.20</t>
        </is>
      </c>
      <c r="E1394" s="35" t="n">
        <v>30</v>
      </c>
      <c r="F1394" s="35" t="n">
        <v>41.82</v>
      </c>
      <c r="G1394" s="35" t="n">
        <v>37.39</v>
      </c>
      <c r="H1394" s="35" t="n">
        <v>30</v>
      </c>
      <c r="I1394" s="48" t="inlineStr">
        <is>
          <t>Veículos automóveis para transporte de mercadorias, de peso em carga máxima não superior a 5 toneladas, com motor explosão com caixa basculante, exceto caminhão de peso em carga máxima superior a 3,9 toneladas</t>
        </is>
      </c>
      <c r="J1394" s="40" t="inlineStr">
        <is>
          <t>Lei nº 1.810/97, art. 49, § 1º, inciso VI; Convênio ICMS 199/17</t>
        </is>
      </c>
      <c r="L1394" s="29">
        <f>IF(D1394="NCM/SH","",COUNTIF($D$5:$D$1506,D1394))</f>
        <v/>
      </c>
    </row>
    <row r="1395" ht="15.75" customHeight="1" thickBot="1">
      <c r="A1395" s="1" t="inlineStr">
        <is>
          <t>26Veiculo</t>
        </is>
      </c>
      <c r="B1395" s="164" t="inlineStr">
        <is>
          <t>20.0</t>
        </is>
      </c>
      <c r="C1395" s="35" t="inlineStr">
        <is>
          <t>25.020.00</t>
        </is>
      </c>
      <c r="D1395" s="35" t="inlineStr">
        <is>
          <t xml:space="preserve">8704.31.30 </t>
        </is>
      </c>
      <c r="E1395" s="35" t="n">
        <v>30</v>
      </c>
      <c r="F1395" s="35" t="n">
        <v>41.82</v>
      </c>
      <c r="G1395" s="35" t="n">
        <v>37.39</v>
      </c>
      <c r="H1395" s="35" t="n">
        <v>30</v>
      </c>
      <c r="I1395" s="35" t="inlineStr">
        <is>
          <t>Veículos automóveis para transporte de mercadorias, de peso em carga máxima não superior a 5 toneladas, frigoríficos ou isotérmicos com motor explosão, exceto caminhão de peso em carga máxima superior a 3,9 toneladas</t>
        </is>
      </c>
      <c r="J1395" s="40" t="inlineStr">
        <is>
          <t>Lei nº 1.810/97, art. 49, § 1º, inciso VI; Convênio ICMS 199/17</t>
        </is>
      </c>
      <c r="L1395" s="29">
        <f>IF(D1395="NCM/SH","",COUNTIF($D$5:$D$1506,D1395))</f>
        <v/>
      </c>
    </row>
    <row r="1396" ht="15.75" customHeight="1" thickBot="1">
      <c r="A1396" s="1" t="inlineStr">
        <is>
          <t>26Veiculo</t>
        </is>
      </c>
      <c r="B1396" s="164" t="inlineStr">
        <is>
          <t>21.0</t>
        </is>
      </c>
      <c r="C1396" s="35" t="inlineStr">
        <is>
          <t>25.021.00</t>
        </is>
      </c>
      <c r="D1396" s="35" t="inlineStr">
        <is>
          <t xml:space="preserve">8704.31.90 </t>
        </is>
      </c>
      <c r="E1396" s="35" t="n">
        <v>30</v>
      </c>
      <c r="F1396" s="35" t="n">
        <v>41.82</v>
      </c>
      <c r="G1396" s="35" t="n">
        <v>37.39</v>
      </c>
      <c r="H1396" s="35" t="n">
        <v>30</v>
      </c>
      <c r="I1396" s="35" t="inlineStr">
        <is>
          <t>Outros veículos automóveis para transporte de mercadorias, de peso em carga máxima não superior a 5 toneladas, com motor a explosão, exceto carro-forte para transporte de valores e caminhão de peso em carga máxima superior a 3,9 toneladas</t>
        </is>
      </c>
      <c r="J1396" s="40" t="inlineStr">
        <is>
          <t>Lei nº 1.810/97, art. 49, § 1º, inciso VI; Convênio ICMS 199/17</t>
        </is>
      </c>
      <c r="L1396" s="29">
        <f>IF(D1396="NCM/SH","",COUNTIF($D$5:$D$1506,D1396))</f>
        <v/>
      </c>
    </row>
    <row r="1397" ht="15.75" customHeight="1" thickBot="1">
      <c r="A1397" s="1" t="inlineStr">
        <is>
          <t>26Veiculo</t>
        </is>
      </c>
      <c r="B1397" s="108" t="inlineStr">
        <is>
          <t>22.0</t>
        </is>
      </c>
      <c r="C1397" s="109" t="inlineStr">
        <is>
          <t>25.022.00</t>
        </is>
      </c>
      <c r="D1397" s="109" t="inlineStr">
        <is>
          <t>8702.20.00</t>
        </is>
      </c>
      <c r="E1397" s="35" t="n">
        <v>30</v>
      </c>
      <c r="F1397" s="35" t="n">
        <v>41.82</v>
      </c>
      <c r="G1397" s="35" t="n">
        <v>37.39</v>
      </c>
      <c r="H1397" s="35" t="n">
        <v>30</v>
      </c>
      <c r="I1397" s="48" t="inlineStr">
        <is>
          <t>Veículos automóveis para transporte de 10 pessoas ou mais, incluindo o motorista, com motor de pistão, de ignição por compressão (diesel ou semidiesel) e um motor elétrico, com volume interno de habitáculo, destinado a passageiros e motorista, superior a 6 m³, mas inferior a 9 m³</t>
        </is>
      </c>
      <c r="J1397" s="40" t="inlineStr">
        <is>
          <t>Lei nº 1.810/97, art. 49, § 1º, inciso VI; Convênio ICMS 199/17</t>
        </is>
      </c>
      <c r="K1397" s="49" t="inlineStr">
        <is>
          <t>(Item 22.0: acrescentado pelo Decreto n° 14.913/2017. Efeitos a partir de 1°.01.2018.)</t>
        </is>
      </c>
      <c r="L1397" s="29">
        <f>IF(D1397="NCM/SH","",COUNTIF($D$5:$D$1506,D1397))</f>
        <v/>
      </c>
    </row>
    <row r="1398" ht="15.75" customHeight="1" thickBot="1">
      <c r="A1398" s="1" t="inlineStr">
        <is>
          <t>26Veiculo</t>
        </is>
      </c>
      <c r="B1398" s="108" t="inlineStr">
        <is>
          <t>23.0</t>
        </is>
      </c>
      <c r="C1398" s="109" t="inlineStr">
        <is>
          <t>25.023.00</t>
        </is>
      </c>
      <c r="D1398" s="109" t="inlineStr">
        <is>
          <t>8702.30.00</t>
        </is>
      </c>
      <c r="E1398" s="35" t="n">
        <v>30</v>
      </c>
      <c r="F1398" s="35" t="n">
        <v>41.82</v>
      </c>
      <c r="G1398" s="35" t="n">
        <v>37.39</v>
      </c>
      <c r="H1398" s="35" t="n">
        <v>30</v>
      </c>
      <c r="I1398" s="48" t="inlineStr">
        <is>
          <t>Veículos automóveis para transporte de 10 pessoas ou mais, incluindo o motorista, com motor de pistão alternativo, de ignição por centelha (faísca) e um motor elétrico, com volume interno de habitáculo, destinado a passageiros e motorista, superior a 6 m³, mas inferior a 9 m³</t>
        </is>
      </c>
      <c r="J1398" s="40" t="inlineStr">
        <is>
          <t>Lei nº 1.810/97, art. 49, § 1º, inciso VI; Convênio ICMS 199/17</t>
        </is>
      </c>
      <c r="K1398" s="49" t="inlineStr">
        <is>
          <t>(Item 23.0: acrescentado pelo Decreto n° 14.913/2017. Efeitos a partir de 1°.01.2018.)</t>
        </is>
      </c>
      <c r="L1398" s="29">
        <f>IF(D1398="NCM/SH","",COUNTIF($D$5:$D$1506,D1398))</f>
        <v/>
      </c>
    </row>
    <row r="1399" ht="15.75" customHeight="1" thickBot="1">
      <c r="A1399" s="1" t="inlineStr">
        <is>
          <t>26Veiculo</t>
        </is>
      </c>
      <c r="B1399" s="108" t="inlineStr">
        <is>
          <t>24.0</t>
        </is>
      </c>
      <c r="C1399" s="109" t="inlineStr">
        <is>
          <t>25.024.00</t>
        </is>
      </c>
      <c r="D1399" s="109" t="inlineStr">
        <is>
          <t>8702.90.00</t>
        </is>
      </c>
      <c r="E1399" s="35" t="n">
        <v>30</v>
      </c>
      <c r="F1399" s="35" t="n">
        <v>41.82</v>
      </c>
      <c r="G1399" s="35" t="n">
        <v>37.39</v>
      </c>
      <c r="H1399" s="35" t="n">
        <v>30</v>
      </c>
      <c r="I1399" s="48" t="inlineStr">
        <is>
          <t>Outros veículos automóveis para transporte de 10 pessoas ou mais, incluindo o motorista, com volume interno de habitáculo, destinado a passageiros e motorista, superior a 6 m³, mas inferior a 9 m³</t>
        </is>
      </c>
      <c r="J1399" s="40" t="inlineStr">
        <is>
          <t>Lei nº 1.810/97, art. 49, § 1º, inciso VI; Convênio ICMS 199/17</t>
        </is>
      </c>
      <c r="K1399" s="49" t="inlineStr">
        <is>
          <t>(Item 24.0: acrescentado pelo Decreto n° 14.913/2017. Efeitos a partir de 1°.01.2018.)</t>
        </is>
      </c>
      <c r="L1399" s="29">
        <f>IF(D1399="NCM/SH","",COUNTIF($D$5:$D$1506,D1399))</f>
        <v/>
      </c>
    </row>
    <row r="1400" ht="15.75" customHeight="1" thickBot="1">
      <c r="A1400" s="1" t="inlineStr">
        <is>
          <t>26Veiculo</t>
        </is>
      </c>
      <c r="B1400" s="108" t="inlineStr">
        <is>
          <t>25.0</t>
        </is>
      </c>
      <c r="C1400" s="109" t="inlineStr">
        <is>
          <t>25.025.00</t>
        </is>
      </c>
      <c r="D1400" s="109" t="inlineStr">
        <is>
          <t>8703.40.00</t>
        </is>
      </c>
      <c r="E1400" s="35" t="n">
        <v>30</v>
      </c>
      <c r="F1400" s="35" t="n">
        <v>41.82</v>
      </c>
      <c r="G1400" s="35" t="n">
        <v>37.39</v>
      </c>
      <c r="H1400" s="35" t="n">
        <v>30</v>
      </c>
      <c r="I1400" s="48" t="inlineStr">
        <is>
          <t>Automóveis equipados para propulsão, simultaneamente, com um motor de pistão alternativo de ignição por centelha (faísca*) e um motor elétrico, exceto os suscetíveis de serem carregados por conexão a uma fonte externa de energia elétrica, o carro celular e o carro funerário</t>
        </is>
      </c>
      <c r="J1400" s="40" t="inlineStr">
        <is>
          <t>Lei nº 1.810/97, art. 49, § 1º, inciso VI; Convênio ICMS 199/17</t>
        </is>
      </c>
      <c r="K1400" s="49" t="inlineStr">
        <is>
          <t>(Item 25.0: acrescentado pelo Decreto n° 14.913/2017. Efeitos a partir de 1°.01.2018.)</t>
        </is>
      </c>
      <c r="L1400" s="29">
        <f>IF(D1400="NCM/SH","",COUNTIF($D$5:$D$1506,D1400))</f>
        <v/>
      </c>
    </row>
    <row r="1401" ht="15.75" customHeight="1" thickBot="1">
      <c r="A1401" s="1" t="inlineStr">
        <is>
          <t>26Veiculo</t>
        </is>
      </c>
      <c r="B1401" s="108" t="inlineStr">
        <is>
          <t>26.0</t>
        </is>
      </c>
      <c r="C1401" s="109" t="inlineStr">
        <is>
          <t>25.026.00</t>
        </is>
      </c>
      <c r="D1401" s="109" t="inlineStr">
        <is>
          <t>8703.50.00</t>
        </is>
      </c>
      <c r="E1401" s="35" t="n">
        <v>30</v>
      </c>
      <c r="F1401" s="35" t="n">
        <v>41.82</v>
      </c>
      <c r="G1401" s="35" t="n">
        <v>37.39</v>
      </c>
      <c r="H1401" s="35" t="n">
        <v>30</v>
      </c>
      <c r="I1401" s="48" t="inlineStr">
        <is>
          <t>Automóveis equipados para propulsão, simultaneamente, com um motor de pistão por compressão (diesel ou semidiesel) e um motor elétrico, exceto os suscetíveis de serem carregados por conexão a uma fonte externa de energia elétrica, exceto o carro celular e o carro funerário</t>
        </is>
      </c>
      <c r="J1401" s="40" t="inlineStr">
        <is>
          <t>Lei nº 1.810/97, art. 49, § 1º, inciso VI; Convênio ICMS 199/17</t>
        </is>
      </c>
      <c r="K1401" s="49" t="inlineStr">
        <is>
          <t>(Item 26.0: acrescentado pelo Decreto n° 14.913/2017. Efeitos a partir de 1°.01.2018.)</t>
        </is>
      </c>
      <c r="L1401" s="29">
        <f>IF(D1401="NCM/SH","",COUNTIF($D$5:$D$1506,D1401))</f>
        <v/>
      </c>
    </row>
    <row r="1402" ht="15.75" customHeight="1" thickBot="1">
      <c r="A1402" s="1" t="inlineStr">
        <is>
          <t>26Veiculo</t>
        </is>
      </c>
      <c r="B1402" s="108" t="inlineStr">
        <is>
          <t>27.0</t>
        </is>
      </c>
      <c r="C1402" s="109" t="inlineStr">
        <is>
          <t>25.027.00</t>
        </is>
      </c>
      <c r="D1402" s="109" t="inlineStr">
        <is>
          <t>8703.60.00</t>
        </is>
      </c>
      <c r="E1402" s="35" t="n">
        <v>30</v>
      </c>
      <c r="F1402" s="35" t="n">
        <v>41.82</v>
      </c>
      <c r="G1402" s="35" t="n">
        <v>37.39</v>
      </c>
      <c r="H1402" s="35" t="n">
        <v>30</v>
      </c>
      <c r="I1402" s="48" t="inlineStr">
        <is>
          <t>Automóveis equipados para propulsão, simultaneamente, com um motor de pistão alternativo de ignição por centelha (faísca*) e um motor elétrico, suscetíveis de serem carregados por conexão a uma fonte externa de energia elétrica, exceto o carro celular e o carro funerário</t>
        </is>
      </c>
      <c r="J1402" s="40" t="inlineStr">
        <is>
          <t>Lei nº 1.810/97, art. 49, § 1º, inciso VI; Convênio ICMS 199/17</t>
        </is>
      </c>
      <c r="K1402" s="49" t="inlineStr">
        <is>
          <t>(Item 27.0: acrescentado pelo Decreto n° 14.913/2017. Efeitos a partir de 1°.01.2018.)</t>
        </is>
      </c>
      <c r="L1402" s="29">
        <f>IF(D1402="NCM/SH","",COUNTIF($D$5:$D$1506,D1402))</f>
        <v/>
      </c>
    </row>
    <row r="1403" ht="15.75" customHeight="1" thickBot="1">
      <c r="A1403" s="1" t="inlineStr">
        <is>
          <t>26Veiculo</t>
        </is>
      </c>
      <c r="B1403" s="108" t="inlineStr">
        <is>
          <t>28.0</t>
        </is>
      </c>
      <c r="C1403" s="109" t="inlineStr">
        <is>
          <t>25.028.00</t>
        </is>
      </c>
      <c r="D1403" s="109" t="inlineStr">
        <is>
          <t>8703.70.00</t>
        </is>
      </c>
      <c r="E1403" s="35" t="n">
        <v>30</v>
      </c>
      <c r="F1403" s="35" t="n">
        <v>41.82</v>
      </c>
      <c r="G1403" s="35" t="n">
        <v>37.39</v>
      </c>
      <c r="H1403" s="35" t="n">
        <v>30</v>
      </c>
      <c r="I1403" s="48" t="inlineStr">
        <is>
          <t>Automóveis equipados para propulsão, simultaneamente, com um motor de pistão por compressão (diesel ou semidiesel) e um motor elétrico, suscetíveis de serem carregados por conexão a uma fonte externa de energia elétrica, exceto o carro celular e o carro funerário</t>
        </is>
      </c>
      <c r="J1403" s="40" t="inlineStr">
        <is>
          <t>Lei nº 1.810/97, art. 49, § 1º, inciso VI; Convênio ICMS 199/17</t>
        </is>
      </c>
      <c r="K1403" s="49" t="inlineStr">
        <is>
          <t>(Item 28.0: acrescentado pelo Decreto n° 14.913/2017. Efeitos a partir de 1°.01.2018.)</t>
        </is>
      </c>
      <c r="L1403" s="29">
        <f>IF(D1403="NCM/SH","",COUNTIF($D$5:$D$1506,D1403))</f>
        <v/>
      </c>
    </row>
    <row r="1404" ht="14.45" customHeight="1" thickBot="1">
      <c r="A1404" s="1" t="inlineStr">
        <is>
          <t>26Veiculo</t>
        </is>
      </c>
      <c r="B1404" s="111" t="inlineStr">
        <is>
          <t>29.0</t>
        </is>
      </c>
      <c r="C1404" s="111" t="inlineStr">
        <is>
          <t>25.029.00</t>
        </is>
      </c>
      <c r="D1404" s="111" t="inlineStr">
        <is>
          <t>8703.80.00</t>
        </is>
      </c>
      <c r="E1404" s="163" t="n">
        <v>30</v>
      </c>
      <c r="F1404" s="163" t="n">
        <v>41.82</v>
      </c>
      <c r="G1404" s="163" t="n">
        <v>37.39</v>
      </c>
      <c r="H1404" s="163" t="n">
        <v>30</v>
      </c>
      <c r="I1404" s="112" t="inlineStr">
        <is>
          <t>Outros veículos, equipados unicamente com motor elétrico para propulsão</t>
        </is>
      </c>
      <c r="J1404" s="40" t="inlineStr">
        <is>
          <t>Lei nº 1.810/97, art. 49, § 1º, inciso VI; Convênio ICMS 199/17</t>
        </is>
      </c>
      <c r="K1404" s="49" t="inlineStr">
        <is>
          <t>(Item 29.0: acrescentado pelo Decreto n° 14.913/2017. Efeitos a partir de 1°.01.2018.)</t>
        </is>
      </c>
      <c r="L1404" s="29">
        <f>IF(D1404="NCM/SH","",COUNTIF($D$5:$D$1506,D1404))</f>
        <v/>
      </c>
    </row>
    <row r="1405" ht="15.75" customHeight="1" thickBot="1">
      <c r="A1405" s="1" t="inlineStr">
        <is>
          <t>26Veiculo</t>
        </is>
      </c>
      <c r="B1405" s="108" t="inlineStr">
        <is>
          <t>30.0</t>
        </is>
      </c>
      <c r="C1405" s="48" t="inlineStr">
        <is>
          <t>25.030.00</t>
        </is>
      </c>
      <c r="D1405" s="48" t="inlineStr">
        <is>
          <t>8704.41.00</t>
        </is>
      </c>
      <c r="E1405" s="48" t="n">
        <v>30</v>
      </c>
      <c r="F1405" s="48" t="n">
        <v>41.82</v>
      </c>
      <c r="G1405" s="48" t="n">
        <v>37.39</v>
      </c>
      <c r="H1405" s="48" t="n">
        <v>30</v>
      </c>
      <c r="I1405" s="48" t="inlineStr">
        <is>
          <t>Outros veículos para transportes de mercadorias equipados para propulsão, simultaneamente, com motor de pistão de ignição por compressão (diesel ou semidiesel) e motor elétrico de peso em carga máxima (bruto) não superior a 5 toneladas, exceto caminhão de peso em carga máxima superior a 3,9 toneladas</t>
        </is>
      </c>
      <c r="J1405" s="44" t="inlineStr">
        <is>
          <t>Lei nº 1.810/97, art. 49, § 1º, inciso VI; Convênio ICMS 199/17</t>
        </is>
      </c>
      <c r="K1405" s="47" t="inlineStr">
        <is>
          <t>(Item 30.0: acrescentado pelo Decreto n° 16.011/2022. Efeitos a partir de 16.08.2022.)</t>
        </is>
      </c>
      <c r="L1405" s="29">
        <f>IF(D1405="NCM/SH","",COUNTIF($D$5:$D$1506,D1405))</f>
        <v/>
      </c>
    </row>
    <row r="1406" ht="15.75" customHeight="1" thickBot="1">
      <c r="A1406" s="1" t="inlineStr">
        <is>
          <t>26Veiculo</t>
        </is>
      </c>
      <c r="B1406" s="46" t="inlineStr">
        <is>
          <t>31.0</t>
        </is>
      </c>
      <c r="C1406" s="48" t="inlineStr">
        <is>
          <t>25.031.00</t>
        </is>
      </c>
      <c r="D1406" s="48" t="inlineStr">
        <is>
          <t>8704.51.00</t>
        </is>
      </c>
      <c r="E1406" s="48" t="n">
        <v>30</v>
      </c>
      <c r="F1406" s="48" t="n">
        <v>41.82</v>
      </c>
      <c r="G1406" s="48" t="n">
        <v>37.39</v>
      </c>
      <c r="H1406" s="48" t="n">
        <v>30</v>
      </c>
      <c r="I1406" s="48" t="inlineStr">
        <is>
          <t>Outros veículos para transportes de mercadorias equipados para propulsão, simultaneamente, com motor de pistão de ignição por centelha (faísca) e motor elétrico de peso em carga máxima (bruto) não superior a 5 toneladas, exceto caminhão de peso em carga máxima superior a 3,9 toneladas</t>
        </is>
      </c>
      <c r="J1406" s="163" t="inlineStr">
        <is>
          <t>Lei nº 1.810/97, art. 49, § 1º, inciso VI; Convênio ICMS 199/17</t>
        </is>
      </c>
      <c r="K1406" s="47" t="inlineStr">
        <is>
          <t>(Item 31.0: acrescentado pelo Decreto n° 16.011/2022. Efeitos a partir de 16.08.2022.)</t>
        </is>
      </c>
      <c r="L1406" s="29">
        <f>IF(D1406="NCM/SH","",COUNTIF($D$5:$D$1506,D1406))</f>
        <v/>
      </c>
    </row>
    <row r="1407">
      <c r="B1407" s="31" t="n"/>
      <c r="L1407" s="29">
        <f>IF(D1407="NCM/SH","",COUNTIF($D$5:$D$1506,D1407))</f>
        <v/>
      </c>
    </row>
    <row r="1408">
      <c r="B1408" s="31" t="n"/>
      <c r="L1408" s="29">
        <f>IF(D1408="NCM/SH","",COUNTIF($D$5:$D$1506,D1408))</f>
        <v/>
      </c>
    </row>
    <row r="1409" ht="15.75" customHeight="1" thickBot="1">
      <c r="A1409" s="1" t="inlineStr">
        <is>
          <t>27Moto</t>
        </is>
      </c>
      <c r="B1409" s="28" t="inlineStr">
        <is>
          <t>Tabela XXVII</t>
        </is>
      </c>
      <c r="C1409" s="28" t="inlineStr">
        <is>
          <t>VEÍCULOS DE DUAS E TRÊS RODAS MOTORIZADOS</t>
        </is>
      </c>
      <c r="L1409" s="29">
        <f>IF(D1409="NCM/SH","",COUNTIF($D$5:$D$1506,D1409))</f>
        <v/>
      </c>
    </row>
    <row r="1410" ht="15" customHeight="1" thickBot="1">
      <c r="A1410" s="1" t="inlineStr">
        <is>
          <t>27Moto</t>
        </is>
      </c>
      <c r="B1410" s="163" t="inlineStr">
        <is>
          <t>ITEM</t>
        </is>
      </c>
      <c r="C1410" s="163" t="inlineStr">
        <is>
          <t>CEST</t>
        </is>
      </c>
      <c r="D1410" s="163" t="inlineStr">
        <is>
          <t>NCM/SH</t>
        </is>
      </c>
      <c r="E1410" s="165" t="inlineStr">
        <is>
          <t>MARGEM DE VALOR AGREGADO</t>
        </is>
      </c>
      <c r="F1410" s="166" t="n"/>
      <c r="G1410" s="166" t="n"/>
      <c r="H1410" s="167" t="n"/>
      <c r="I1410" s="163" t="inlineStr">
        <is>
          <t xml:space="preserve">DESCRIÇÃO </t>
        </is>
      </c>
      <c r="J1410" s="163" t="inlineStr">
        <is>
          <t>DISPOSITIVO LEGAL</t>
        </is>
      </c>
      <c r="L1410" s="29">
        <f>IF(D1410="NCM/SH","",COUNTIF($D$5:$D$1506,D1410))</f>
        <v/>
      </c>
    </row>
    <row r="1411" ht="15.75" customHeight="1" thickBot="1">
      <c r="A1411" s="1" t="inlineStr">
        <is>
          <t>27Moto</t>
        </is>
      </c>
      <c r="B1411" s="164" t="n"/>
      <c r="C1411" s="164" t="n"/>
      <c r="D1411" s="164" t="n"/>
      <c r="E1411" s="35" t="inlineStr">
        <is>
          <t>Oper. interna</t>
        </is>
      </c>
      <c r="F1411" s="167" t="inlineStr">
        <is>
          <t>Alíq. 4%</t>
        </is>
      </c>
      <c r="G1411" s="167" t="inlineStr">
        <is>
          <t>Alíq. 7%</t>
        </is>
      </c>
      <c r="H1411" s="167" t="inlineStr">
        <is>
          <t>Alíq. 12%</t>
        </is>
      </c>
      <c r="I1411" s="164" t="n"/>
      <c r="J1411" s="164" t="n"/>
      <c r="L1411" s="29">
        <f>IF(D1411="NCM/SH","",COUNTIF($D$5:$D$1506,D1411))</f>
        <v/>
      </c>
    </row>
    <row r="1412" ht="15.75" customHeight="1" thickBot="1">
      <c r="A1412" s="1" t="inlineStr">
        <is>
          <t>27Moto</t>
        </is>
      </c>
      <c r="B1412" s="164" t="inlineStr">
        <is>
          <t>1.0</t>
        </is>
      </c>
      <c r="C1412" s="35" t="inlineStr">
        <is>
          <t>26.001.00</t>
        </is>
      </c>
      <c r="D1412" s="35" t="n">
        <v>8711</v>
      </c>
      <c r="E1412" s="35" t="n">
        <v>34</v>
      </c>
      <c r="F1412" s="35" t="n">
        <v>46.18</v>
      </c>
      <c r="G1412" s="35" t="n">
        <v>41.61</v>
      </c>
      <c r="H1412" s="35" t="n">
        <v>34</v>
      </c>
      <c r="I1412" s="48" t="inlineStr">
        <is>
          <t>Motocicletas (incluídos os ciclomotores) e outros ciclos equipados com motor auxiliar, mesmo com carro lateral, exceto os classificados no CEST 26.001.01; carros laterais.</t>
        </is>
      </c>
      <c r="J1412" s="38" t="inlineStr">
        <is>
          <t>Lei nº 1.810/97, art. 49, § 1º, inciso VI; Convênio ICMS 200/17</t>
        </is>
      </c>
      <c r="K1412" s="47" t="inlineStr">
        <is>
          <t>(Item 1.0: nova redação pelo Decreto n° 16.011/2022. Efeitos a partir de 16.08.2022.)</t>
        </is>
      </c>
      <c r="L1412" s="29">
        <f>IF(D1412="NCM/SH","",COUNTIF($D$5:$D$1506,D1412))</f>
        <v/>
      </c>
    </row>
    <row r="1413" ht="15.75" customHeight="1" thickBot="1">
      <c r="A1413" s="1" t="inlineStr">
        <is>
          <t>27Moto</t>
        </is>
      </c>
      <c r="B1413" s="46" t="inlineStr">
        <is>
          <t>1.1</t>
        </is>
      </c>
      <c r="C1413" s="48" t="inlineStr">
        <is>
          <t>26.001.01</t>
        </is>
      </c>
      <c r="D1413" s="48" t="n">
        <v>8711</v>
      </c>
      <c r="E1413" s="48" t="n">
        <v>34</v>
      </c>
      <c r="F1413" s="48" t="n">
        <v>46.18</v>
      </c>
      <c r="G1413" s="48" t="n">
        <v>41.61</v>
      </c>
      <c r="H1413" s="48" t="n">
        <v>34</v>
      </c>
      <c r="I1413" s="48" t="inlineStr">
        <is>
          <t>Bicicletas e outros ciclos (incluídos os triciclos) com propulsão de motor elétrico auxiliar assistido pela força humana.</t>
        </is>
      </c>
      <c r="J1413" s="38" t="inlineStr">
        <is>
          <t>Lei nº 1.810/97, art. 49, § 1º, inciso VI; Convênio ICMS 200/17</t>
        </is>
      </c>
      <c r="K1413" s="47" t="inlineStr">
        <is>
          <t>(Item 1.1: nova redação pelo Decreto n° 16.011/2022. Efeitos a partir de 16.08.2022.)</t>
        </is>
      </c>
      <c r="L1413" s="29">
        <f>IF(D1413="NCM/SH","",COUNTIF($D$5:$D$1506,D1413))</f>
        <v/>
      </c>
    </row>
    <row r="1414">
      <c r="B1414" s="113" t="n"/>
      <c r="C1414" s="113" t="n"/>
      <c r="D1414" s="113" t="n"/>
      <c r="E1414" s="113" t="n"/>
      <c r="F1414" s="113" t="n"/>
      <c r="G1414" s="113" t="n"/>
      <c r="H1414" s="113" t="n"/>
      <c r="I1414" s="113" t="n"/>
      <c r="J1414" s="59" t="n"/>
      <c r="L1414" s="29">
        <f>IF(D1414="NCM/SH","",COUNTIF($D$5:$D$1506,D1414))</f>
        <v/>
      </c>
    </row>
    <row r="1415">
      <c r="B1415" s="28" t="n"/>
      <c r="L1415" s="29">
        <f>IF(D1415="NCM/SH","",COUNTIF($D$5:$D$1506,D1415))</f>
        <v/>
      </c>
    </row>
    <row r="1416">
      <c r="L1416" s="29">
        <f>IF(D1416="NCM/SH","",COUNTIF($D$5:$D$1506,D1416))</f>
        <v/>
      </c>
    </row>
    <row r="1417">
      <c r="B1417" s="28" t="inlineStr">
        <is>
          <t>Tabela XXVIII</t>
        </is>
      </c>
      <c r="C1417" s="28" t="inlineStr">
        <is>
          <t>VIDROS</t>
        </is>
      </c>
      <c r="D1417" s="30" t="inlineStr">
        <is>
          <t>(Tabela XXVIII: REVOGADA pelo Decreto nº 14.645/2016. Efeitos a partir de 1º.01.2017.)</t>
        </is>
      </c>
      <c r="L1417" s="29">
        <f>IF(D1417="NCM/SH","",COUNTIF($D$5:$D$1506,D1417))</f>
        <v/>
      </c>
    </row>
    <row r="1418">
      <c r="L1418" s="29">
        <f>IF(D1418="NCM/SH","",COUNTIF($D$5:$D$1506,D1418))</f>
        <v/>
      </c>
    </row>
    <row r="1419">
      <c r="B1419" s="28" t="n"/>
      <c r="L1419" s="29">
        <f>IF(D1419="NCM/SH","",COUNTIF($D$5:$D$1506,D1419))</f>
        <v/>
      </c>
    </row>
    <row r="1420">
      <c r="B1420" s="28" t="n"/>
      <c r="L1420" s="29">
        <f>IF(D1420="NCM/SH","",COUNTIF($D$5:$D$1506,D1420))</f>
        <v/>
      </c>
    </row>
    <row r="1421" ht="15.75" customHeight="1" thickBot="1">
      <c r="A1421" s="1" t="inlineStr">
        <is>
          <t>29PortaPorta</t>
        </is>
      </c>
      <c r="B1421" s="28" t="inlineStr">
        <is>
          <t>TABELA XXIX</t>
        </is>
      </c>
      <c r="C1421" s="28" t="inlineStr">
        <is>
          <t>VENDA DE MERCADORIAS PELO SISTEMA PORTA A PORTA</t>
        </is>
      </c>
      <c r="D1421" s="62" t="n"/>
      <c r="E1421" s="62" t="n"/>
      <c r="F1421" s="62" t="n"/>
      <c r="G1421" s="30" t="inlineStr">
        <is>
          <t>(Tabela XXIX: nova redação dada pelo Decreto nº 14.645/2016. Efeitos a partir de 1º.01.2017.)</t>
        </is>
      </c>
      <c r="H1421" s="62" t="n"/>
      <c r="L1421" s="29">
        <f>IF(D1421="NCM/SH","",COUNTIF($D$5:$D$1506,D1421))</f>
        <v/>
      </c>
    </row>
    <row r="1422" ht="15" customHeight="1" thickBot="1">
      <c r="A1422" s="1" t="inlineStr">
        <is>
          <t>29PortaPorta</t>
        </is>
      </c>
      <c r="B1422" s="42" t="inlineStr">
        <is>
          <t>ITEM</t>
        </is>
      </c>
      <c r="C1422" s="42" t="inlineStr">
        <is>
          <t>CEST</t>
        </is>
      </c>
      <c r="D1422" s="42" t="inlineStr">
        <is>
          <t>NCM/SH</t>
        </is>
      </c>
      <c r="E1422" s="78" t="inlineStr">
        <is>
          <t>MARGEM DE VALOR AGREGADO</t>
        </is>
      </c>
      <c r="F1422" s="79" t="n"/>
      <c r="G1422" s="79" t="inlineStr">
        <is>
          <t>(Tabela XXIX: nova redação dada pelo Decreto nº 14.645/2016. Efeitos a partir de 1º.01.2017.)</t>
        </is>
      </c>
      <c r="H1422" s="80" t="n"/>
      <c r="I1422" s="42" t="inlineStr">
        <is>
          <t xml:space="preserve">DESCRIÇÃO </t>
        </is>
      </c>
      <c r="J1422" s="42" t="n"/>
      <c r="K1422" s="81" t="n"/>
      <c r="L1422" s="29">
        <f>IF(D1422="NCM/SH","",COUNTIF($D$5:$D$1506,D1422))</f>
        <v/>
      </c>
    </row>
    <row r="1423" ht="15.75" customHeight="1" thickBot="1">
      <c r="A1423" s="1" t="inlineStr">
        <is>
          <t>29PortaPorta</t>
        </is>
      </c>
      <c r="B1423" s="46" t="inlineStr">
        <is>
          <t>ITEM</t>
        </is>
      </c>
      <c r="C1423" s="46" t="inlineStr">
        <is>
          <t>CEST</t>
        </is>
      </c>
      <c r="D1423" s="46" t="inlineStr">
        <is>
          <t>NCM/SH</t>
        </is>
      </c>
      <c r="E1423" s="48" t="inlineStr">
        <is>
          <t>Oper. Interna</t>
        </is>
      </c>
      <c r="F1423" s="80" t="inlineStr">
        <is>
          <t>Alíq. 4%</t>
        </is>
      </c>
      <c r="G1423" s="80" t="inlineStr">
        <is>
          <t>Alíq. 7%</t>
        </is>
      </c>
      <c r="H1423" s="80" t="inlineStr">
        <is>
          <t>Alíq. 12%</t>
        </is>
      </c>
      <c r="I1423" s="46" t="inlineStr">
        <is>
          <t xml:space="preserve">DESCRIÇÃO </t>
        </is>
      </c>
      <c r="J1423" s="164" t="inlineStr">
        <is>
          <t>DISPOSITIVO LEGAL</t>
        </is>
      </c>
      <c r="K1423" s="64" t="n"/>
      <c r="L1423" s="29">
        <f>IF(D1423="NCM/SH","",COUNTIF($D$5:$D$1506,D1423))</f>
        <v/>
      </c>
    </row>
    <row r="1424" ht="15" customHeight="1" thickBot="1">
      <c r="A1424" s="1" t="inlineStr">
        <is>
          <t>29PortaPorta</t>
        </is>
      </c>
      <c r="B1424" s="46" t="inlineStr">
        <is>
          <t>1.0</t>
        </is>
      </c>
      <c r="C1424" s="48" t="inlineStr">
        <is>
          <t>28.001.00</t>
        </is>
      </c>
      <c r="D1424" s="48" t="inlineStr">
        <is>
          <t>3303.00.10</t>
        </is>
      </c>
      <c r="E1424" s="48" t="n">
        <v>37.63</v>
      </c>
      <c r="F1424" s="48" t="n">
        <v>65.16</v>
      </c>
      <c r="G1424" s="48" t="n">
        <v>60</v>
      </c>
      <c r="H1424" s="48" t="n">
        <v>51.4</v>
      </c>
      <c r="I1424" s="48" t="inlineStr">
        <is>
          <t>Perfumes (extratos)</t>
        </is>
      </c>
      <c r="J1424" s="45" t="inlineStr">
        <is>
          <t>Lei nº 1.810/97, art. 49, § 1º, XXI; Convênio ICMS 45/99 (Dispositivo Legal: acrescentado pelo Decreto nº 15.295/2019. Efeitos a partir de 09.10.2019.)</t>
        </is>
      </c>
      <c r="K1424" s="100" t="n"/>
      <c r="L1424" s="29">
        <f>IF(D1424="NCM/SH","",COUNTIF($D$5:$D$1506,D1424))</f>
        <v/>
      </c>
    </row>
    <row r="1425" ht="15.75" customHeight="1" thickBot="1">
      <c r="A1425" s="1" t="inlineStr">
        <is>
          <t>29PortaPorta</t>
        </is>
      </c>
      <c r="B1425" s="46" t="inlineStr">
        <is>
          <t>2.0</t>
        </is>
      </c>
      <c r="C1425" s="48" t="inlineStr">
        <is>
          <t>28.002.00</t>
        </is>
      </c>
      <c r="D1425" s="48" t="inlineStr">
        <is>
          <t>3303.00.20</t>
        </is>
      </c>
      <c r="E1425" s="48" t="n">
        <v>37.63</v>
      </c>
      <c r="F1425" s="48" t="n">
        <v>65.16</v>
      </c>
      <c r="G1425" s="48" t="n">
        <v>60</v>
      </c>
      <c r="H1425" s="48" t="n">
        <v>51.4</v>
      </c>
      <c r="I1425" s="48" t="inlineStr">
        <is>
          <t>Águas-de-colônia</t>
        </is>
      </c>
      <c r="J1425" s="45" t="inlineStr">
        <is>
          <t>Lei nº 1.810/97, art. 49, § 1º, XXI; Convênio ICMS 45/99 (Dispositivo Legal: acrescentado pelo Decreto nº 15.295/2019. Efeitos a partir de 09.10.2019.)</t>
        </is>
      </c>
      <c r="K1425" s="100" t="n"/>
      <c r="L1425" s="29">
        <f>IF(D1425="NCM/SH","",COUNTIF($D$5:$D$1506,D1425))</f>
        <v/>
      </c>
    </row>
    <row r="1426" ht="15.75" customHeight="1" thickBot="1">
      <c r="A1426" s="1" t="inlineStr">
        <is>
          <t>29PortaPorta</t>
        </is>
      </c>
      <c r="B1426" s="46" t="inlineStr">
        <is>
          <t>3.0</t>
        </is>
      </c>
      <c r="C1426" s="48" t="inlineStr">
        <is>
          <t>28.003.00</t>
        </is>
      </c>
      <c r="D1426" s="48" t="inlineStr">
        <is>
          <t>3304.10.00</t>
        </is>
      </c>
      <c r="E1426" s="48" t="n">
        <v>37.63</v>
      </c>
      <c r="F1426" s="48" t="n">
        <v>65.16</v>
      </c>
      <c r="G1426" s="48" t="n">
        <v>60</v>
      </c>
      <c r="H1426" s="48" t="n">
        <v>51.4</v>
      </c>
      <c r="I1426" s="48" t="inlineStr">
        <is>
          <t>Produtos de maquiagem para os lábios</t>
        </is>
      </c>
      <c r="J1426" s="45" t="inlineStr">
        <is>
          <t>Lei nº 1.810/97, art. 49, § 1º, XXI; Convênio ICMS 45/99 (Dispositivo Legal: acrescentado pelo Decreto nº 15.295/2019. Efeitos a partir de 09.10.2019.)</t>
        </is>
      </c>
      <c r="K1426" s="100" t="n"/>
      <c r="L1426" s="29">
        <f>IF(D1426="NCM/SH","",COUNTIF($D$5:$D$1506,D1426))</f>
        <v/>
      </c>
    </row>
    <row r="1427" ht="15.75" customHeight="1" thickBot="1">
      <c r="A1427" s="1" t="inlineStr">
        <is>
          <t>29PortaPorta</t>
        </is>
      </c>
      <c r="B1427" s="46" t="inlineStr">
        <is>
          <t>4.0</t>
        </is>
      </c>
      <c r="C1427" s="48" t="inlineStr">
        <is>
          <t>28.004.00</t>
        </is>
      </c>
      <c r="D1427" s="48" t="inlineStr">
        <is>
          <t>3304.20.10</t>
        </is>
      </c>
      <c r="E1427" s="48" t="n">
        <v>37.63</v>
      </c>
      <c r="F1427" s="48" t="n">
        <v>65.16</v>
      </c>
      <c r="G1427" s="48" t="n">
        <v>60</v>
      </c>
      <c r="H1427" s="48" t="n">
        <v>51.4</v>
      </c>
      <c r="I1427" s="48" t="inlineStr">
        <is>
          <t>Sombra, delineador, lápis para sobrancelhas e rímel</t>
        </is>
      </c>
      <c r="J1427" s="45" t="inlineStr">
        <is>
          <t>Lei nº 1.810/97, art. 49, § 1º, XXI; Convênio ICMS 45/99 (Dispositivo Legal: acrescentado pelo Decreto nº 15.295/2019. Efeitos a partir de 09.10.2019.)</t>
        </is>
      </c>
      <c r="K1427" s="100" t="n"/>
      <c r="L1427" s="29">
        <f>IF(D1427="NCM/SH","",COUNTIF($D$5:$D$1506,D1427))</f>
        <v/>
      </c>
    </row>
    <row r="1428" ht="15.75" customHeight="1" thickBot="1">
      <c r="A1428" s="1" t="inlineStr">
        <is>
          <t>29PortaPorta</t>
        </is>
      </c>
      <c r="B1428" s="46" t="inlineStr">
        <is>
          <t>5.0</t>
        </is>
      </c>
      <c r="C1428" s="48" t="inlineStr">
        <is>
          <t>28.005.00</t>
        </is>
      </c>
      <c r="D1428" s="48" t="inlineStr">
        <is>
          <t>3304.20.90</t>
        </is>
      </c>
      <c r="E1428" s="48" t="n">
        <v>37.63</v>
      </c>
      <c r="F1428" s="48" t="n">
        <v>65.16</v>
      </c>
      <c r="G1428" s="48" t="n">
        <v>60</v>
      </c>
      <c r="H1428" s="48" t="n">
        <v>51.4</v>
      </c>
      <c r="I1428" s="48" t="inlineStr">
        <is>
          <t>Outros produtos de maquiagem para os olhos</t>
        </is>
      </c>
      <c r="J1428" s="45" t="inlineStr">
        <is>
          <t>Lei nº 1.810/97, art. 49, § 1º, XXI; Convênio ICMS 45/99 (Dispositivo Legal: acrescentado pelo Decreto nº 15.295/2019. Efeitos a partir de 09.10.2019.)</t>
        </is>
      </c>
      <c r="K1428" s="100" t="n"/>
      <c r="L1428" s="29">
        <f>IF(D1428="NCM/SH","",COUNTIF($D$5:$D$1506,D1428))</f>
        <v/>
      </c>
    </row>
    <row r="1429" ht="15.75" customHeight="1" thickBot="1">
      <c r="A1429" s="1" t="inlineStr">
        <is>
          <t>29PortaPorta</t>
        </is>
      </c>
      <c r="B1429" s="46" t="inlineStr">
        <is>
          <t>6.0</t>
        </is>
      </c>
      <c r="C1429" s="48" t="inlineStr">
        <is>
          <t>28.006.00</t>
        </is>
      </c>
      <c r="D1429" s="48" t="inlineStr">
        <is>
          <t>3304.30.00</t>
        </is>
      </c>
      <c r="E1429" s="48" t="n">
        <v>37.63</v>
      </c>
      <c r="F1429" s="48" t="n">
        <v>65.16</v>
      </c>
      <c r="G1429" s="48" t="n">
        <v>60</v>
      </c>
      <c r="H1429" s="48" t="n">
        <v>51.4</v>
      </c>
      <c r="I1429" s="48" t="inlineStr">
        <is>
          <t>Preparações para manicuros e pedicuros</t>
        </is>
      </c>
      <c r="J1429" s="45" t="inlineStr">
        <is>
          <t>Lei nº 1.810/97, art. 49, § 1º, XXI; Convênio ICMS 45/99 (Dispositivo Legal: acrescentado pelo Decreto nº 15.295/2019. Efeitos a partir de 09.10.2019.)</t>
        </is>
      </c>
      <c r="K1429" s="100" t="n"/>
      <c r="L1429" s="29">
        <f>IF(D1429="NCM/SH","",COUNTIF($D$5:$D$1506,D1429))</f>
        <v/>
      </c>
    </row>
    <row r="1430" ht="15.75" customHeight="1" thickBot="1">
      <c r="A1430" s="1" t="inlineStr">
        <is>
          <t>29PortaPorta</t>
        </is>
      </c>
      <c r="B1430" s="46" t="inlineStr">
        <is>
          <t>7.0</t>
        </is>
      </c>
      <c r="C1430" s="48" t="inlineStr">
        <is>
          <t>28.007.00</t>
        </is>
      </c>
      <c r="D1430" s="48" t="inlineStr">
        <is>
          <t>3304.91.00</t>
        </is>
      </c>
      <c r="E1430" s="48" t="n">
        <v>37.63</v>
      </c>
      <c r="F1430" s="48" t="n">
        <v>65.16</v>
      </c>
      <c r="G1430" s="48" t="n">
        <v>60</v>
      </c>
      <c r="H1430" s="48" t="n">
        <v>51.4</v>
      </c>
      <c r="I1430" s="48" t="inlineStr">
        <is>
          <t>Pós para maquiagem, incluindo os compactos</t>
        </is>
      </c>
      <c r="J1430" s="45" t="inlineStr">
        <is>
          <t>Lei nº 1.810/97, art. 49, § 1º, XXI; Convênio ICMS 45/99 (Dispositivo Legal: acrescentado pelo Decreto nº 15.295/2019. Efeitos a partir de 09.10.2019.)</t>
        </is>
      </c>
      <c r="K1430" s="100" t="n"/>
      <c r="L1430" s="29">
        <f>IF(D1430="NCM/SH","",COUNTIF($D$5:$D$1506,D1430))</f>
        <v/>
      </c>
    </row>
    <row r="1431" ht="15.75" customHeight="1" thickBot="1">
      <c r="A1431" s="1" t="inlineStr">
        <is>
          <t>29PortaPorta</t>
        </is>
      </c>
      <c r="B1431" s="46" t="inlineStr">
        <is>
          <t>8.0</t>
        </is>
      </c>
      <c r="C1431" s="48" t="inlineStr">
        <is>
          <t>28.008.00</t>
        </is>
      </c>
      <c r="D1431" s="48" t="inlineStr">
        <is>
          <t>3304.99.10</t>
        </is>
      </c>
      <c r="E1431" s="48" t="n">
        <v>37.63</v>
      </c>
      <c r="F1431" s="48" t="n">
        <v>65.16</v>
      </c>
      <c r="G1431" s="48" t="n">
        <v>60</v>
      </c>
      <c r="H1431" s="48" t="n">
        <v>51.4</v>
      </c>
      <c r="I1431" s="48" t="inlineStr">
        <is>
          <t>Cremes de beleza, cremes nutritivos e loções tônicas</t>
        </is>
      </c>
      <c r="J1431" s="45" t="inlineStr">
        <is>
          <t>Lei nº 1.810/97, art. 49, § 1º, XXI; Convênio ICMS 45/99 (Dispositivo Legal: acrescentado pelo Decreto nº 15.295/2019. Efeitos a partir de 09.10.2019.)</t>
        </is>
      </c>
      <c r="K1431" s="100" t="n"/>
      <c r="L1431" s="29">
        <f>IF(D1431="NCM/SH","",COUNTIF($D$5:$D$1506,D1431))</f>
        <v/>
      </c>
    </row>
    <row r="1432" ht="15.75" customHeight="1" thickBot="1">
      <c r="A1432" s="1" t="inlineStr">
        <is>
          <t>29PortaPorta</t>
        </is>
      </c>
      <c r="B1432" s="46" t="inlineStr">
        <is>
          <t>9.0</t>
        </is>
      </c>
      <c r="C1432" s="48" t="inlineStr">
        <is>
          <t>28.009.00</t>
        </is>
      </c>
      <c r="D1432" s="48" t="inlineStr">
        <is>
          <t>3304.99.90</t>
        </is>
      </c>
      <c r="E1432" s="48" t="n">
        <v>37.63</v>
      </c>
      <c r="F1432" s="48" t="n">
        <v>65.16</v>
      </c>
      <c r="G1432" s="48" t="n">
        <v>60</v>
      </c>
      <c r="H1432" s="48" t="n">
        <v>51.4</v>
      </c>
      <c r="I1432" s="48" t="inlineStr">
        <is>
          <t>Outros produtos de beleza ou de maquiagem preparados e preparações para conservação ou cuidados da pele, exceto as preparações antissolares e os bronzeadores</t>
        </is>
      </c>
      <c r="J1432" s="45" t="inlineStr">
        <is>
          <t>Lei nº 1.810/97, art. 49, § 1º, XXI; Convênio ICMS 45/99 (Dispositivo Legal: acrescentado pelo Decreto nº 15.295/2019. Efeitos a partir de 09.10.2019.)</t>
        </is>
      </c>
      <c r="K1432" s="100" t="n"/>
      <c r="L1432" s="29">
        <f>IF(D1432="NCM/SH","",COUNTIF($D$5:$D$1506,D1432))</f>
        <v/>
      </c>
    </row>
    <row r="1433" ht="15.75" customHeight="1" thickBot="1">
      <c r="A1433" s="1" t="inlineStr">
        <is>
          <t>29PortaPorta</t>
        </is>
      </c>
      <c r="B1433" s="46" t="inlineStr">
        <is>
          <t>10.0</t>
        </is>
      </c>
      <c r="C1433" s="48" t="inlineStr">
        <is>
          <t>28.010.00</t>
        </is>
      </c>
      <c r="D1433" s="48" t="inlineStr">
        <is>
          <t>3304.99.90</t>
        </is>
      </c>
      <c r="E1433" s="48" t="n">
        <v>37.63</v>
      </c>
      <c r="F1433" s="48" t="n">
        <v>65.16</v>
      </c>
      <c r="G1433" s="48" t="n">
        <v>60</v>
      </c>
      <c r="H1433" s="48" t="n">
        <v>51.4</v>
      </c>
      <c r="I1433" s="48" t="inlineStr">
        <is>
          <t>Preparações antissolares e os bronzeadores</t>
        </is>
      </c>
      <c r="J1433" s="45" t="inlineStr">
        <is>
          <t>Lei nº 1.810/97, art. 49, § 1º, XXI; Convênio ICMS 45/99 (Dispositivo Legal: acrescentado pelo Decreto nº 15.295/2019. Efeitos a partir de 09.10.2019.)</t>
        </is>
      </c>
      <c r="K1433" s="100" t="n"/>
      <c r="L1433" s="29">
        <f>IF(D1433="NCM/SH","",COUNTIF($D$5:$D$1506,D1433))</f>
        <v/>
      </c>
    </row>
    <row r="1434" ht="15.75" customHeight="1" thickBot="1">
      <c r="A1434" s="1" t="inlineStr">
        <is>
          <t>29PortaPorta</t>
        </is>
      </c>
      <c r="B1434" s="46" t="inlineStr">
        <is>
          <t>11.0</t>
        </is>
      </c>
      <c r="C1434" s="48" t="inlineStr">
        <is>
          <t>28.011.00</t>
        </is>
      </c>
      <c r="D1434" s="48" t="inlineStr">
        <is>
          <t>3305.10.00</t>
        </is>
      </c>
      <c r="E1434" s="48" t="n">
        <v>37.63</v>
      </c>
      <c r="F1434" s="48" t="n">
        <v>65.16</v>
      </c>
      <c r="G1434" s="48" t="n">
        <v>60</v>
      </c>
      <c r="H1434" s="48" t="n">
        <v>51.4</v>
      </c>
      <c r="I1434" s="48" t="inlineStr">
        <is>
          <t>Xampus para o cabelo</t>
        </is>
      </c>
      <c r="J1434" s="45" t="inlineStr">
        <is>
          <t>Lei nº 1.810/97, art. 49, § 1º, XXI; Convênio ICMS 45/99 (Dispositivo Legal: acrescentado pelo Decreto nº 15.295/2019. Efeitos a partir de 09.10.2019.)</t>
        </is>
      </c>
      <c r="K1434" s="100" t="n"/>
      <c r="L1434" s="29">
        <f>IF(D1434="NCM/SH","",COUNTIF($D$5:$D$1506,D1434))</f>
        <v/>
      </c>
    </row>
    <row r="1435" ht="15.75" customHeight="1" thickBot="1">
      <c r="A1435" s="1" t="inlineStr">
        <is>
          <t>29PortaPorta</t>
        </is>
      </c>
      <c r="B1435" s="46" t="inlineStr">
        <is>
          <t>12.0</t>
        </is>
      </c>
      <c r="C1435" s="48" t="inlineStr">
        <is>
          <t>28.012.00</t>
        </is>
      </c>
      <c r="D1435" s="48" t="inlineStr">
        <is>
          <t>3305.20.00</t>
        </is>
      </c>
      <c r="E1435" s="48" t="n">
        <v>37.63</v>
      </c>
      <c r="F1435" s="48" t="n">
        <v>65.16</v>
      </c>
      <c r="G1435" s="48" t="n">
        <v>60</v>
      </c>
      <c r="H1435" s="48" t="n">
        <v>51.4</v>
      </c>
      <c r="I1435" s="48" t="inlineStr">
        <is>
          <t>Preparações para ondulação ou alisamento, permanentes, dos cabelos</t>
        </is>
      </c>
      <c r="J1435" s="45" t="inlineStr">
        <is>
          <t>Lei nº 1.810/97, art. 49, § 1º, XXI; Convênio ICMS 45/99 (Dispositivo Legal: acrescentado pelo Decreto nº 15.295/2019. Efeitos a partir de 09.10.2019.)</t>
        </is>
      </c>
      <c r="K1435" s="100" t="n"/>
      <c r="L1435" s="29">
        <f>IF(D1435="NCM/SH","",COUNTIF($D$5:$D$1506,D1435))</f>
        <v/>
      </c>
    </row>
    <row r="1436" ht="15.75" customHeight="1" thickBot="1">
      <c r="A1436" s="1" t="inlineStr">
        <is>
          <t>29PortaPorta</t>
        </is>
      </c>
      <c r="B1436" s="46" t="inlineStr">
        <is>
          <t>13.0</t>
        </is>
      </c>
      <c r="C1436" s="48" t="inlineStr">
        <is>
          <t>28.013.00</t>
        </is>
      </c>
      <c r="D1436" s="48" t="inlineStr">
        <is>
          <t>3305.90.00</t>
        </is>
      </c>
      <c r="E1436" s="48" t="n">
        <v>37.63</v>
      </c>
      <c r="F1436" s="48" t="n">
        <v>65.16</v>
      </c>
      <c r="G1436" s="48" t="n">
        <v>60</v>
      </c>
      <c r="H1436" s="48" t="n">
        <v>51.4</v>
      </c>
      <c r="I1436" s="48" t="inlineStr">
        <is>
          <t>Outras preparações capilares</t>
        </is>
      </c>
      <c r="J1436" s="45" t="inlineStr">
        <is>
          <t>Lei nº 1.810/97, art. 49, § 1º, XXI; Convênio ICMS 45/99 (Dispositivo Legal: acrescentado pelo Decreto nº 15.295/2019. Efeitos a partir de 09.10.2019.)</t>
        </is>
      </c>
      <c r="K1436" s="100" t="n"/>
      <c r="L1436" s="29">
        <f>IF(D1436="NCM/SH","",COUNTIF($D$5:$D$1506,D1436))</f>
        <v/>
      </c>
    </row>
    <row r="1437" ht="15.75" customHeight="1" thickBot="1">
      <c r="A1437" s="1" t="inlineStr">
        <is>
          <t>29PortaPorta</t>
        </is>
      </c>
      <c r="B1437" s="46" t="inlineStr">
        <is>
          <t>14.0</t>
        </is>
      </c>
      <c r="C1437" s="48" t="inlineStr">
        <is>
          <t>28.014.00</t>
        </is>
      </c>
      <c r="D1437" s="48" t="inlineStr">
        <is>
          <t>3305.90.00</t>
        </is>
      </c>
      <c r="E1437" s="48" t="n">
        <v>37.63</v>
      </c>
      <c r="F1437" s="48" t="n">
        <v>65.16</v>
      </c>
      <c r="G1437" s="48" t="n">
        <v>60</v>
      </c>
      <c r="H1437" s="48" t="n">
        <v>51.4</v>
      </c>
      <c r="I1437" s="48" t="inlineStr">
        <is>
          <t>Tintura para o cabelo</t>
        </is>
      </c>
      <c r="J1437" s="45" t="inlineStr">
        <is>
          <t>Lei nº 1.810/97, art. 49, § 1º, XXI; Convênio ICMS 45/99 (Dispositivo Legal: acrescentado pelo Decreto nº 15.295/2019. Efeitos a partir de 09.10.2019.)</t>
        </is>
      </c>
      <c r="K1437" s="100" t="n"/>
      <c r="L1437" s="29">
        <f>IF(D1437="NCM/SH","",COUNTIF($D$5:$D$1506,D1437))</f>
        <v/>
      </c>
    </row>
    <row r="1438" ht="15.75" customHeight="1" thickBot="1">
      <c r="A1438" s="1" t="inlineStr">
        <is>
          <t>29PortaPorta</t>
        </is>
      </c>
      <c r="B1438" s="46" t="inlineStr">
        <is>
          <t>15.0</t>
        </is>
      </c>
      <c r="C1438" s="48" t="inlineStr">
        <is>
          <t>28.015.00</t>
        </is>
      </c>
      <c r="D1438" s="48" t="inlineStr">
        <is>
          <t>3307.10.00</t>
        </is>
      </c>
      <c r="E1438" s="48" t="n">
        <v>37.63</v>
      </c>
      <c r="F1438" s="48" t="n">
        <v>65.16</v>
      </c>
      <c r="G1438" s="48" t="n">
        <v>60</v>
      </c>
      <c r="H1438" s="48" t="n">
        <v>51.4</v>
      </c>
      <c r="I1438" s="48" t="inlineStr">
        <is>
          <t>Preparações para barbear (antes, durante ou após)</t>
        </is>
      </c>
      <c r="J1438" s="45" t="inlineStr">
        <is>
          <t>Lei nº 1.810/97, art. 49, § 1º, XXI; Convênio ICMS 45/99 (Dispositivo Legal: acrescentado pelo Decreto nº 15.295/2019. Efeitos a partir de 09.10.2019.)</t>
        </is>
      </c>
      <c r="K1438" s="100" t="n"/>
      <c r="L1438" s="29">
        <f>IF(D1438="NCM/SH","",COUNTIF($D$5:$D$1506,D1438))</f>
        <v/>
      </c>
    </row>
    <row r="1439" ht="15.75" customHeight="1" thickBot="1">
      <c r="A1439" s="1" t="inlineStr">
        <is>
          <t>29PortaPorta</t>
        </is>
      </c>
      <c r="B1439" s="46" t="inlineStr">
        <is>
          <t>16.0</t>
        </is>
      </c>
      <c r="C1439" s="48" t="inlineStr">
        <is>
          <t>28.016.00</t>
        </is>
      </c>
      <c r="D1439" s="48" t="inlineStr">
        <is>
          <t>3307.20.10</t>
        </is>
      </c>
      <c r="E1439" s="48" t="n">
        <v>37.63</v>
      </c>
      <c r="F1439" s="48" t="n">
        <v>65.16</v>
      </c>
      <c r="G1439" s="48" t="n">
        <v>60</v>
      </c>
      <c r="H1439" s="48" t="n">
        <v>51.4</v>
      </c>
      <c r="I1439" s="35" t="inlineStr">
        <is>
          <t>Desodorantes (desodorizantes) corporais líquidos, exceto os classificados no CEST 28.016.01</t>
        </is>
      </c>
      <c r="J1439" s="45" t="inlineStr">
        <is>
          <t>Lei nº 1.810/97, art. 49, § 1º, XXI; Convênio ICMS 45/99 (Dispositivo Legal: acrescentado pelo Decreto nº 15.295/2019. Efeitos a partir de 09.10.2019.)</t>
        </is>
      </c>
      <c r="K1439" s="49" t="inlineStr">
        <is>
          <t>(Item 16.0: nova redação dada pelo Decreto nº 15.295/2019. Efeitos a partir de 1º.09.2019.)</t>
        </is>
      </c>
      <c r="L1439" s="29">
        <f>IF(D1439="NCM/SH","",COUNTIF($D$5:$D$1506,D1439))</f>
        <v/>
      </c>
    </row>
    <row r="1440" ht="15.75" customHeight="1" thickBot="1">
      <c r="A1440" s="1" t="inlineStr">
        <is>
          <t>29PortaPorta</t>
        </is>
      </c>
      <c r="B1440" s="46" t="inlineStr">
        <is>
          <t>16.1</t>
        </is>
      </c>
      <c r="C1440" s="48" t="inlineStr">
        <is>
          <t>28.016.01</t>
        </is>
      </c>
      <c r="D1440" s="48" t="inlineStr">
        <is>
          <t>3307.20.10</t>
        </is>
      </c>
      <c r="E1440" s="48" t="n">
        <v>37.63</v>
      </c>
      <c r="F1440" s="48" t="n">
        <v>65.16</v>
      </c>
      <c r="G1440" s="48" t="n">
        <v>60</v>
      </c>
      <c r="H1440" s="48" t="n">
        <v>51.4</v>
      </c>
      <c r="I1440" s="35" t="inlineStr">
        <is>
          <t>Loções e óleos desodorantes hidratantes líquidos</t>
        </is>
      </c>
      <c r="J1440" s="45" t="inlineStr">
        <is>
          <t>Lei nº 1.810/97, art. 49, § 1º, XXI; Convênio ICMS 45/99 (Dispositivo Legal: acrescentado pelo Decreto nº 15.295/2019. Efeitos a partir de 09.10.2019.)</t>
        </is>
      </c>
      <c r="K1440" s="49" t="inlineStr">
        <is>
          <t>(Item 16.1: acrescentado pelo Decreto pelo Decreto nº 15.295/2019. Efeitos a partir de 1º.09.2019.)</t>
        </is>
      </c>
      <c r="L1440" s="29">
        <f>IF(D1440="NCM/SH","",COUNTIF($D$5:$D$1506,D1440))</f>
        <v/>
      </c>
    </row>
    <row r="1441" ht="15.75" customHeight="1" thickBot="1">
      <c r="A1441" s="1" t="inlineStr">
        <is>
          <t>29PortaPorta</t>
        </is>
      </c>
      <c r="B1441" s="46" t="inlineStr">
        <is>
          <t>16.2</t>
        </is>
      </c>
      <c r="C1441" s="48" t="inlineStr">
        <is>
          <t>28.016.02</t>
        </is>
      </c>
      <c r="D1441" s="48" t="inlineStr">
        <is>
          <t>3307.20.10</t>
        </is>
      </c>
      <c r="E1441" s="48" t="n">
        <v>37.63</v>
      </c>
      <c r="F1441" s="48" t="n">
        <v>65.16</v>
      </c>
      <c r="G1441" s="48" t="n">
        <v>60</v>
      </c>
      <c r="H1441" s="48" t="n">
        <v>51.4</v>
      </c>
      <c r="I1441" s="35" t="inlineStr">
        <is>
          <t>Antiperspirantes líquidos</t>
        </is>
      </c>
      <c r="J1441" s="45" t="inlineStr">
        <is>
          <t>Lei nº 1.810/97, art. 49, § 1º, XXI; Convênio ICMS 45/99 (Dispositivo Legal: acrescentado pelo Decreto nº 15.295/2019. Efeitos a partir de 09.10.2019.)</t>
        </is>
      </c>
      <c r="K1441" s="49" t="inlineStr">
        <is>
          <t>(Item 16.2: acrescentado pelo Decreto pelo Decreto nº 15.295/2019. Efeitos a partir de 1º.09.2019.)</t>
        </is>
      </c>
      <c r="L1441" s="29">
        <f>IF(D1441="NCM/SH","",COUNTIF($D$5:$D$1506,D1441))</f>
        <v/>
      </c>
    </row>
    <row r="1442" ht="15.75" customHeight="1" thickBot="1">
      <c r="A1442" s="1" t="inlineStr">
        <is>
          <t>29PortaPorta</t>
        </is>
      </c>
      <c r="B1442" s="46" t="inlineStr">
        <is>
          <t>17.0</t>
        </is>
      </c>
      <c r="C1442" s="48" t="inlineStr">
        <is>
          <t>28.017.00</t>
        </is>
      </c>
      <c r="D1442" s="48" t="inlineStr">
        <is>
          <t>3307.20.90</t>
        </is>
      </c>
      <c r="E1442" s="48" t="n">
        <v>37.63</v>
      </c>
      <c r="F1442" s="48" t="n">
        <v>65.16</v>
      </c>
      <c r="G1442" s="48" t="n">
        <v>60</v>
      </c>
      <c r="H1442" s="48" t="n">
        <v>51.4</v>
      </c>
      <c r="I1442" s="48" t="inlineStr">
        <is>
          <t>Outros desodorantes (desodorizantes) corporais, exceto os classificados no CEST 28.017.01</t>
        </is>
      </c>
      <c r="J1442" s="45" t="inlineStr">
        <is>
          <t>Lei nº 1.810/97, art. 49, § 1º, XXI; Convênio ICMS 45/99 (Dispositivo Legal: acrescentado pelo Decreto nº 15.295/2019. Efeitos a partir de 09.10.2019.)</t>
        </is>
      </c>
      <c r="K1442" s="49" t="inlineStr">
        <is>
          <t>(Item 17.0: nova redação dada pelo Decreto nº 15.295/2019. Efeitos a partir de 1º.09.2019.)</t>
        </is>
      </c>
      <c r="L1442" s="29">
        <f>IF(D1442="NCM/SH","",COUNTIF($D$5:$D$1506,D1442))</f>
        <v/>
      </c>
    </row>
    <row r="1443" ht="15.75" customHeight="1" thickBot="1">
      <c r="A1443" s="1" t="inlineStr">
        <is>
          <t>29PortaPorta</t>
        </is>
      </c>
      <c r="B1443" s="46" t="inlineStr">
        <is>
          <t>17.1</t>
        </is>
      </c>
      <c r="C1443" s="48" t="inlineStr">
        <is>
          <t>28.017.01</t>
        </is>
      </c>
      <c r="D1443" s="48" t="inlineStr">
        <is>
          <t>3307.20.90</t>
        </is>
      </c>
      <c r="E1443" s="48" t="n">
        <v>37.63</v>
      </c>
      <c r="F1443" s="48" t="n">
        <v>65.16</v>
      </c>
      <c r="G1443" s="48" t="n">
        <v>60</v>
      </c>
      <c r="H1443" s="48" t="n">
        <v>51.4</v>
      </c>
      <c r="I1443" s="35" t="inlineStr">
        <is>
          <t>Outras loções e óleos desodorantes hidratantes</t>
        </is>
      </c>
      <c r="J1443" s="45" t="inlineStr">
        <is>
          <t>Lei nº 1.810/97, art. 49, § 1º, XXI; Convênio ICMS 45/99 (Dispositivo Legal: acrescentado pelo Decreto nº 15.295/2019. Efeitos a partir de 09.10.2019.)</t>
        </is>
      </c>
      <c r="K1443" s="49" t="inlineStr">
        <is>
          <t>(Item 17.1: acrescentado pelo Decreto pelo Decreto nº 15.295/2019. Efeitos a partir de 1º.09.2019.)</t>
        </is>
      </c>
      <c r="L1443" s="29">
        <f>IF(D1443="NCM/SH","",COUNTIF($D$5:$D$1506,D1443))</f>
        <v/>
      </c>
    </row>
    <row r="1444" ht="15.75" customHeight="1" thickBot="1">
      <c r="A1444" s="1" t="inlineStr">
        <is>
          <t>29PortaPorta</t>
        </is>
      </c>
      <c r="B1444" s="46" t="inlineStr">
        <is>
          <t>17.2</t>
        </is>
      </c>
      <c r="C1444" s="48" t="inlineStr">
        <is>
          <t>28.017.02</t>
        </is>
      </c>
      <c r="D1444" s="48" t="inlineStr">
        <is>
          <t>3307.20.90</t>
        </is>
      </c>
      <c r="E1444" s="48" t="n">
        <v>37.63</v>
      </c>
      <c r="F1444" s="48" t="n">
        <v>65.16</v>
      </c>
      <c r="G1444" s="48" t="n">
        <v>60</v>
      </c>
      <c r="H1444" s="48" t="n">
        <v>51.4</v>
      </c>
      <c r="I1444" s="35" t="inlineStr">
        <is>
          <t>Outros antiperspirantes</t>
        </is>
      </c>
      <c r="J1444" s="45" t="inlineStr">
        <is>
          <t>Lei nº 1.810/97, art. 49, § 1º, XXI; Convênio ICMS 45/99 (Dispositivo Legal: acrescentado pelo Decreto nº 15.295/2019. Efeitos a partir de 09.10.2019.)</t>
        </is>
      </c>
      <c r="K1444" s="49" t="inlineStr">
        <is>
          <t>(Item 17.2: acrescentado pelo Decreto pelo Decreto nº 15.295/2019. Efeitos a partir de 1º.09.2019.)</t>
        </is>
      </c>
      <c r="L1444" s="29">
        <f>IF(D1444="NCM/SH","",COUNTIF($D$5:$D$1506,D1444))</f>
        <v/>
      </c>
    </row>
    <row r="1445" ht="15.75" customHeight="1" thickBot="1">
      <c r="A1445" s="1" t="inlineStr">
        <is>
          <t>29PortaPorta</t>
        </is>
      </c>
      <c r="B1445" s="46" t="inlineStr">
        <is>
          <t>18.0</t>
        </is>
      </c>
      <c r="C1445" s="48" t="inlineStr">
        <is>
          <t>28.018.00</t>
        </is>
      </c>
      <c r="D1445" s="48" t="inlineStr">
        <is>
          <t>3307.90.00</t>
        </is>
      </c>
      <c r="E1445" s="48" t="n">
        <v>37.63</v>
      </c>
      <c r="F1445" s="48" t="n">
        <v>65.16</v>
      </c>
      <c r="G1445" s="48" t="n">
        <v>60</v>
      </c>
      <c r="H1445" s="48" t="n">
        <v>51.4</v>
      </c>
      <c r="I1445" s="48" t="inlineStr">
        <is>
          <t xml:space="preserve">Outros produtos de perfumaria ou de toucador preparados </t>
        </is>
      </c>
      <c r="J1445" s="45" t="inlineStr">
        <is>
          <t>Lei nº 1.810/97, art. 49, § 1º, XXI; Convênio ICMS 45/99 (Dispositivo Legal: acrescentado pelo Decreto nº 15.295/2019. Efeitos a partir de 09.10.2019.)</t>
        </is>
      </c>
      <c r="K1445" s="100" t="n"/>
      <c r="L1445" s="29">
        <f>IF(D1445="NCM/SH","",COUNTIF($D$5:$D$1506,D1445))</f>
        <v/>
      </c>
    </row>
    <row r="1446" ht="15.75" customHeight="1" thickBot="1">
      <c r="A1446" s="1" t="inlineStr">
        <is>
          <t>29PortaPorta</t>
        </is>
      </c>
      <c r="B1446" s="46" t="inlineStr">
        <is>
          <t>19.0</t>
        </is>
      </c>
      <c r="C1446" s="48" t="inlineStr">
        <is>
          <t>28.019.00</t>
        </is>
      </c>
      <c r="D1446" s="48" t="inlineStr">
        <is>
          <t>3307.90.00</t>
        </is>
      </c>
      <c r="E1446" s="48" t="n">
        <v>37.63</v>
      </c>
      <c r="F1446" s="48" t="n">
        <v>65.16</v>
      </c>
      <c r="G1446" s="48" t="n">
        <v>60</v>
      </c>
      <c r="H1446" s="48" t="n">
        <v>51.4</v>
      </c>
      <c r="I1446" s="48" t="inlineStr">
        <is>
          <t>Outras preparações cosméticas</t>
        </is>
      </c>
      <c r="J1446" s="45" t="inlineStr">
        <is>
          <t>Lei nº 1.810/97, art. 49, § 1º, XXI; Convênio ICMS 45/99 (Dispositivo Legal: acrescentado pelo Decreto nº 15.295/2019. Efeitos a partir de 09.10.2019.)</t>
        </is>
      </c>
      <c r="K1446" s="100" t="n"/>
      <c r="L1446" s="29">
        <f>IF(D1446="NCM/SH","",COUNTIF($D$5:$D$1506,D1446))</f>
        <v/>
      </c>
    </row>
    <row r="1447" ht="15.75" customHeight="1" thickBot="1">
      <c r="A1447" s="1" t="inlineStr">
        <is>
          <t>29PortaPorta</t>
        </is>
      </c>
      <c r="B1447" s="46" t="inlineStr">
        <is>
          <t>20.0</t>
        </is>
      </c>
      <c r="C1447" s="48" t="inlineStr">
        <is>
          <t>28.020.00</t>
        </is>
      </c>
      <c r="D1447" s="48" t="inlineStr">
        <is>
          <t>3401.11.90</t>
        </is>
      </c>
      <c r="E1447" s="48" t="n">
        <v>37.63</v>
      </c>
      <c r="F1447" s="48" t="n">
        <v>65.16</v>
      </c>
      <c r="G1447" s="48" t="n">
        <v>60</v>
      </c>
      <c r="H1447" s="48" t="n">
        <v>51.4</v>
      </c>
      <c r="I1447" s="35" t="inlineStr">
        <is>
          <t>Sabões de toucador em barras, pedaços ou figuras moldados, exceto CEST 28.020.01</t>
        </is>
      </c>
      <c r="J1447" s="45" t="inlineStr">
        <is>
          <t>Lei nº 1.810/97, art. 49, § 1º, XXI; Convênio ICMS 45/99 (Dispositivo Legal: acrescentado pelo Decreto nº 15.295/2019. Efeitos a partir de 09.10.2019.)</t>
        </is>
      </c>
      <c r="K1447" s="49" t="inlineStr">
        <is>
          <t>(Item 20.0: nova redação dada pelo Decreto nº 15.295/2019. Efeitos a partir de 09.10.2019.)</t>
        </is>
      </c>
      <c r="L1447" s="29">
        <f>IF(D1447="NCM/SH","",COUNTIF($D$5:$D$1506,D1447))</f>
        <v/>
      </c>
    </row>
    <row r="1448" ht="15.75" customHeight="1" thickBot="1">
      <c r="A1448" s="1" t="inlineStr">
        <is>
          <t>29PortaPorta</t>
        </is>
      </c>
      <c r="B1448" s="46" t="inlineStr">
        <is>
          <t>20.1</t>
        </is>
      </c>
      <c r="C1448" s="48" t="inlineStr">
        <is>
          <t>28.020.01</t>
        </is>
      </c>
      <c r="D1448" s="48" t="inlineStr">
        <is>
          <t>3401.11.90</t>
        </is>
      </c>
      <c r="E1448" s="48" t="n">
        <v>37.63</v>
      </c>
      <c r="F1448" s="48" t="n">
        <v>65.16</v>
      </c>
      <c r="G1448" s="48" t="n">
        <v>60</v>
      </c>
      <c r="H1448" s="48" t="n">
        <v>51.4</v>
      </c>
      <c r="I1448" s="35" t="inlineStr">
        <is>
          <t>Lenços umedecidos</t>
        </is>
      </c>
      <c r="J1448" s="45" t="inlineStr">
        <is>
          <t>Lei nº 1.810/97, art. 49, § 1º, XXI; Convênio ICMS 45/99 (Dispositivo Legal: acrescentado pelo Decreto nº 15.295/2019. Efeitos a partir de 09.10.2019.)</t>
        </is>
      </c>
      <c r="K1448" s="49" t="inlineStr">
        <is>
          <t>(Item 20.1: acrescentado pelo Decreto pelo Decreto nº 15.295/2019. Efeitos a partir de 09.10.2019.)</t>
        </is>
      </c>
      <c r="L1448" s="29">
        <f>IF(D1448="NCM/SH","",COUNTIF($D$5:$D$1506,D1448))</f>
        <v/>
      </c>
    </row>
    <row r="1449" ht="15.75" customHeight="1" thickBot="1">
      <c r="A1449" s="1" t="inlineStr">
        <is>
          <t>29PortaPorta</t>
        </is>
      </c>
      <c r="B1449" s="46" t="inlineStr">
        <is>
          <t>21.0</t>
        </is>
      </c>
      <c r="C1449" s="48" t="inlineStr">
        <is>
          <t>28.021.00</t>
        </is>
      </c>
      <c r="D1449" s="48" t="inlineStr">
        <is>
          <t>3401.19.00</t>
        </is>
      </c>
      <c r="E1449" s="48" t="n">
        <v>37.63</v>
      </c>
      <c r="F1449" s="48" t="n">
        <v>65.16</v>
      </c>
      <c r="G1449" s="48" t="n">
        <v>60</v>
      </c>
      <c r="H1449" s="48" t="n">
        <v>51.4</v>
      </c>
      <c r="I1449" s="48" t="inlineStr">
        <is>
          <t>Outros sabões, produtos e preparações orgânicos tensoativos, inclusive papel, pastas (ouates), feltros e falsos tecidos, impregnados, revestidos ou recobertos de sabão ou de detergentes</t>
        </is>
      </c>
      <c r="J1449" s="45" t="inlineStr">
        <is>
          <t>Lei nº 1.810/97, art. 49, § 1º, XXI; Convênio ICMS 45/99 (Dispositivo Legal: acrescentado pelo Decreto nº 15.295/2019. Efeitos a partir de 09.10.2019.)</t>
        </is>
      </c>
      <c r="K1449" s="100" t="n"/>
      <c r="L1449" s="29">
        <f>IF(D1449="NCM/SH","",COUNTIF($D$5:$D$1506,D1449))</f>
        <v/>
      </c>
    </row>
    <row r="1450" ht="15.75" customHeight="1" thickBot="1">
      <c r="A1450" s="1" t="inlineStr">
        <is>
          <t>29PortaPorta</t>
        </is>
      </c>
      <c r="B1450" s="46" t="inlineStr">
        <is>
          <t>22.0</t>
        </is>
      </c>
      <c r="C1450" s="48" t="inlineStr">
        <is>
          <t>28.022.00</t>
        </is>
      </c>
      <c r="D1450" s="48" t="inlineStr">
        <is>
          <t>3401.20.10</t>
        </is>
      </c>
      <c r="E1450" s="48" t="n">
        <v>37.63</v>
      </c>
      <c r="F1450" s="48" t="n">
        <v>65.16</v>
      </c>
      <c r="G1450" s="48" t="n">
        <v>60</v>
      </c>
      <c r="H1450" s="48" t="n">
        <v>51.4</v>
      </c>
      <c r="I1450" s="48" t="inlineStr">
        <is>
          <t>Sabões de toucador sob outras formas</t>
        </is>
      </c>
      <c r="J1450" s="45" t="inlineStr">
        <is>
          <t>Lei nº 1.810/97, art. 49, § 1º, XXI; Convênio ICMS 45/99 (Dispositivo Legal: acrescentado pelo Decreto nº 15.295/2019. Efeitos a partir de 09.10.2019.)</t>
        </is>
      </c>
      <c r="K1450" s="100" t="n"/>
      <c r="L1450" s="29">
        <f>IF(D1450="NCM/SH","",COUNTIF($D$5:$D$1506,D1450))</f>
        <v/>
      </c>
    </row>
    <row r="1451" ht="15.75" customHeight="1" thickBot="1">
      <c r="A1451" s="1" t="inlineStr">
        <is>
          <t>29PortaPorta</t>
        </is>
      </c>
      <c r="B1451" s="46" t="inlineStr">
        <is>
          <t>23.0</t>
        </is>
      </c>
      <c r="C1451" s="48" t="inlineStr">
        <is>
          <t>28.023.00</t>
        </is>
      </c>
      <c r="D1451" s="48" t="inlineStr">
        <is>
          <t>3401.30.00</t>
        </is>
      </c>
      <c r="E1451" s="48" t="n">
        <v>37.63</v>
      </c>
      <c r="F1451" s="48" t="n">
        <v>65.16</v>
      </c>
      <c r="G1451" s="48" t="n">
        <v>60</v>
      </c>
      <c r="H1451" s="48" t="n">
        <v>51.4</v>
      </c>
      <c r="I1451" s="48" t="inlineStr">
        <is>
          <t>Produtos e preparações orgânicos tensoativos para lavagem da pele, em forma de líquido ou de creme, acondicionados para venda a retalho, mesmo contendo sabão</t>
        </is>
      </c>
      <c r="J1451" s="46" t="inlineStr">
        <is>
          <t>Lei nº 1.810/97, art. 49, § 1º, XXI; Convênio ICMS 45/99 (Dispositivo Legal: acrescentado pelo Decreto nº 15.295/2019. Efeitos a partir de 09.10.2019.)</t>
        </is>
      </c>
      <c r="K1451" s="82" t="n"/>
      <c r="L1451" s="29">
        <f>IF(D1451="NCM/SH","",COUNTIF($D$5:$D$1506,D1451))</f>
        <v/>
      </c>
    </row>
    <row r="1452" ht="21" customHeight="1" thickBot="1">
      <c r="A1452" s="1" t="inlineStr">
        <is>
          <t>29PortaPorta</t>
        </is>
      </c>
      <c r="B1452" s="46" t="inlineStr">
        <is>
          <t>24.0</t>
        </is>
      </c>
      <c r="C1452" s="48" t="inlineStr">
        <is>
          <t>28.024.00</t>
        </is>
      </c>
      <c r="D1452" s="48" t="inlineStr">
        <is>
          <t>4818.20.00</t>
        </is>
      </c>
      <c r="E1452" s="48" t="n">
        <v>37.63</v>
      </c>
      <c r="F1452" s="48" t="n">
        <v>65.16</v>
      </c>
      <c r="G1452" s="48" t="n">
        <v>60</v>
      </c>
      <c r="H1452" s="48" t="n">
        <v>51.4</v>
      </c>
      <c r="I1452" s="48" t="inlineStr">
        <is>
          <t>Lenços de papel, incluindo os de desmaquiar</t>
        </is>
      </c>
      <c r="J1452" s="42" t="inlineStr">
        <is>
          <t>Lei nº 1.810/97, art. 49, § 1º, XXI; Convênio ICMS 45/99 (Dispositivo Legal: acrescentado pelo Decreto nº 15.295/2019. Efeitos a partir de 09.10.2019.)</t>
        </is>
      </c>
      <c r="K1452" s="81" t="n"/>
      <c r="L1452" s="29">
        <f>IF(D1452="NCM/SH","",COUNTIF($D$5:$D$1506,D1452))</f>
        <v/>
      </c>
    </row>
    <row r="1453" ht="15.75" customHeight="1" thickBot="1">
      <c r="A1453" s="1" t="inlineStr">
        <is>
          <t>29PortaPorta</t>
        </is>
      </c>
      <c r="B1453" s="46" t="inlineStr">
        <is>
          <t>24.1</t>
        </is>
      </c>
      <c r="C1453" s="48" t="inlineStr">
        <is>
          <t>28.024.01</t>
        </is>
      </c>
      <c r="D1453" s="48" t="inlineStr">
        <is>
          <t>4818.20.00</t>
        </is>
      </c>
      <c r="E1453" s="48" t="n">
        <v>37.63</v>
      </c>
      <c r="F1453" s="48" t="n">
        <v>65.16</v>
      </c>
      <c r="G1453" s="48" t="n">
        <v>60</v>
      </c>
      <c r="H1453" s="48" t="n">
        <v>51.4</v>
      </c>
      <c r="I1453" s="48" t="inlineStr">
        <is>
          <t>Toalhas de mão</t>
        </is>
      </c>
      <c r="J1453" s="45" t="inlineStr">
        <is>
          <t>Lei nº 1.810/97, art. 49, § 1º, XXI; Convênio ICMS 45/99 (Dispositivo Legal: acrescentado pelo Decreto nº 15.295/2019. Efeitos a partir de 09.10.2019.)</t>
        </is>
      </c>
      <c r="K1453" s="100" t="n"/>
      <c r="L1453" s="29">
        <f>IF(D1453="NCM/SH","",COUNTIF($D$5:$D$1506,D1453))</f>
        <v/>
      </c>
    </row>
    <row r="1454" ht="15.75" customHeight="1" thickBot="1">
      <c r="A1454" s="1" t="inlineStr">
        <is>
          <t>29PortaPorta</t>
        </is>
      </c>
      <c r="B1454" s="46" t="inlineStr">
        <is>
          <t>25.0</t>
        </is>
      </c>
      <c r="C1454" s="48" t="inlineStr">
        <is>
          <t>28.025.00</t>
        </is>
      </c>
      <c r="D1454" s="48" t="inlineStr">
        <is>
          <t>8214.10.00</t>
        </is>
      </c>
      <c r="E1454" s="48" t="n">
        <v>37.63</v>
      </c>
      <c r="F1454" s="48" t="n">
        <v>65.16</v>
      </c>
      <c r="G1454" s="48" t="n">
        <v>60</v>
      </c>
      <c r="H1454" s="48" t="n">
        <v>51.4</v>
      </c>
      <c r="I1454" s="48" t="inlineStr">
        <is>
          <t>Apontadores de lápis para maquiagem</t>
        </is>
      </c>
      <c r="J1454" s="45" t="inlineStr">
        <is>
          <t>Lei nº 1.810/97, art. 49, § 1º, XXI; Convênio ICMS 45/99 (Dispositivo Legal: acrescentado pelo Decreto nº 15.295/2019. Efeitos a partir de 09.10.2019.)</t>
        </is>
      </c>
      <c r="K1454" s="100" t="n"/>
      <c r="L1454" s="29">
        <f>IF(D1454="NCM/SH","",COUNTIF($D$5:$D$1506,D1454))</f>
        <v/>
      </c>
    </row>
    <row r="1455" ht="15.75" customHeight="1" thickBot="1">
      <c r="A1455" s="1" t="inlineStr">
        <is>
          <t>29PortaPorta</t>
        </is>
      </c>
      <c r="B1455" s="46" t="inlineStr">
        <is>
          <t>25.1</t>
        </is>
      </c>
      <c r="C1455" s="48" t="inlineStr">
        <is>
          <t>28.025.01</t>
        </is>
      </c>
      <c r="D1455" s="48" t="inlineStr">
        <is>
          <t>8214.10.00</t>
        </is>
      </c>
      <c r="E1455" s="48" t="n">
        <v>37.63</v>
      </c>
      <c r="F1455" s="48" t="n">
        <v>65.16</v>
      </c>
      <c r="G1455" s="48" t="n">
        <v>60</v>
      </c>
      <c r="H1455" s="48" t="n">
        <v>51.4</v>
      </c>
      <c r="I1455" s="48" t="inlineStr">
        <is>
          <t>Espátulas, abre-cartas e raspadeiras</t>
        </is>
      </c>
      <c r="J1455" s="45" t="inlineStr">
        <is>
          <t>Lei nº 1.810/97, art. 49, § 1º, XXI; Convênio ICMS 45/99 (Dispositivo Legal: acrescentado pelo Decreto nº 15.295/2019. Efeitos a partir de 09.10.2019.)</t>
        </is>
      </c>
      <c r="K1455" s="100" t="n"/>
      <c r="L1455" s="29">
        <f>IF(D1455="NCM/SH","",COUNTIF($D$5:$D$1506,D1455))</f>
        <v/>
      </c>
    </row>
    <row r="1456" ht="15.75" customHeight="1" thickBot="1">
      <c r="A1456" s="1" t="inlineStr">
        <is>
          <t>29PortaPorta</t>
        </is>
      </c>
      <c r="B1456" s="46" t="inlineStr">
        <is>
          <t>25.2</t>
        </is>
      </c>
      <c r="C1456" s="48" t="inlineStr">
        <is>
          <t>28.025.02</t>
        </is>
      </c>
      <c r="D1456" s="48" t="inlineStr">
        <is>
          <t>8214.10.00</t>
        </is>
      </c>
      <c r="E1456" s="48" t="n">
        <v>37.63</v>
      </c>
      <c r="F1456" s="48" t="n">
        <v>65.16</v>
      </c>
      <c r="G1456" s="48" t="n">
        <v>60</v>
      </c>
      <c r="H1456" s="48" t="n">
        <v>51.4</v>
      </c>
      <c r="I1456" s="48" t="inlineStr">
        <is>
          <t>Lâminas de espátulas, de abre-cartas, de raspadeiras e de apontadores de lápis</t>
        </is>
      </c>
      <c r="J1456" s="45" t="inlineStr">
        <is>
          <t>Lei nº 1.810/97, art. 49, § 1º, XXI; Convênio ICMS 45/99 (Dispositivo Legal: acrescentado pelo Decreto nº 15.295/2019. Efeitos a partir de 09.10.2019.)</t>
        </is>
      </c>
      <c r="K1456" s="100" t="n"/>
      <c r="L1456" s="29">
        <f>IF(D1456="NCM/SH","",COUNTIF($D$5:$D$1506,D1456))</f>
        <v/>
      </c>
    </row>
    <row r="1457" ht="15.75" customHeight="1" thickBot="1">
      <c r="A1457" s="1" t="inlineStr">
        <is>
          <t>29PortaPorta</t>
        </is>
      </c>
      <c r="B1457" s="46" t="inlineStr">
        <is>
          <t>26.0</t>
        </is>
      </c>
      <c r="C1457" s="48" t="inlineStr">
        <is>
          <t>28.026.00</t>
        </is>
      </c>
      <c r="D1457" s="48" t="inlineStr">
        <is>
          <t>8214.20.00</t>
        </is>
      </c>
      <c r="E1457" s="48" t="n">
        <v>37.63</v>
      </c>
      <c r="F1457" s="48" t="n">
        <v>65.16</v>
      </c>
      <c r="G1457" s="48" t="n">
        <v>60</v>
      </c>
      <c r="H1457" s="48" t="n">
        <v>51.4</v>
      </c>
      <c r="I1457" s="48" t="inlineStr">
        <is>
          <t>Utensílios e sortidos de utensílios de manicuros ou de pedicuros (incluindo as limas para unhas)</t>
        </is>
      </c>
      <c r="J1457" s="45" t="inlineStr">
        <is>
          <t>Lei nº 1.810/97, art. 49, § 1º, XXI; Convênio ICMS 45/99 (Dispositivo Legal: acrescentado pelo Decreto nº 15.295/2019. Efeitos a partir de 09.10.2019.)</t>
        </is>
      </c>
      <c r="K1457" s="100" t="n"/>
      <c r="L1457" s="29">
        <f>IF(D1457="NCM/SH","",COUNTIF($D$5:$D$1506,D1457))</f>
        <v/>
      </c>
    </row>
    <row r="1458" ht="15.75" customHeight="1" thickBot="1">
      <c r="A1458" s="1" t="inlineStr">
        <is>
          <t>29PortaPorta</t>
        </is>
      </c>
      <c r="B1458" s="46" t="inlineStr">
        <is>
          <t>27.0</t>
        </is>
      </c>
      <c r="C1458" s="48" t="inlineStr">
        <is>
          <t>28.027.00</t>
        </is>
      </c>
      <c r="D1458" s="48" t="inlineStr">
        <is>
          <t>9603.29.00</t>
        </is>
      </c>
      <c r="E1458" s="48" t="n">
        <v>37.63</v>
      </c>
      <c r="F1458" s="48" t="n">
        <v>65.16</v>
      </c>
      <c r="G1458" s="48" t="n">
        <v>60</v>
      </c>
      <c r="H1458" s="48" t="n">
        <v>51.4</v>
      </c>
      <c r="I1458" s="48" t="inlineStr">
        <is>
          <t>Escovas e pincéis de barba, escovas para cabelos, para cílios ou para unhas e outras escovas de toucador de pessoas</t>
        </is>
      </c>
      <c r="J1458" s="45" t="inlineStr">
        <is>
          <t>Lei nº 1.810/97, art. 49, § 1º, XXI; Convênio ICMS 45/99 (Dispositivo Legal: acrescentado pelo Decreto nº 15.295/2019. Efeitos a partir de 09.10.2019.)</t>
        </is>
      </c>
      <c r="K1458" s="100" t="n"/>
      <c r="L1458" s="29">
        <f>IF(D1458="NCM/SH","",COUNTIF($D$5:$D$1506,D1458))</f>
        <v/>
      </c>
    </row>
    <row r="1459" ht="15.75" customHeight="1" thickBot="1">
      <c r="A1459" s="1" t="inlineStr">
        <is>
          <t>29PortaPorta</t>
        </is>
      </c>
      <c r="B1459" s="46" t="inlineStr">
        <is>
          <t>27.1</t>
        </is>
      </c>
      <c r="C1459" s="48" t="inlineStr">
        <is>
          <t>28.027.01</t>
        </is>
      </c>
      <c r="D1459" s="48" t="inlineStr">
        <is>
          <t>9603.29.00</t>
        </is>
      </c>
      <c r="E1459" s="48" t="n">
        <v>37.63</v>
      </c>
      <c r="F1459" s="48" t="n">
        <v>65.16</v>
      </c>
      <c r="G1459" s="48" t="n">
        <v>60</v>
      </c>
      <c r="H1459" s="48" t="n">
        <v>51.4</v>
      </c>
      <c r="I1459" s="48" t="inlineStr">
        <is>
          <t>Vassouras e escovas, mesmo constituindo partes de máquinas, de aparelhos ou de veículos, vassouras mecânicas de uso manual não motorizadas, pincéis e espanadores; cabeças preparadas para escovas, pincéis e artigos semelhantes; bonecas e rolos para pintura; rodos de borracha ou de matérias flexíveis semelhantes, outros</t>
        </is>
      </c>
      <c r="J1459" s="45" t="inlineStr">
        <is>
          <t>Lei nº 1.810/97, art. 49, § 1º, XXI; Convênio ICMS 45/99 (Dispositivo Legal: acrescentado pelo Decreto nº 15.295/2019. Efeitos a partir de 09.10.2019.)</t>
        </is>
      </c>
      <c r="K1459" s="100" t="n"/>
      <c r="L1459" s="29">
        <f>IF(D1459="NCM/SH","",COUNTIF($D$5:$D$1506,D1459))</f>
        <v/>
      </c>
    </row>
    <row r="1460" ht="15.75" customHeight="1" thickBot="1">
      <c r="A1460" s="1" t="inlineStr">
        <is>
          <t>29PortaPorta</t>
        </is>
      </c>
      <c r="B1460" s="46" t="inlineStr">
        <is>
          <t>28.0</t>
        </is>
      </c>
      <c r="C1460" s="48" t="inlineStr">
        <is>
          <t>28.028.00</t>
        </is>
      </c>
      <c r="D1460" s="48" t="inlineStr">
        <is>
          <t>9603.30.00</t>
        </is>
      </c>
      <c r="E1460" s="48" t="n">
        <v>37.63</v>
      </c>
      <c r="F1460" s="48" t="n">
        <v>65.16</v>
      </c>
      <c r="G1460" s="48" t="n">
        <v>60</v>
      </c>
      <c r="H1460" s="48" t="n">
        <v>51.4</v>
      </c>
      <c r="I1460" s="48" t="inlineStr">
        <is>
          <t>Pincéis para aplicação de produtos cosméticos</t>
        </is>
      </c>
      <c r="J1460" s="45" t="inlineStr">
        <is>
          <t>Lei nº 1.810/97, art. 49, § 1º, XXI; Convênio ICMS 45/99 (Dispositivo Legal: acrescentado pelo Decreto nº 15.295/2019. Efeitos a partir de 09.10.2019.)</t>
        </is>
      </c>
      <c r="K1460" s="100" t="n"/>
      <c r="L1460" s="29">
        <f>IF(D1460="NCM/SH","",COUNTIF($D$5:$D$1506,D1460))</f>
        <v/>
      </c>
    </row>
    <row r="1461" ht="15.75" customHeight="1" thickBot="1">
      <c r="A1461" s="1" t="inlineStr">
        <is>
          <t>29PortaPorta</t>
        </is>
      </c>
      <c r="B1461" s="46" t="inlineStr">
        <is>
          <t>28.1</t>
        </is>
      </c>
      <c r="C1461" s="48" t="inlineStr">
        <is>
          <t>28.028.01</t>
        </is>
      </c>
      <c r="D1461" s="48" t="inlineStr">
        <is>
          <t>9603.30.00</t>
        </is>
      </c>
      <c r="E1461" s="48" t="n">
        <v>37.63</v>
      </c>
      <c r="F1461" s="48" t="n">
        <v>65.16</v>
      </c>
      <c r="G1461" s="48" t="n">
        <v>60</v>
      </c>
      <c r="H1461" s="48" t="n">
        <v>51.4</v>
      </c>
      <c r="I1461" s="48" t="inlineStr">
        <is>
          <t>Pincéis e escovas, para artistas e pincéis de escrever</t>
        </is>
      </c>
      <c r="J1461" s="45" t="inlineStr">
        <is>
          <t>Lei nº 1.810/97, art. 49, § 1º, XXI; Convênio ICMS 45/99 (Dispositivo Legal: acrescentado pelo Decreto nº 15.295/2019. Efeitos a partir de 09.10.2019.)</t>
        </is>
      </c>
      <c r="K1461" s="100" t="n"/>
      <c r="L1461" s="29">
        <f>IF(D1461="NCM/SH","",COUNTIF($D$5:$D$1506,D1461))</f>
        <v/>
      </c>
    </row>
    <row r="1462" ht="15.75" customHeight="1" thickBot="1">
      <c r="A1462" s="1" t="inlineStr">
        <is>
          <t>29PortaPorta</t>
        </is>
      </c>
      <c r="B1462" s="46" t="inlineStr">
        <is>
          <t>29.0</t>
        </is>
      </c>
      <c r="C1462" s="48" t="inlineStr">
        <is>
          <t>28.029.00</t>
        </is>
      </c>
      <c r="D1462" s="48" t="inlineStr">
        <is>
          <t>9616.10.00</t>
        </is>
      </c>
      <c r="E1462" s="48" t="n">
        <v>37.63</v>
      </c>
      <c r="F1462" s="48" t="n">
        <v>65.16</v>
      </c>
      <c r="G1462" s="48" t="n">
        <v>60</v>
      </c>
      <c r="H1462" s="48" t="n">
        <v>51.4</v>
      </c>
      <c r="I1462" s="48" t="inlineStr">
        <is>
          <t>Vaporizadores de toucador, suas armações e cabeças de armações</t>
        </is>
      </c>
      <c r="J1462" s="45" t="inlineStr">
        <is>
          <t>Lei nº 1.810/97, art. 49, § 1º, XXI; Convênio ICMS 45/99 (Dispositivo Legal: acrescentado pelo Decreto nº 15.295/2019. Efeitos a partir de 09.10.2019.)</t>
        </is>
      </c>
      <c r="K1462" s="100" t="n"/>
      <c r="L1462" s="29">
        <f>IF(D1462="NCM/SH","",COUNTIF($D$5:$D$1506,D1462))</f>
        <v/>
      </c>
    </row>
    <row r="1463" ht="15.75" customHeight="1" thickBot="1">
      <c r="A1463" s="1" t="inlineStr">
        <is>
          <t>29PortaPorta</t>
        </is>
      </c>
      <c r="B1463" s="46" t="inlineStr">
        <is>
          <t>30.0</t>
        </is>
      </c>
      <c r="C1463" s="48" t="inlineStr">
        <is>
          <t>28.030.00</t>
        </is>
      </c>
      <c r="D1463" s="48" t="inlineStr">
        <is>
          <t>9616.20.00</t>
        </is>
      </c>
      <c r="E1463" s="48" t="n">
        <v>37.63</v>
      </c>
      <c r="F1463" s="48" t="n">
        <v>65.16</v>
      </c>
      <c r="G1463" s="48" t="n">
        <v>60</v>
      </c>
      <c r="H1463" s="48" t="n">
        <v>51.4</v>
      </c>
      <c r="I1463" s="48" t="inlineStr">
        <is>
          <t>Borlas ou esponjas para pós ou para aplicação de outros cosméticos ou de produtos de toucador</t>
        </is>
      </c>
      <c r="J1463" s="45" t="inlineStr">
        <is>
          <t>Lei nº 1.810/97, art. 49, § 1º, XXI; Convênio ICMS 45/99 (Dispositivo Legal: acrescentado pelo Decreto nº 15.295/2019. Efeitos a partir de 09.10.2019.)</t>
        </is>
      </c>
      <c r="K1463" s="100" t="n"/>
      <c r="L1463" s="29">
        <f>IF(D1463="NCM/SH","",COUNTIF($D$5:$D$1506,D1463))</f>
        <v/>
      </c>
    </row>
    <row r="1464" ht="15.75" customHeight="1" thickBot="1">
      <c r="A1464" s="1" t="inlineStr">
        <is>
          <t>29PortaPorta</t>
        </is>
      </c>
      <c r="B1464" s="46" t="inlineStr">
        <is>
          <t>31.0</t>
        </is>
      </c>
      <c r="C1464" s="48" t="inlineStr">
        <is>
          <t>28.031.00</t>
        </is>
      </c>
      <c r="D1464" s="48" t="inlineStr">
        <is>
          <t>4202.1</t>
        </is>
      </c>
      <c r="E1464" s="48" t="n">
        <v>37.63</v>
      </c>
      <c r="F1464" s="48" t="n">
        <v>65.16</v>
      </c>
      <c r="G1464" s="48" t="n">
        <v>60</v>
      </c>
      <c r="H1464" s="48" t="n">
        <v>51.4</v>
      </c>
      <c r="I1464" s="48" t="inlineStr">
        <is>
          <t>Malas e maletas de toucador</t>
        </is>
      </c>
      <c r="J1464" s="46" t="inlineStr">
        <is>
          <t>Lei nº 1.810/97, art. 49, § 1º, XXI; Convênio ICMS 45/99 (Dispositivo Legal: acrescentado pelo Decreto nº 15.295/2019. Efeitos a partir de 09.10.2019.)</t>
        </is>
      </c>
      <c r="K1464" s="82" t="n"/>
      <c r="L1464" s="29">
        <f>IF(D1464="NCM/SH","",COUNTIF($D$5:$D$1506,D1464))</f>
        <v/>
      </c>
    </row>
    <row r="1465" ht="15.75" customHeight="1" thickBot="1">
      <c r="A1465" s="1" t="inlineStr">
        <is>
          <t>29PortaPorta</t>
        </is>
      </c>
      <c r="B1465" s="46" t="inlineStr">
        <is>
          <t>32.0</t>
        </is>
      </c>
      <c r="C1465" s="48" t="inlineStr">
        <is>
          <t>28.032.00</t>
        </is>
      </c>
      <c r="D1465" s="48" t="n">
        <v>9615</v>
      </c>
      <c r="E1465" s="48" t="n">
        <v>37.63</v>
      </c>
      <c r="F1465" s="48" t="n">
        <v>65.16</v>
      </c>
      <c r="G1465" s="48" t="n">
        <v>60</v>
      </c>
      <c r="H1465" s="48" t="n">
        <v>51.4</v>
      </c>
      <c r="I1465" s="48" t="inlineStr">
        <is>
          <t>Pentes, travessas para cabelo e artigos semelhantes; grampos (alfinetes) para cabelo; pinças (“pinceguiches”), onduladores, bobs (rolos) e artefatos semelhantes para penteados, e suas partes</t>
        </is>
      </c>
      <c r="J1465" s="42" t="inlineStr">
        <is>
          <t>Lei nº 1.810/97, art. 49, § 1º, XXI; Convênio ICMS 45/99 (Dispositivo Legal: acrescentado pelo Decreto nº 15.295/2019. Efeitos a partir de 09.10.2019.)</t>
        </is>
      </c>
      <c r="K1465" s="81" t="n"/>
      <c r="L1465" s="29">
        <f>IF(D1465="NCM/SH","",COUNTIF($D$5:$D$1506,D1465))</f>
        <v/>
      </c>
    </row>
    <row r="1466">
      <c r="A1466" s="1" t="inlineStr">
        <is>
          <t>29PortaPorta</t>
        </is>
      </c>
      <c r="B1466" s="42" t="inlineStr">
        <is>
          <t>33.0</t>
        </is>
      </c>
      <c r="C1466" s="42" t="inlineStr">
        <is>
          <t>28.033.00</t>
        </is>
      </c>
      <c r="D1466" s="38" t="inlineStr">
        <is>
          <t>3923.30.00</t>
        </is>
      </c>
      <c r="E1466" s="42" t="n">
        <v>37.63</v>
      </c>
      <c r="F1466" s="42" t="n">
        <v>65.16</v>
      </c>
      <c r="G1466" s="42" t="n">
        <v>60</v>
      </c>
      <c r="H1466" s="42" t="n">
        <v>51.4</v>
      </c>
      <c r="I1466" s="42" t="inlineStr">
        <is>
          <t>Mamadeiras</t>
        </is>
      </c>
      <c r="J1466" s="45" t="inlineStr">
        <is>
          <t>Lei nº 1.810/97, art. 49, § 1º, XXI; Convênio ICMS 45/99 (Dispositivo Legal: acrescentado pelo Decreto nº 15.295/2019. Efeitos a partir de 09.10.2019.)</t>
        </is>
      </c>
      <c r="K1466" s="100" t="n"/>
      <c r="L1466" s="29">
        <f>IF(D1466="NCM/SH","",COUNTIF($D$5:$D$1506,D1466))</f>
        <v/>
      </c>
    </row>
    <row r="1467">
      <c r="A1467" s="1" t="inlineStr">
        <is>
          <t>29PortaPorta</t>
        </is>
      </c>
      <c r="B1467" s="45" t="n">
        <v>33</v>
      </c>
      <c r="C1467" s="45" t="inlineStr">
        <is>
          <t>28.033.00</t>
        </is>
      </c>
      <c r="D1467" s="38" t="inlineStr">
        <is>
          <t>3924.90.00</t>
        </is>
      </c>
      <c r="E1467" s="45" t="n">
        <v>37.63</v>
      </c>
      <c r="F1467" s="45" t="n">
        <v>65.16</v>
      </c>
      <c r="G1467" s="45" t="n">
        <v>60</v>
      </c>
      <c r="H1467" s="45" t="n">
        <v>51.4</v>
      </c>
      <c r="I1467" s="45" t="inlineStr">
        <is>
          <t>Mamadeiras</t>
        </is>
      </c>
      <c r="J1467" s="45" t="inlineStr">
        <is>
          <t>Lei nº 1.810/97, art. 49, § 1º, XXI; Convênio ICMS 45/99 (Dispositivo Legal: acrescentado pelo Decreto nº 15.295/2019. Efeitos a partir de 09.10.2019.)</t>
        </is>
      </c>
      <c r="K1467" s="100" t="n"/>
      <c r="L1467" s="29">
        <f>IF(D1467="NCM/SH","",COUNTIF($D$5:$D$1506,D1467))</f>
        <v/>
      </c>
    </row>
    <row r="1468">
      <c r="A1468" s="1" t="inlineStr">
        <is>
          <t>29PortaPorta</t>
        </is>
      </c>
      <c r="B1468" s="45" t="n">
        <v>33</v>
      </c>
      <c r="C1468" s="45" t="inlineStr">
        <is>
          <t>28.033.00</t>
        </is>
      </c>
      <c r="D1468" s="38" t="inlineStr">
        <is>
          <t>3924.10.00</t>
        </is>
      </c>
      <c r="E1468" s="45" t="n">
        <v>37.63</v>
      </c>
      <c r="F1468" s="45" t="n">
        <v>65.16</v>
      </c>
      <c r="G1468" s="45" t="n">
        <v>60</v>
      </c>
      <c r="H1468" s="45" t="n">
        <v>51.4</v>
      </c>
      <c r="I1468" s="45" t="inlineStr">
        <is>
          <t>Mamadeiras</t>
        </is>
      </c>
      <c r="J1468" s="45" t="inlineStr">
        <is>
          <t>Lei nº 1.810/97, art. 49, § 1º, XXI; Convênio ICMS 45/99 (Dispositivo Legal: acrescentado pelo Decreto nº 15.295/2019. Efeitos a partir de 09.10.2019.)</t>
        </is>
      </c>
      <c r="K1468" s="100" t="n"/>
      <c r="L1468" s="29">
        <f>IF(D1468="NCM/SH","",COUNTIF($D$5:$D$1506,D1468))</f>
        <v/>
      </c>
    </row>
    <row r="1469" ht="15.75" customHeight="1" thickBot="1">
      <c r="A1469" s="1" t="inlineStr">
        <is>
          <t>29PortaPorta</t>
        </is>
      </c>
      <c r="B1469" s="46" t="n">
        <v>33</v>
      </c>
      <c r="C1469" s="46" t="inlineStr">
        <is>
          <t>28.033.00</t>
        </is>
      </c>
      <c r="D1469" s="48" t="inlineStr">
        <is>
          <t>4014.90.90  7010.20.00</t>
        </is>
      </c>
      <c r="E1469" s="46" t="n">
        <v>37.63</v>
      </c>
      <c r="F1469" s="46" t="n">
        <v>65.16</v>
      </c>
      <c r="G1469" s="46" t="n">
        <v>60</v>
      </c>
      <c r="H1469" s="46" t="n">
        <v>51.4</v>
      </c>
      <c r="I1469" s="46" t="inlineStr">
        <is>
          <t>Mamadeiras</t>
        </is>
      </c>
      <c r="J1469" s="45" t="inlineStr">
        <is>
          <t>Lei nº 1.810/97, art. 49, § 1º, XXI; Convênio ICMS 45/99 (Dispositivo Legal: acrescentado pelo Decreto nº 15.295/2019. Efeitos a partir de 09.10.2019.)</t>
        </is>
      </c>
      <c r="K1469" s="100" t="n"/>
      <c r="L1469" s="29">
        <f>IF(D1469="NCM/SH","",COUNTIF($D$5:$D$1506,D1469))</f>
        <v/>
      </c>
    </row>
    <row r="1470" ht="15.75" customHeight="1" thickBot="1">
      <c r="A1470" s="1" t="inlineStr">
        <is>
          <t>29PortaPorta</t>
        </is>
      </c>
      <c r="B1470" s="46" t="inlineStr">
        <is>
          <t>34.0</t>
        </is>
      </c>
      <c r="C1470" s="48" t="inlineStr">
        <is>
          <t>28.034.00</t>
        </is>
      </c>
      <c r="D1470" s="48" t="inlineStr">
        <is>
          <t>4014.90.90</t>
        </is>
      </c>
      <c r="E1470" s="48" t="n">
        <v>37.63</v>
      </c>
      <c r="F1470" s="48" t="n">
        <v>65.16</v>
      </c>
      <c r="G1470" s="48" t="n">
        <v>60</v>
      </c>
      <c r="H1470" s="48" t="n">
        <v>51.4</v>
      </c>
      <c r="I1470" s="48" t="inlineStr">
        <is>
          <t>Chupetas e bicos para mamadeiras e para chupetas</t>
        </is>
      </c>
      <c r="J1470" s="45" t="inlineStr">
        <is>
          <t>Lei nº 1.810/97, art. 49, § 1º, XXI; Convênio ICMS 45/99 (Dispositivo Legal: acrescentado pelo Decreto nº 15.295/2019. Efeitos a partir de 09.10.2019.)</t>
        </is>
      </c>
      <c r="K1470" s="100" t="n"/>
      <c r="L1470" s="29">
        <f>IF(D1470="NCM/SH","",COUNTIF($D$5:$D$1506,D1470))</f>
        <v/>
      </c>
    </row>
    <row r="1471" ht="15.75" customHeight="1" thickBot="1">
      <c r="A1471" s="1" t="inlineStr">
        <is>
          <t>29PortaPorta</t>
        </is>
      </c>
      <c r="B1471" s="46" t="inlineStr">
        <is>
          <t>35.0</t>
        </is>
      </c>
      <c r="C1471" s="48" t="inlineStr">
        <is>
          <t>28.035.00</t>
        </is>
      </c>
      <c r="D1471" s="48" t="inlineStr">
        <is>
          <t>1211.90.90</t>
        </is>
      </c>
      <c r="E1471" s="48" t="n">
        <v>37.63</v>
      </c>
      <c r="F1471" s="48" t="n">
        <v>65.16</v>
      </c>
      <c r="G1471" s="48" t="n">
        <v>60</v>
      </c>
      <c r="H1471" s="48" t="n">
        <v>51.4</v>
      </c>
      <c r="I1471" s="48" t="inlineStr">
        <is>
          <t>Outras plantas e partes, para perfumaria, medicina e semelhantes</t>
        </is>
      </c>
      <c r="J1471" s="45" t="inlineStr">
        <is>
          <t>Lei nº 1.810/97, art. 49, § 1º, XXI; Convênio ICMS 45/99 (Dispositivo Legal: acrescentado pelo Decreto nº 15.295/2019. Efeitos a partir de 09.10.2019.)</t>
        </is>
      </c>
      <c r="K1471" s="100" t="n"/>
      <c r="L1471" s="29">
        <f>IF(D1471="NCM/SH","",COUNTIF($D$5:$D$1506,D1471))</f>
        <v/>
      </c>
    </row>
    <row r="1472" ht="15.75" customHeight="1" thickBot="1">
      <c r="A1472" s="1" t="inlineStr">
        <is>
          <t>29PortaPorta</t>
        </is>
      </c>
      <c r="B1472" s="46" t="inlineStr">
        <is>
          <t>36.0</t>
        </is>
      </c>
      <c r="C1472" s="48" t="inlineStr">
        <is>
          <t>28.036.00</t>
        </is>
      </c>
      <c r="D1472" s="48" t="inlineStr">
        <is>
          <t>3926.20.00</t>
        </is>
      </c>
      <c r="E1472" s="48" t="n">
        <v>37.63</v>
      </c>
      <c r="F1472" s="48" t="n">
        <v>65.16</v>
      </c>
      <c r="G1472" s="48" t="n">
        <v>60</v>
      </c>
      <c r="H1472" s="48" t="n">
        <v>51.4</v>
      </c>
      <c r="I1472" s="48" t="inlineStr">
        <is>
          <t>Vestuário e seus acessórios, de plásticos, inclusive luvas</t>
        </is>
      </c>
      <c r="J1472" s="45" t="inlineStr">
        <is>
          <t>Lei nº 1.810/97, art. 49, § 1º, XXI; Convênio ICMS 45/99 (Dispositivo Legal: acrescentado pelo Decreto nº 15.295/2019. Efeitos a partir de 09.10.2019.)</t>
        </is>
      </c>
      <c r="K1472" s="100" t="n"/>
      <c r="L1472" s="29">
        <f>IF(D1472="NCM/SH","",COUNTIF($D$5:$D$1506,D1472))</f>
        <v/>
      </c>
    </row>
    <row r="1473" ht="15.75" customHeight="1" thickBot="1">
      <c r="A1473" s="1" t="inlineStr">
        <is>
          <t>29PortaPorta</t>
        </is>
      </c>
      <c r="B1473" s="46" t="inlineStr">
        <is>
          <t>37.0</t>
        </is>
      </c>
      <c r="C1473" s="48" t="inlineStr">
        <is>
          <t>28.037.00</t>
        </is>
      </c>
      <c r="D1473" s="48" t="inlineStr">
        <is>
          <t>3926.40.00</t>
        </is>
      </c>
      <c r="E1473" s="48" t="n">
        <v>37.63</v>
      </c>
      <c r="F1473" s="48" t="n">
        <v>65.16</v>
      </c>
      <c r="G1473" s="48" t="n">
        <v>60</v>
      </c>
      <c r="H1473" s="48" t="n">
        <v>51.4</v>
      </c>
      <c r="I1473" s="48" t="inlineStr">
        <is>
          <t>Estatuetas e outros objetos de ornamentação, de plásticos</t>
        </is>
      </c>
      <c r="J1473" s="45" t="inlineStr">
        <is>
          <t>Lei nº 1.810/97, art. 49, § 1º, XXI; Convênio ICMS 45/99 (Dispositivo Legal: acrescentado pelo Decreto nº 15.295/2019. Efeitos a partir de 09.10.2019.)</t>
        </is>
      </c>
      <c r="K1473" s="100" t="n"/>
      <c r="L1473" s="29">
        <f>IF(D1473="NCM/SH","",COUNTIF($D$5:$D$1506,D1473))</f>
        <v/>
      </c>
    </row>
    <row r="1474" ht="15.75" customHeight="1" thickBot="1">
      <c r="A1474" s="1" t="inlineStr">
        <is>
          <t>29PortaPorta</t>
        </is>
      </c>
      <c r="B1474" s="46" t="inlineStr">
        <is>
          <t>38.0</t>
        </is>
      </c>
      <c r="C1474" s="48" t="inlineStr">
        <is>
          <t>28.038.00</t>
        </is>
      </c>
      <c r="D1474" s="48" t="inlineStr">
        <is>
          <t>3926.90.90</t>
        </is>
      </c>
      <c r="E1474" s="48" t="n">
        <v>37.63</v>
      </c>
      <c r="F1474" s="48" t="n">
        <v>65.16</v>
      </c>
      <c r="G1474" s="48" t="n">
        <v>60</v>
      </c>
      <c r="H1474" s="48" t="n">
        <v>51.4</v>
      </c>
      <c r="I1474" s="48" t="inlineStr">
        <is>
          <t>Outras obras de plásticos</t>
        </is>
      </c>
      <c r="J1474" s="45" t="inlineStr">
        <is>
          <t>Lei nº 1.810/97, art. 49, § 1º, XXI; Convênio ICMS 45/99 (Dispositivo Legal: acrescentado pelo Decreto nº 15.295/2019. Efeitos a partir de 09.10.2019.)</t>
        </is>
      </c>
      <c r="K1474" s="100" t="n"/>
      <c r="L1474" s="29">
        <f>IF(D1474="NCM/SH","",COUNTIF($D$5:$D$1506,D1474))</f>
        <v/>
      </c>
    </row>
    <row r="1475" ht="15.75" customHeight="1" thickBot="1">
      <c r="A1475" s="1" t="inlineStr">
        <is>
          <t>29PortaPorta</t>
        </is>
      </c>
      <c r="B1475" s="46" t="inlineStr">
        <is>
          <t>39.0</t>
        </is>
      </c>
      <c r="C1475" s="48" t="inlineStr">
        <is>
          <t>28.039.00</t>
        </is>
      </c>
      <c r="D1475" s="48" t="inlineStr">
        <is>
          <t>4202.22.10</t>
        </is>
      </c>
      <c r="E1475" s="48" t="n">
        <v>37.63</v>
      </c>
      <c r="F1475" s="48" t="n">
        <v>65.16</v>
      </c>
      <c r="G1475" s="48" t="n">
        <v>60</v>
      </c>
      <c r="H1475" s="48" t="n">
        <v>51.4</v>
      </c>
      <c r="I1475" s="48" t="inlineStr">
        <is>
          <t>Bolsas de folhas de plástico</t>
        </is>
      </c>
      <c r="J1475" s="45" t="inlineStr">
        <is>
          <t>Lei nº 1.810/97, art. 49, § 1º, XXI; Convênio ICMS 45/99 (Dispositivo Legal: acrescentado pelo Decreto nº 15.295/2019. Efeitos a partir de 09.10.2019.)</t>
        </is>
      </c>
      <c r="K1475" s="100" t="n"/>
      <c r="L1475" s="29">
        <f>IF(D1475="NCM/SH","",COUNTIF($D$5:$D$1506,D1475))</f>
        <v/>
      </c>
    </row>
    <row r="1476" ht="15.75" customHeight="1" thickBot="1">
      <c r="A1476" s="1" t="inlineStr">
        <is>
          <t>29PortaPorta</t>
        </is>
      </c>
      <c r="B1476" s="46" t="inlineStr">
        <is>
          <t>40.0</t>
        </is>
      </c>
      <c r="C1476" s="48" t="inlineStr">
        <is>
          <t>28.040.00</t>
        </is>
      </c>
      <c r="D1476" s="48" t="inlineStr">
        <is>
          <t>4202.22.20</t>
        </is>
      </c>
      <c r="E1476" s="48" t="n">
        <v>37.63</v>
      </c>
      <c r="F1476" s="48" t="n">
        <v>65.16</v>
      </c>
      <c r="G1476" s="48" t="n">
        <v>60</v>
      </c>
      <c r="H1476" s="48" t="n">
        <v>51.4</v>
      </c>
      <c r="I1476" s="48" t="inlineStr">
        <is>
          <t>Bolsas de matérias têxteis</t>
        </is>
      </c>
      <c r="J1476" s="45" t="inlineStr">
        <is>
          <t>Lei nº 1.810/97, art. 49, § 1º, XXI; Convênio ICMS 45/99 (Dispositivo Legal: acrescentado pelo Decreto nº 15.295/2019. Efeitos a partir de 09.10.2019.)</t>
        </is>
      </c>
      <c r="K1476" s="100" t="n"/>
      <c r="L1476" s="29">
        <f>IF(D1476="NCM/SH","",COUNTIF($D$5:$D$1506,D1476))</f>
        <v/>
      </c>
    </row>
    <row r="1477" ht="15.75" customHeight="1" thickBot="1">
      <c r="A1477" s="1" t="inlineStr">
        <is>
          <t>29PortaPorta</t>
        </is>
      </c>
      <c r="B1477" s="46" t="inlineStr">
        <is>
          <t>41.0</t>
        </is>
      </c>
      <c r="C1477" s="48" t="inlineStr">
        <is>
          <t>28.041.00</t>
        </is>
      </c>
      <c r="D1477" s="48" t="inlineStr">
        <is>
          <t>4202.29.00</t>
        </is>
      </c>
      <c r="E1477" s="48" t="n">
        <v>37.63</v>
      </c>
      <c r="F1477" s="48" t="n">
        <v>65.16</v>
      </c>
      <c r="G1477" s="48" t="n">
        <v>60</v>
      </c>
      <c r="H1477" s="48" t="n">
        <v>51.4</v>
      </c>
      <c r="I1477" s="48" t="inlineStr">
        <is>
          <t>Bolsas de outras matérias</t>
        </is>
      </c>
      <c r="J1477" s="45" t="inlineStr">
        <is>
          <t>Lei nº 1.810/97, art. 49, § 1º, XXI; Convênio ICMS 45/99 (Dispositivo Legal: acrescentado pelo Decreto nº 15.295/2019. Efeitos a partir de 09.10.2019.)</t>
        </is>
      </c>
      <c r="K1477" s="100" t="n"/>
      <c r="L1477" s="29">
        <f>IF(D1477="NCM/SH","",COUNTIF($D$5:$D$1506,D1477))</f>
        <v/>
      </c>
    </row>
    <row r="1478" ht="15.75" customHeight="1" thickBot="1">
      <c r="A1478" s="1" t="inlineStr">
        <is>
          <t>29PortaPorta</t>
        </is>
      </c>
      <c r="B1478" s="46" t="inlineStr">
        <is>
          <t>42.0</t>
        </is>
      </c>
      <c r="C1478" s="48" t="inlineStr">
        <is>
          <t>28.042.00</t>
        </is>
      </c>
      <c r="D1478" s="48" t="inlineStr">
        <is>
          <t>4202.39.00</t>
        </is>
      </c>
      <c r="E1478" s="48" t="n">
        <v>37.63</v>
      </c>
      <c r="F1478" s="48" t="n">
        <v>65.16</v>
      </c>
      <c r="G1478" s="48" t="n">
        <v>60</v>
      </c>
      <c r="H1478" s="48" t="n">
        <v>51.4</v>
      </c>
      <c r="I1478" s="48" t="inlineStr">
        <is>
          <t>Artigos de bolsos/bolsas, de outras matérias</t>
        </is>
      </c>
      <c r="J1478" s="45" t="inlineStr">
        <is>
          <t>Lei nº 1.810/97, art. 49, § 1º, XXI; Convênio ICMS 45/99 (Dispositivo Legal: acrescentado pelo Decreto nº 15.295/2019. Efeitos a partir de 09.10.2019.)</t>
        </is>
      </c>
      <c r="K1478" s="100" t="n"/>
      <c r="L1478" s="29">
        <f>IF(D1478="NCM/SH","",COUNTIF($D$5:$D$1506,D1478))</f>
        <v/>
      </c>
    </row>
    <row r="1479" ht="15.75" customHeight="1" thickBot="1">
      <c r="A1479" s="1" t="inlineStr">
        <is>
          <t>29PortaPorta</t>
        </is>
      </c>
      <c r="B1479" s="46" t="inlineStr">
        <is>
          <t>43.0</t>
        </is>
      </c>
      <c r="C1479" s="48" t="inlineStr">
        <is>
          <t>28.043.00</t>
        </is>
      </c>
      <c r="D1479" s="48" t="inlineStr">
        <is>
          <t>4202.92.00</t>
        </is>
      </c>
      <c r="E1479" s="48" t="n">
        <v>37.63</v>
      </c>
      <c r="F1479" s="48" t="n">
        <v>65.16</v>
      </c>
      <c r="G1479" s="48" t="n">
        <v>60</v>
      </c>
      <c r="H1479" s="48" t="n">
        <v>51.4</v>
      </c>
      <c r="I1479" s="48" t="inlineStr">
        <is>
          <t>Outros artefatos, de folhas de plásticos ou matérias têxteis</t>
        </is>
      </c>
      <c r="J1479" s="45" t="inlineStr">
        <is>
          <t>Lei nº 1.810/97, art. 49, § 1º, XXI; Convênio ICMS 45/99 (Dispositivo Legal: acrescentado pelo Decreto nº 15.295/2019. Efeitos a partir de 09.10.2019.)</t>
        </is>
      </c>
      <c r="K1479" s="100" t="n"/>
      <c r="L1479" s="29">
        <f>IF(D1479="NCM/SH","",COUNTIF($D$5:$D$1506,D1479))</f>
        <v/>
      </c>
    </row>
    <row r="1480" ht="15.75" customHeight="1" thickBot="1">
      <c r="A1480" s="1" t="inlineStr">
        <is>
          <t>29PortaPorta</t>
        </is>
      </c>
      <c r="B1480" s="46" t="inlineStr">
        <is>
          <t>44.0</t>
        </is>
      </c>
      <c r="C1480" s="48" t="inlineStr">
        <is>
          <t>28.044.00</t>
        </is>
      </c>
      <c r="D1480" s="48" t="inlineStr">
        <is>
          <t>4202.99.00</t>
        </is>
      </c>
      <c r="E1480" s="48" t="n">
        <v>37.63</v>
      </c>
      <c r="F1480" s="48" t="n">
        <v>65.16</v>
      </c>
      <c r="G1480" s="48" t="n">
        <v>60</v>
      </c>
      <c r="H1480" s="48" t="n">
        <v>51.4</v>
      </c>
      <c r="I1480" s="48" t="inlineStr">
        <is>
          <t>Outros artefatos, de outras matérias</t>
        </is>
      </c>
      <c r="J1480" s="45" t="inlineStr">
        <is>
          <t>Lei nº 1.810/97, art. 49, § 1º, XXI; Convênio ICMS 45/99 (Dispositivo Legal: acrescentado pelo Decreto nº 15.295/2019. Efeitos a partir de 09.10.2019.)</t>
        </is>
      </c>
      <c r="K1480" s="100" t="n"/>
      <c r="L1480" s="29">
        <f>IF(D1480="NCM/SH","",COUNTIF($D$5:$D$1506,D1480))</f>
        <v/>
      </c>
    </row>
    <row r="1481" ht="15.75" customHeight="1" thickBot="1">
      <c r="A1481" s="1" t="inlineStr">
        <is>
          <t>29PortaPorta</t>
        </is>
      </c>
      <c r="B1481" s="46" t="inlineStr">
        <is>
          <t>45.0</t>
        </is>
      </c>
      <c r="C1481" s="48" t="inlineStr">
        <is>
          <t>28.045.00</t>
        </is>
      </c>
      <c r="D1481" s="48" t="inlineStr">
        <is>
          <t>4819.20.00</t>
        </is>
      </c>
      <c r="E1481" s="48" t="n">
        <v>37.63</v>
      </c>
      <c r="F1481" s="48" t="n">
        <v>65.16</v>
      </c>
      <c r="G1481" s="48" t="n">
        <v>60</v>
      </c>
      <c r="H1481" s="48" t="n">
        <v>51.4</v>
      </c>
      <c r="I1481" s="48" t="inlineStr">
        <is>
          <t>Caixas e cartonagens, dobráveis, de papel/cartão, não ondulados</t>
        </is>
      </c>
      <c r="J1481" s="45" t="inlineStr">
        <is>
          <t>Lei nº 1.810/97, art. 49, § 1º, XXI; Convênio ICMS 45/99 (Dispositivo Legal: acrescentado pelo Decreto nº 15.295/2019. Efeitos a partir de 09.10.2019.)</t>
        </is>
      </c>
      <c r="K1481" s="100" t="n"/>
      <c r="L1481" s="29">
        <f>IF(D1481="NCM/SH","",COUNTIF($D$5:$D$1506,D1481))</f>
        <v/>
      </c>
    </row>
    <row r="1482" ht="15.75" customHeight="1" thickBot="1">
      <c r="A1482" s="1" t="inlineStr">
        <is>
          <t>29PortaPorta</t>
        </is>
      </c>
      <c r="B1482" s="46" t="inlineStr">
        <is>
          <t>46.0</t>
        </is>
      </c>
      <c r="C1482" s="48" t="inlineStr">
        <is>
          <t>28.046.00</t>
        </is>
      </c>
      <c r="D1482" s="48" t="inlineStr">
        <is>
          <t>4819.40.00</t>
        </is>
      </c>
      <c r="E1482" s="48" t="n">
        <v>37.63</v>
      </c>
      <c r="F1482" s="48" t="n">
        <v>65.16</v>
      </c>
      <c r="G1482" s="48" t="n">
        <v>60</v>
      </c>
      <c r="H1482" s="48" t="n">
        <v>51.4</v>
      </c>
      <c r="I1482" s="48" t="inlineStr">
        <is>
          <t>Outros sacos, bolsas e cartuchos, de papel ou cartão</t>
        </is>
      </c>
      <c r="J1482" s="45" t="inlineStr">
        <is>
          <t>Lei nº 1.810/97, art. 49, § 1º, XXI; Convênio ICMS 45/99 (Dispositivo Legal: acrescentado pelo Decreto nº 15.295/2019. Efeitos a partir de 09.10.2019.)</t>
        </is>
      </c>
      <c r="K1482" s="100" t="n"/>
      <c r="L1482" s="29">
        <f>IF(D1482="NCM/SH","",COUNTIF($D$5:$D$1506,D1482))</f>
        <v/>
      </c>
    </row>
    <row r="1483" ht="15.75" customHeight="1" thickBot="1">
      <c r="A1483" s="1" t="inlineStr">
        <is>
          <t>29PortaPorta</t>
        </is>
      </c>
      <c r="B1483" s="46" t="inlineStr">
        <is>
          <t>47.0</t>
        </is>
      </c>
      <c r="C1483" s="48" t="inlineStr">
        <is>
          <t>28.047.00</t>
        </is>
      </c>
      <c r="D1483" s="48" t="inlineStr">
        <is>
          <t>4821.10.00</t>
        </is>
      </c>
      <c r="E1483" s="48" t="n">
        <v>37.63</v>
      </c>
      <c r="F1483" s="48" t="n">
        <v>65.16</v>
      </c>
      <c r="G1483" s="48" t="n">
        <v>60</v>
      </c>
      <c r="H1483" s="48" t="n">
        <v>51.4</v>
      </c>
      <c r="I1483" s="48" t="inlineStr">
        <is>
          <t>Etiquetas de papel ou cartão, impressas</t>
        </is>
      </c>
      <c r="J1483" s="46" t="inlineStr">
        <is>
          <t>Lei nº 1.810/97, art. 49, § 1º, XXI; Convênio ICMS 45/99 (Dispositivo Legal: acrescentado pelo Decreto nº 15.295/2019. Efeitos a partir de 09.10.2019.)</t>
        </is>
      </c>
      <c r="K1483" s="82" t="n"/>
      <c r="L1483" s="29">
        <f>IF(D1483="NCM/SH","",COUNTIF($D$5:$D$1506,D1483))</f>
        <v/>
      </c>
    </row>
    <row r="1484" ht="21" customHeight="1" thickBot="1">
      <c r="A1484" s="1" t="inlineStr">
        <is>
          <t>29PortaPorta</t>
        </is>
      </c>
      <c r="B1484" s="46" t="inlineStr">
        <is>
          <t>48.0</t>
        </is>
      </c>
      <c r="C1484" s="48" t="inlineStr">
        <is>
          <t>28.048.00</t>
        </is>
      </c>
      <c r="D1484" s="48" t="inlineStr">
        <is>
          <t>4911.10.90</t>
        </is>
      </c>
      <c r="E1484" s="48" t="n">
        <v>37.63</v>
      </c>
      <c r="F1484" s="48" t="n">
        <v>65.16</v>
      </c>
      <c r="G1484" s="48" t="n">
        <v>60</v>
      </c>
      <c r="H1484" s="48" t="n">
        <v>51.4</v>
      </c>
      <c r="I1484" s="48" t="inlineStr">
        <is>
          <t>Outros impressos publicitários, catálogos comerciais e semelhantes</t>
        </is>
      </c>
      <c r="J1484" s="42" t="inlineStr">
        <is>
          <t>Lei nº 1.810/97, art. 49, § 1º, XXI; Convênio ICMS 45/99 (Dispositivo Legal: acrescentado pelo Decreto nº 15.295/2019. Efeitos a partir de 09.10.2019.)</t>
        </is>
      </c>
      <c r="K1484" s="81" t="n"/>
      <c r="L1484" s="29">
        <f>IF(D1484="NCM/SH","",COUNTIF($D$5:$D$1506,D1484))</f>
        <v/>
      </c>
    </row>
    <row r="1485" ht="15.75" customHeight="1" thickBot="1">
      <c r="A1485" s="1" t="inlineStr">
        <is>
          <t>29PortaPorta</t>
        </is>
      </c>
      <c r="B1485" s="46" t="inlineStr">
        <is>
          <t>49.0</t>
        </is>
      </c>
      <c r="C1485" s="48" t="inlineStr">
        <is>
          <t>28.049.00</t>
        </is>
      </c>
      <c r="D1485" s="48" t="inlineStr">
        <is>
          <t>6115.99.00</t>
        </is>
      </c>
      <c r="E1485" s="48" t="n">
        <v>37.63</v>
      </c>
      <c r="F1485" s="48" t="n">
        <v>65.16</v>
      </c>
      <c r="G1485" s="48" t="n">
        <v>60</v>
      </c>
      <c r="H1485" s="48" t="n">
        <v>51.4</v>
      </c>
      <c r="I1485" s="48" t="inlineStr">
        <is>
          <t xml:space="preserve">Outras meias de malha de outras matérias têxteis </t>
        </is>
      </c>
      <c r="J1485" s="45" t="inlineStr">
        <is>
          <t>Lei nº 1.810/97, art. 49, § 1º, XXI; Convênio ICMS 45/99 (Dispositivo Legal: acrescentado pelo Decreto nº 15.295/2019. Efeitos a partir de 09.10.2019.)</t>
        </is>
      </c>
      <c r="K1485" s="100" t="n"/>
      <c r="L1485" s="29">
        <f>IF(D1485="NCM/SH","",COUNTIF($D$5:$D$1506,D1485))</f>
        <v/>
      </c>
    </row>
    <row r="1486" ht="15.75" customHeight="1" thickBot="1">
      <c r="A1486" s="1" t="inlineStr">
        <is>
          <t>29PortaPorta</t>
        </is>
      </c>
      <c r="B1486" s="46" t="inlineStr">
        <is>
          <t>50.0</t>
        </is>
      </c>
      <c r="C1486" s="48" t="inlineStr">
        <is>
          <t>28.050.00</t>
        </is>
      </c>
      <c r="D1486" s="48" t="inlineStr">
        <is>
          <t>6217.10.00</t>
        </is>
      </c>
      <c r="E1486" s="48" t="n">
        <v>37.63</v>
      </c>
      <c r="F1486" s="48" t="n">
        <v>65.16</v>
      </c>
      <c r="G1486" s="48" t="n">
        <v>60</v>
      </c>
      <c r="H1486" s="48" t="n">
        <v>51.4</v>
      </c>
      <c r="I1486" s="48" t="inlineStr">
        <is>
          <t>Outros acessórios confeccionados, de vestuário</t>
        </is>
      </c>
      <c r="J1486" s="45" t="inlineStr">
        <is>
          <t>Lei nº 1.810/97, art. 49, § 1º, XXI; Convênio ICMS 45/99 (Dispositivo Legal: acrescentado pelo Decreto nº 15.295/2019. Efeitos a partir de 09.10.2019.)</t>
        </is>
      </c>
      <c r="K1486" s="100" t="n"/>
      <c r="L1486" s="29">
        <f>IF(D1486="NCM/SH","",COUNTIF($D$5:$D$1506,D1486))</f>
        <v/>
      </c>
    </row>
    <row r="1487" ht="15.75" customHeight="1" thickBot="1">
      <c r="A1487" s="1" t="inlineStr">
        <is>
          <t>29PortaPorta</t>
        </is>
      </c>
      <c r="B1487" s="46" t="inlineStr">
        <is>
          <t>51.0</t>
        </is>
      </c>
      <c r="C1487" s="48" t="inlineStr">
        <is>
          <t>28.051.00</t>
        </is>
      </c>
      <c r="D1487" s="48" t="inlineStr">
        <is>
          <t>6302.60.00</t>
        </is>
      </c>
      <c r="E1487" s="48" t="n">
        <v>37.63</v>
      </c>
      <c r="F1487" s="48" t="n">
        <v>65.16</v>
      </c>
      <c r="G1487" s="48" t="n">
        <v>60</v>
      </c>
      <c r="H1487" s="48" t="n">
        <v>51.4</v>
      </c>
      <c r="I1487" s="48" t="inlineStr">
        <is>
          <t>Roupas de toucador/cozinha, de tecidos atoalhados de algodão</t>
        </is>
      </c>
      <c r="J1487" s="45" t="inlineStr">
        <is>
          <t>Lei nº 1.810/97, art. 49, § 1º, XXI; Convênio ICMS 45/99 (Dispositivo Legal: acrescentado pelo Decreto nº 15.295/2019. Efeitos a partir de 09.10.2019.)</t>
        </is>
      </c>
      <c r="K1487" s="100" t="n"/>
      <c r="L1487" s="29">
        <f>IF(D1487="NCM/SH","",COUNTIF($D$5:$D$1506,D1487))</f>
        <v/>
      </c>
    </row>
    <row r="1488" ht="15.75" customHeight="1" thickBot="1">
      <c r="A1488" s="1" t="inlineStr">
        <is>
          <t>29PortaPorta</t>
        </is>
      </c>
      <c r="B1488" s="46" t="inlineStr">
        <is>
          <t>52.0</t>
        </is>
      </c>
      <c r="C1488" s="48" t="inlineStr">
        <is>
          <t>28.052.00</t>
        </is>
      </c>
      <c r="D1488" s="48" t="inlineStr">
        <is>
          <t>6307.90.90</t>
        </is>
      </c>
      <c r="E1488" s="48" t="n">
        <v>37.63</v>
      </c>
      <c r="F1488" s="48" t="n">
        <v>65.16</v>
      </c>
      <c r="G1488" s="48" t="n">
        <v>60</v>
      </c>
      <c r="H1488" s="48" t="n">
        <v>51.4</v>
      </c>
      <c r="I1488" s="48" t="inlineStr">
        <is>
          <t>Outros artefatos têxteis confeccionados</t>
        </is>
      </c>
      <c r="J1488" s="45" t="inlineStr">
        <is>
          <t>Lei nº 1.810/97, art. 49, § 1º, XXI; Convênio ICMS 45/99 (Dispositivo Legal: acrescentado pelo Decreto nº 15.295/2019. Efeitos a partir de 09.10.2019.)</t>
        </is>
      </c>
      <c r="K1488" s="100" t="n"/>
      <c r="L1488" s="29">
        <f>IF(D1488="NCM/SH","",COUNTIF($D$5:$D$1506,D1488))</f>
        <v/>
      </c>
    </row>
    <row r="1489" ht="15.75" customHeight="1" thickBot="1">
      <c r="A1489" s="1" t="inlineStr">
        <is>
          <t>29PortaPorta</t>
        </is>
      </c>
      <c r="B1489" s="46" t="inlineStr">
        <is>
          <t>53.0</t>
        </is>
      </c>
      <c r="C1489" s="48" t="inlineStr">
        <is>
          <t>28.053.00</t>
        </is>
      </c>
      <c r="D1489" s="48" t="inlineStr">
        <is>
          <t>6506.99.00</t>
        </is>
      </c>
      <c r="E1489" s="48" t="n">
        <v>37.63</v>
      </c>
      <c r="F1489" s="48" t="n">
        <v>65.16</v>
      </c>
      <c r="G1489" s="48" t="n">
        <v>60</v>
      </c>
      <c r="H1489" s="48" t="n">
        <v>51.4</v>
      </c>
      <c r="I1489" s="48" t="inlineStr">
        <is>
          <t xml:space="preserve">Chapéus e outros artefatos de outras matérias, exceto de malha </t>
        </is>
      </c>
      <c r="J1489" s="45" t="inlineStr">
        <is>
          <t>Lei nº 1.810/97, art. 49, § 1º, XXI; Convênio ICMS 45/99 (Dispositivo Legal: acrescentado pelo Decreto nº 15.295/2019. Efeitos a partir de 09.10.2019.)</t>
        </is>
      </c>
      <c r="K1489" s="100" t="n"/>
      <c r="L1489" s="29">
        <f>IF(D1489="NCM/SH","",COUNTIF($D$5:$D$1506,D1489))</f>
        <v/>
      </c>
    </row>
    <row r="1490" ht="15.75" customHeight="1" thickBot="1">
      <c r="A1490" s="1" t="inlineStr">
        <is>
          <t>29PortaPorta</t>
        </is>
      </c>
      <c r="B1490" s="46" t="inlineStr">
        <is>
          <t>54.0</t>
        </is>
      </c>
      <c r="C1490" s="48" t="inlineStr">
        <is>
          <t>28.054.00</t>
        </is>
      </c>
      <c r="D1490" s="48" t="inlineStr">
        <is>
          <t>9505.90.00</t>
        </is>
      </c>
      <c r="E1490" s="48" t="n">
        <v>37.63</v>
      </c>
      <c r="F1490" s="48" t="n">
        <v>65.16</v>
      </c>
      <c r="G1490" s="48" t="n">
        <v>60</v>
      </c>
      <c r="H1490" s="48" t="n">
        <v>51.4</v>
      </c>
      <c r="I1490" s="48" t="inlineStr">
        <is>
          <t xml:space="preserve">Artigos para outras festas, carnaval ou outros divertimentos </t>
        </is>
      </c>
      <c r="J1490" s="45" t="inlineStr">
        <is>
          <t>Lei nº 1.810/97, art. 49, § 1º, XXI; Convênio ICMS 45/99 (Dispositivo Legal: acrescentado pelo Decreto nº 15.295/2019. Efeitos a partir de 09.10.2019.)</t>
        </is>
      </c>
      <c r="K1490" s="100" t="n"/>
      <c r="L1490" s="29">
        <f>IF(D1490="NCM/SH","",COUNTIF($D$5:$D$1506,D1490))</f>
        <v/>
      </c>
    </row>
    <row r="1491" ht="15.75" customHeight="1" thickBot="1">
      <c r="A1491" s="1" t="inlineStr">
        <is>
          <t>29PortaPorta</t>
        </is>
      </c>
      <c r="B1491" s="46" t="inlineStr">
        <is>
          <t>55.0</t>
        </is>
      </c>
      <c r="C1491" s="48" t="inlineStr">
        <is>
          <t>28.055.00</t>
        </is>
      </c>
      <c r="D1491" s="48" t="inlineStr">
        <is>
          <t>Capítulo 33</t>
        </is>
      </c>
      <c r="E1491" s="48" t="n">
        <v>37.63</v>
      </c>
      <c r="F1491" s="48" t="n">
        <v>65.16</v>
      </c>
      <c r="G1491" s="48" t="n">
        <v>60</v>
      </c>
      <c r="H1491" s="48" t="n">
        <v>51.4</v>
      </c>
      <c r="I1491" s="48" t="inlineStr">
        <is>
          <t>Produtos destinados à higiene bucal</t>
        </is>
      </c>
      <c r="J1491" s="45" t="inlineStr">
        <is>
          <t>Lei nº 1.810/97, art. 49, § 1º, XXI; Convênio ICMS 45/99 (Dispositivo Legal: acrescentado pelo Decreto nº 15.295/2019. Efeitos a partir de 09.10.2019.)</t>
        </is>
      </c>
      <c r="K1491" s="100" t="n"/>
      <c r="L1491" s="29">
        <f>IF(D1491="NCM/SH","",COUNTIF($D$5:$D$1506,D1491))</f>
        <v/>
      </c>
    </row>
    <row r="1492" ht="15.75" customHeight="1" thickBot="1">
      <c r="A1492" s="1" t="inlineStr">
        <is>
          <t>29PortaPorta</t>
        </is>
      </c>
      <c r="B1492" s="46" t="inlineStr">
        <is>
          <t>56.0</t>
        </is>
      </c>
      <c r="C1492" s="48" t="inlineStr">
        <is>
          <t>28.056.00</t>
        </is>
      </c>
      <c r="D1492" s="48" t="inlineStr">
        <is>
          <t>Capítulos 33 e 34</t>
        </is>
      </c>
      <c r="E1492" s="48" t="n">
        <v>37.63</v>
      </c>
      <c r="F1492" s="48" t="n">
        <v>65.16</v>
      </c>
      <c r="G1492" s="48" t="n">
        <v>60</v>
      </c>
      <c r="H1492" s="48" t="n">
        <v>51.4</v>
      </c>
      <c r="I1492" s="48" t="inlineStr">
        <is>
          <t>Outros produtos cosméticos e de higiene pessoal não relacionados em outros itens desta tabela</t>
        </is>
      </c>
      <c r="J1492" s="45" t="inlineStr">
        <is>
          <t>Lei nº 1.810/97, art. 49, § 1º, XXI; Convênio ICMS 45/99 (Dispositivo Legal: acrescentado pelo Decreto nº 15.295/2019. Efeitos a partir de 09.10.2019.)</t>
        </is>
      </c>
      <c r="K1492" s="100" t="n"/>
      <c r="L1492" s="29">
        <f>IF(D1492="NCM/SH","",COUNTIF($D$5:$D$1506,D1492))</f>
        <v/>
      </c>
    </row>
    <row r="1493" ht="15.75" customHeight="1" thickBot="1">
      <c r="A1493" s="1" t="inlineStr">
        <is>
          <t>29PortaPorta</t>
        </is>
      </c>
      <c r="B1493" s="46" t="inlineStr">
        <is>
          <t>57.0</t>
        </is>
      </c>
      <c r="C1493" s="48" t="inlineStr">
        <is>
          <t>28.057.00</t>
        </is>
      </c>
      <c r="D1493" s="48" t="inlineStr">
        <is>
          <t xml:space="preserve">Capítulos 14, 39, 40, 44, 48, 63, 64, 65, 67, 70, 82, 90 e 96 </t>
        </is>
      </c>
      <c r="E1493" s="48" t="n">
        <v>37.63</v>
      </c>
      <c r="F1493" s="48" t="n">
        <v>65.16</v>
      </c>
      <c r="G1493" s="48" t="n">
        <v>60</v>
      </c>
      <c r="H1493" s="48" t="n">
        <v>51.4</v>
      </c>
      <c r="I1493" s="48" t="inlineStr">
        <is>
          <t>Outros artigos destinados a cuidados pessoais não relacionados em outros itens desta tabela</t>
        </is>
      </c>
      <c r="J1493" s="45" t="inlineStr">
        <is>
          <t>Lei nº 1.810/97, art. 49, § 1º, XXI; Convênio ICMS 45/99 (Dispositivo Legal: acrescentado pelo Decreto nº 15.295/2019. Efeitos a partir de 09.10.2019.)</t>
        </is>
      </c>
      <c r="K1493" s="100" t="n"/>
      <c r="L1493" s="29">
        <f>IF(D1493="NCM/SH","",COUNTIF($D$5:$D$1506,D1493))</f>
        <v/>
      </c>
    </row>
    <row r="1494" ht="15.75" customHeight="1" thickBot="1">
      <c r="A1494" s="1" t="inlineStr">
        <is>
          <t>29PortaPorta</t>
        </is>
      </c>
      <c r="B1494" s="46" t="inlineStr">
        <is>
          <t>58.0</t>
        </is>
      </c>
      <c r="C1494" s="48" t="inlineStr">
        <is>
          <t>28.058.00</t>
        </is>
      </c>
      <c r="D1494" s="48" t="inlineStr">
        <is>
          <t>Capítulos 39, 42, 48, 52, 61, 71, 83, 90 e 91</t>
        </is>
      </c>
      <c r="E1494" s="48" t="n">
        <v>37.63</v>
      </c>
      <c r="F1494" s="48" t="n">
        <v>65.16</v>
      </c>
      <c r="G1494" s="48" t="n">
        <v>60</v>
      </c>
      <c r="H1494" s="48" t="n">
        <v>51.4</v>
      </c>
      <c r="I1494" s="48" t="inlineStr">
        <is>
          <t>Acessórios (por exemplo, bijuterias, relógios, óculos de sol, bolsas, mochilas, frasqueiras, carteiras, porta-cartões, porta-documentos, porta-celulares e embalagens presenteáveis (por exemplo, caixinhas de papel), entre outros itens assemelhados)</t>
        </is>
      </c>
      <c r="J1494" s="45" t="inlineStr">
        <is>
          <t>Lei nº 1.810/97, art. 49, § 1º, XXI; Convênio ICMS 45/99 (Dispositivo Legal: acrescentado pelo Decreto nº 15.295/2019. Efeitos a partir de 09.10.2019.)</t>
        </is>
      </c>
      <c r="K1494" s="100" t="n"/>
      <c r="L1494" s="29">
        <f>IF(D1494="NCM/SH","",COUNTIF($D$5:$D$1506,D1494))</f>
        <v/>
      </c>
    </row>
    <row r="1495" ht="15.75" customHeight="1" thickBot="1">
      <c r="A1495" s="1" t="inlineStr">
        <is>
          <t>29PortaPorta</t>
        </is>
      </c>
      <c r="B1495" s="46" t="inlineStr">
        <is>
          <t>59.0</t>
        </is>
      </c>
      <c r="C1495" s="48" t="inlineStr">
        <is>
          <t>28.059.00</t>
        </is>
      </c>
      <c r="D1495" s="48" t="inlineStr">
        <is>
          <t>Capítulos 61, 62 e 64</t>
        </is>
      </c>
      <c r="E1495" s="48" t="n">
        <v>37.63</v>
      </c>
      <c r="F1495" s="48" t="n">
        <v>65.16</v>
      </c>
      <c r="G1495" s="48" t="n">
        <v>60</v>
      </c>
      <c r="H1495" s="48" t="n">
        <v>51.4</v>
      </c>
      <c r="I1495" s="48" t="inlineStr">
        <is>
          <t>Vestuário e seus acessórios; calçados, polainas e artefatos semelhantes, e suas partes</t>
        </is>
      </c>
      <c r="J1495" s="45" t="inlineStr">
        <is>
          <t>Lei nº 1.810/97, art. 49, § 1º, XXI; Convênio ICMS 45/99 (Dispositivo Legal: acrescentado pelo Decreto nº 15.295/2019. Efeitos a partir de 09.10.2019.)</t>
        </is>
      </c>
      <c r="K1495" s="100" t="n"/>
      <c r="L1495" s="29">
        <f>IF(D1495="NCM/SH","",COUNTIF($D$5:$D$1506,D1495))</f>
        <v/>
      </c>
    </row>
    <row r="1496" ht="15.75" customHeight="1" thickBot="1">
      <c r="A1496" s="1" t="inlineStr">
        <is>
          <t>29PortaPorta</t>
        </is>
      </c>
      <c r="B1496" s="46" t="inlineStr">
        <is>
          <t>60.0</t>
        </is>
      </c>
      <c r="C1496" s="48" t="inlineStr">
        <is>
          <t>28.060.00</t>
        </is>
      </c>
      <c r="D1496" s="48" t="inlineStr">
        <is>
          <t>Capítulos 42, 52, 55, 58, 63 e 65</t>
        </is>
      </c>
      <c r="E1496" s="48" t="n">
        <v>37.63</v>
      </c>
      <c r="F1496" s="48" t="n">
        <v>65.16</v>
      </c>
      <c r="G1496" s="48" t="n">
        <v>60</v>
      </c>
      <c r="H1496" s="48" t="n">
        <v>51.4</v>
      </c>
      <c r="I1496" s="48" t="inlineStr">
        <is>
          <t>Outros artigos de vestuário em geral, exceto os relacionados no item anterior</t>
        </is>
      </c>
      <c r="J1496" s="45" t="inlineStr">
        <is>
          <t>Lei nº 1.810/97, art. 49, § 1º, XXI; Convênio ICMS 45/99 (Dispositivo Legal: acrescentado pelo Decreto nº 15.295/2019. Efeitos a partir de 09.10.2019.)</t>
        </is>
      </c>
      <c r="K1496" s="100" t="n"/>
      <c r="L1496" s="29">
        <f>IF(D1496="NCM/SH","",COUNTIF($D$5:$D$1506,D1496))</f>
        <v/>
      </c>
    </row>
    <row r="1497" ht="14.45" customHeight="1" thickBot="1">
      <c r="A1497" s="1" t="inlineStr">
        <is>
          <t>29PortaPorta</t>
        </is>
      </c>
      <c r="B1497" s="42" t="inlineStr">
        <is>
          <t>61.0</t>
        </is>
      </c>
      <c r="C1497" s="42" t="inlineStr">
        <is>
          <t>28.061.00</t>
        </is>
      </c>
      <c r="D1497" s="42" t="inlineStr">
        <is>
          <t>Capítulos 39, 40, 52, 56, 62, 63, 66, 69, 70, 73, 76, 82, 83, 84, 91, 94 e 96</t>
        </is>
      </c>
      <c r="E1497" s="42" t="n">
        <v>37.63</v>
      </c>
      <c r="F1497" s="42" t="n">
        <v>65.16</v>
      </c>
      <c r="G1497" s="42" t="n">
        <v>60</v>
      </c>
      <c r="H1497" s="42" t="n">
        <v>51.4</v>
      </c>
      <c r="I1497" s="42" t="inlineStr">
        <is>
          <t>Artigos de casa</t>
        </is>
      </c>
      <c r="J1497" s="45" t="inlineStr">
        <is>
          <t>Lei nº 1.810/97, art. 49, § 1º, XXI; Convênio ICMS 45/99 (Dispositivo Legal: acrescentado pelo Decreto nº 15.295/2019. Efeitos a partir de 09.10.2019.)</t>
        </is>
      </c>
      <c r="K1497" s="100" t="n"/>
      <c r="L1497" s="29">
        <f>IF(D1497="NCM/SH","",COUNTIF($D$5:$D$1506,D1497))</f>
        <v/>
      </c>
    </row>
    <row r="1498" ht="21" customHeight="1" thickBot="1">
      <c r="A1498" s="1" t="inlineStr">
        <is>
          <t>29PortaPorta</t>
        </is>
      </c>
      <c r="B1498" s="46" t="inlineStr">
        <is>
          <t>62.0</t>
        </is>
      </c>
      <c r="C1498" s="48" t="inlineStr">
        <is>
          <t>28.062.00</t>
        </is>
      </c>
      <c r="D1498" s="48" t="inlineStr">
        <is>
          <t>Capítulos 13 e 15 a 23</t>
        </is>
      </c>
      <c r="E1498" s="48" t="n">
        <v>37.63</v>
      </c>
      <c r="F1498" s="48" t="n">
        <v>65.16</v>
      </c>
      <c r="G1498" s="48" t="n">
        <v>60</v>
      </c>
      <c r="H1498" s="48" t="n">
        <v>51.4</v>
      </c>
      <c r="I1498" s="48" t="inlineStr">
        <is>
          <t>Produtos das indústrias alimentares e bebidas</t>
        </is>
      </c>
      <c r="J1498" s="42" t="inlineStr">
        <is>
          <t>Lei nº 1.810/97, art. 49, § 1º, XXI; Convênio ICMS 45/99 (Dispositivo Legal: acrescentado pelo Decreto nº 15.295/2019. Efeitos a partir de 09.10.2019.)</t>
        </is>
      </c>
      <c r="K1498" s="81" t="n"/>
      <c r="L1498" s="29">
        <f>IF(D1498="NCM/SH","",COUNTIF($D$5:$D$1506,D1498))</f>
        <v/>
      </c>
    </row>
    <row r="1499" ht="15.75" customHeight="1" thickBot="1">
      <c r="A1499" s="1" t="inlineStr">
        <is>
          <t>29PortaPorta</t>
        </is>
      </c>
      <c r="B1499" s="46" t="inlineStr">
        <is>
          <t>63.0</t>
        </is>
      </c>
      <c r="C1499" s="48" t="inlineStr">
        <is>
          <t>28.063.00</t>
        </is>
      </c>
      <c r="D1499" s="48" t="inlineStr">
        <is>
          <t>Capítulos 22, 27, 28, 29, 33, 34, 35, 38, 39, 63, 68, 73, 84, 85 e 96</t>
        </is>
      </c>
      <c r="E1499" s="48" t="n">
        <v>37.63</v>
      </c>
      <c r="F1499" s="48" t="n">
        <v>65.16</v>
      </c>
      <c r="G1499" s="48" t="n">
        <v>60</v>
      </c>
      <c r="H1499" s="48" t="n">
        <v>51.4</v>
      </c>
      <c r="I1499" s="48" t="inlineStr">
        <is>
          <t>Produtos de limpeza e conservação doméstica</t>
        </is>
      </c>
      <c r="J1499" s="45" t="inlineStr">
        <is>
          <t>Lei nº 1.810/97, art. 49, § 1º, XXI; Convênio ICMS 45/99 (Dispositivo Legal: acrescentado pelo Decreto nº 15.295/2019. Efeitos a partir de 09.10.2019.)</t>
        </is>
      </c>
      <c r="K1499" s="100" t="n"/>
      <c r="L1499" s="29">
        <f>IF(D1499="NCM/SH","",COUNTIF($D$5:$D$1506,D1499))</f>
        <v/>
      </c>
    </row>
    <row r="1500" ht="15.75" customHeight="1" thickBot="1">
      <c r="A1500" s="1" t="inlineStr">
        <is>
          <t>29PortaPorta</t>
        </is>
      </c>
      <c r="B1500" s="46" t="inlineStr">
        <is>
          <t>64.0</t>
        </is>
      </c>
      <c r="C1500" s="48" t="inlineStr">
        <is>
          <t>28.064.00</t>
        </is>
      </c>
      <c r="D1500" s="48" t="inlineStr">
        <is>
          <t>Capítulos 39, 49, 95, 96</t>
        </is>
      </c>
      <c r="E1500" s="48" t="n">
        <v>37.63</v>
      </c>
      <c r="F1500" s="48" t="n">
        <v>65.16</v>
      </c>
      <c r="G1500" s="48" t="n">
        <v>60</v>
      </c>
      <c r="H1500" s="48" t="n">
        <v>51.4</v>
      </c>
      <c r="I1500" s="48" t="inlineStr">
        <is>
          <t>Artigos infantis</t>
        </is>
      </c>
      <c r="J1500" s="45" t="inlineStr">
        <is>
          <t>Lei nº 1.810/97, art. 49, § 1º, XXI; Convênio ICMS 45/99 (Dispositivo Legal: acrescentado pelo Decreto nº 15.295/2019. Efeitos a partir de 09.10.2019.)</t>
        </is>
      </c>
      <c r="K1500" s="100" t="n"/>
      <c r="L1500" s="29">
        <f>IF(D1500="NCM/SH","",COUNTIF($D$5:$D$1506,D1500))</f>
        <v/>
      </c>
    </row>
    <row r="1501" ht="15.75" customHeight="1" thickBot="1">
      <c r="A1501" s="1" t="inlineStr">
        <is>
          <t>29PortaPorta</t>
        </is>
      </c>
      <c r="B1501" s="46" t="inlineStr">
        <is>
          <t>999.0</t>
        </is>
      </c>
      <c r="C1501" s="48" t="inlineStr">
        <is>
          <t>28.999.00</t>
        </is>
      </c>
      <c r="D1501" s="48" t="inlineStr">
        <is>
          <t>Capítulos 39, 49, 95, 96</t>
        </is>
      </c>
      <c r="E1501" s="48" t="n">
        <v>37.63</v>
      </c>
      <c r="F1501" s="48" t="n">
        <v>65.16</v>
      </c>
      <c r="G1501" s="48" t="n">
        <v>60</v>
      </c>
      <c r="H1501" s="48" t="n">
        <v>51.4</v>
      </c>
      <c r="I1501" s="48" t="inlineStr">
        <is>
          <t>Outros produtos comercializados pelo sistema de marketing direto porta-a-porta a consumidor final não relacionados em outros itens desta tabela</t>
        </is>
      </c>
      <c r="J1501" s="46" t="inlineStr">
        <is>
          <t>Lei nº 1.810/97, art. 49, § 1º, XXI; Convênio ICMS 45/99 (Dispositivo Legal: acrescentado pelo Decreto nº 15.295/2019. Efeitos a partir de 09.10.2019.)</t>
        </is>
      </c>
      <c r="K1501" s="82" t="n"/>
      <c r="L1501" s="29">
        <f>IF(D1501="NCM/SH","",COUNTIF($D$5:$D$1506,D1501))</f>
        <v/>
      </c>
    </row>
    <row r="1502">
      <c r="B1502" s="60" t="n"/>
    </row>
    <row r="1503">
      <c r="B1503" s="60" t="n"/>
    </row>
  </sheetData>
  <autoFilter ref="A3:L1501"/>
  <mergeCells count="13">
    <mergeCell ref="I355:I356"/>
    <mergeCell ref="C355:C356"/>
    <mergeCell ref="J355:J356"/>
    <mergeCell ref="D355:D356"/>
    <mergeCell ref="B355:B356"/>
    <mergeCell ref="E362:H362"/>
    <mergeCell ref="J604:J605"/>
    <mergeCell ref="E355:H355"/>
    <mergeCell ref="C362:C363"/>
    <mergeCell ref="I362:I363"/>
    <mergeCell ref="D362:D363"/>
    <mergeCell ref="B362:B363"/>
    <mergeCell ref="J362:J363"/>
  </mergeCells>
  <hyperlinks>
    <hyperlink xmlns:r="http://schemas.openxmlformats.org/officeDocument/2006/relationships" ref="K57" display="http://aacpdappls.net.ms.gov.br/appls/legislacao/serc/legato.nsf/fd8600de8a55c7fc04256b210079ce25/d50603b720f2c17b042588a0004eae7e?OpenDocument" r:id="rId1"/>
    <hyperlink xmlns:r="http://schemas.openxmlformats.org/officeDocument/2006/relationships" ref="K75" display="http://aacpdappls.net.ms.gov.br/appls/legislacao/serc/legato.nsf/fd8600de8a55c7fc04256b210079ce25/d50603b720f2c17b042588a0004eae7e?OpenDocument" r:id="rId2"/>
    <hyperlink xmlns:r="http://schemas.openxmlformats.org/officeDocument/2006/relationships" ref="K84" display="http://aacpdappls.net.ms.gov.br/appls/legislacao/serc/legato.nsf/fd8600de8a55c7fc04256b210079ce25/d50603b720f2c17b042588a0004eae7e?OpenDocument" r:id="rId3"/>
    <hyperlink xmlns:r="http://schemas.openxmlformats.org/officeDocument/2006/relationships" ref="K108" display="http://aacpdappls.net.ms.gov.br/appls/legislacao/serc/legato.nsf/fd8600de8a55c7fc04256b210079ce25/d50603b720f2c17b042588a0004eae7e?OpenDocument" r:id="rId4"/>
    <hyperlink xmlns:r="http://schemas.openxmlformats.org/officeDocument/2006/relationships" ref="K113" display="http://aacpdappls.net.ms.gov.br/appls/legislacao/serc/legato.nsf/fd8600de8a55c7fc04256b210079ce25/d50603b720f2c17b042588a0004eae7e?OpenDocument" r:id="rId5"/>
    <hyperlink xmlns:r="http://schemas.openxmlformats.org/officeDocument/2006/relationships" ref="K114" display="http://aacpdappls.net.ms.gov.br/appls/legislacao/serc/legato.nsf/fd8600de8a55c7fc04256b210079ce25/d50603b720f2c17b042588a0004eae7e?OpenDocument" r:id="rId6"/>
    <hyperlink xmlns:r="http://schemas.openxmlformats.org/officeDocument/2006/relationships" ref="K115" display="http://aacpdappls.net.ms.gov.br/appls/legislacao/serc/legato.nsf/fd8600de8a55c7fc04256b210079ce25/d50603b720f2c17b042588a0004eae7e?OpenDocument" r:id="rId7"/>
    <hyperlink xmlns:r="http://schemas.openxmlformats.org/officeDocument/2006/relationships" ref="K132" display="http://aacpdappls.net.ms.gov.br/appls/legislacao/serc/legato.nsf/fd8600de8a55c7fc04256b210079ce25/d50603b720f2c17b042588a0004eae7e?OpenDocument" r:id="rId8"/>
    <hyperlink xmlns:r="http://schemas.openxmlformats.org/officeDocument/2006/relationships" ref="K133" display="http://aacpdappls.net.ms.gov.br/appls/legislacao/serc/legato.nsf/fd8600de8a55c7fc04256b210079ce25/d50603b720f2c17b042588a0004eae7e?OpenDocument" r:id="rId9"/>
    <hyperlink xmlns:r="http://schemas.openxmlformats.org/officeDocument/2006/relationships" ref="J193" display="http://aacpdappls.net.ms.gov.br/appls/legislacao/serc/legato.nsf/fd8600de8a55c7fc04256b210079ce25/a5e066211a56a79804258b42004e668c?OpenDocument" r:id="rId10"/>
    <hyperlink xmlns:r="http://schemas.openxmlformats.org/officeDocument/2006/relationships" ref="J236" display="http://aacpdappls.net.ms.gov.br/appls/legislacao/serc/legato.nsf/fd8600de8a55c7fc04256b210079ce25/a5e066211a56a79804258b42004e668c?OpenDocument" r:id="rId11"/>
    <hyperlink xmlns:r="http://schemas.openxmlformats.org/officeDocument/2006/relationships" ref="K504" display="http://aacpdappls.net.ms.gov.br/appls/legislacao/serc/legato.nsf/fd8600de8a55c7fc04256b210079ce25/d50603b720f2c17b042588a0004eae7e?OpenDocument" r:id="rId12"/>
    <hyperlink xmlns:r="http://schemas.openxmlformats.org/officeDocument/2006/relationships" ref="K537" display="http://aacpdappls.net.ms.gov.br/appls/legislacao/serc/legato.nsf/fd8600de8a55c7fc04256b210079ce25/a5e066211a56a79804258b42004e668c?OpenDocument" r:id="rId13"/>
    <hyperlink xmlns:r="http://schemas.openxmlformats.org/officeDocument/2006/relationships" ref="K576" display="http://aacpdappls.net.ms.gov.br/appls/legislacao/serc/legato.nsf/fd8600de8a55c7fc04256b210079ce25/d50603b720f2c17b042588a0004eae7e?OpenDocument" r:id="rId14"/>
    <hyperlink xmlns:r="http://schemas.openxmlformats.org/officeDocument/2006/relationships" ref="K606" display="http://aacpdappls.net.ms.gov.br/appls/legislacao/serc/legato.nsf/fd8600de8a55c7fc04256b210079ce25/dd2f3e6507049040042589ce004691f1?OpenDocument" r:id="rId15"/>
    <hyperlink xmlns:r="http://schemas.openxmlformats.org/officeDocument/2006/relationships" ref="K607" display="http://aacpdappls.net.ms.gov.br/appls/legislacao/serc/legato.nsf/fd8600de8a55c7fc04256b210079ce25/dd2f3e6507049040042589ce004691f1?OpenDocument" r:id="rId16"/>
    <hyperlink xmlns:r="http://schemas.openxmlformats.org/officeDocument/2006/relationships" ref="K608" display="http://aacpdappls.net.ms.gov.br/appls/legislacao/serc/legato.nsf/fd8600de8a55c7fc04256b210079ce25/dd2f3e6507049040042589ce004691f1?OpenDocument" r:id="rId17"/>
    <hyperlink xmlns:r="http://schemas.openxmlformats.org/officeDocument/2006/relationships" ref="K609" display="http://aacpdappls.net.ms.gov.br/appls/legislacao/serc/legato.nsf/fd8600de8a55c7fc04256b210079ce25/dd2f3e6507049040042589ce004691f1?OpenDocument" r:id="rId18"/>
    <hyperlink xmlns:r="http://schemas.openxmlformats.org/officeDocument/2006/relationships" ref="K610" display="http://aacpdappls.net.ms.gov.br/appls/legislacao/serc/legato.nsf/fd8600de8a55c7fc04256b210079ce25/dd2f3e6507049040042589ce004691f1?OpenDocument" r:id="rId19"/>
    <hyperlink xmlns:r="http://schemas.openxmlformats.org/officeDocument/2006/relationships" ref="K615" display="http://aacpdappls.net.ms.gov.br/appls/legislacao/serc/legato.nsf/fd8600de8a55c7fc04256b210079ce25/dd2f3e6507049040042589ce004691f1?OpenDocument" r:id="rId20"/>
    <hyperlink xmlns:r="http://schemas.openxmlformats.org/officeDocument/2006/relationships" ref="K616" display="http://aacpdappls.net.ms.gov.br/appls/legislacao/serc/legato.nsf/fd8600de8a55c7fc04256b210079ce25/dd2f3e6507049040042589ce004691f1?OpenDocument" r:id="rId21"/>
    <hyperlink xmlns:r="http://schemas.openxmlformats.org/officeDocument/2006/relationships" ref="K691" display="http://aacpdappls.net.ms.gov.br/appls/legislacao/serc/legato.nsf/fd8600de8a55c7fc04256b210079ce25/dd2f3e6507049040042589ce004691f1?OpenDocument" r:id="rId22"/>
    <hyperlink xmlns:r="http://schemas.openxmlformats.org/officeDocument/2006/relationships" ref="K692" display="http://aacpdappls.net.ms.gov.br/appls/legislacao/serc/legato.nsf/fd8600de8a55c7fc04256b210079ce25/dd2f3e6507049040042589ce004691f1?OpenDocument" r:id="rId23"/>
    <hyperlink xmlns:r="http://schemas.openxmlformats.org/officeDocument/2006/relationships" ref="K748" display="http://aacpdappls.net.ms.gov.br/appls/legislacao/serc/legato.nsf/fd8600de8a55c7fc04256b210079ce25/dd2f3e6507049040042589ce004691f1?OpenDocument" r:id="rId24"/>
    <hyperlink xmlns:r="http://schemas.openxmlformats.org/officeDocument/2006/relationships" ref="K758" display="http://aacpdappls.net.ms.gov.br/appls/legislacao/serc/legato.nsf/fd8600de8a55c7fc04256b210079ce25/360c443e97109af9042588fe004b091c?OpenDocument" r:id="rId25"/>
    <hyperlink xmlns:r="http://schemas.openxmlformats.org/officeDocument/2006/relationships" ref="K759" display="http://aacpdappls.net.ms.gov.br/appls/legislacao/serc/legato.nsf/fd8600de8a55c7fc04256b210079ce25/360c443e97109af9042588fe004b091c?OpenDocument" r:id="rId26"/>
    <hyperlink xmlns:r="http://schemas.openxmlformats.org/officeDocument/2006/relationships" ref="K815" display="http://aacpdappls.net.ms.gov.br/appls/legislacao/serc/legato.nsf/fd8600de8a55c7fc04256b210079ce25/360c443e97109af9042588fe004b091c?OpenDocument" r:id="rId27"/>
    <hyperlink xmlns:r="http://schemas.openxmlformats.org/officeDocument/2006/relationships" ref="K820" display="http://aacpdappls.net.ms.gov.br/appls/legislacao/serc/legato.nsf/fd8600de8a55c7fc04256b210079ce25/1811cb73d9e00ac304258950004f31bb?OpenDocument" r:id="rId28"/>
    <hyperlink xmlns:r="http://schemas.openxmlformats.org/officeDocument/2006/relationships" ref="K884" display="http://aacpdappls.net.ms.gov.br/appls/legislacao/serc/legato.nsf/fd8600de8a55c7fc04256b210079ce25/0623038486b81ad404258a6f0047acda?OpenDocument" r:id="rId29"/>
    <hyperlink xmlns:r="http://schemas.openxmlformats.org/officeDocument/2006/relationships" ref="K885" display="http://aacpdappls.net.ms.gov.br/appls/legislacao/serc/legato.nsf/fd8600de8a55c7fc04256b210079ce25/0623038486b81ad404258a6f0047acda?OpenDocument" r:id="rId30"/>
    <hyperlink xmlns:r="http://schemas.openxmlformats.org/officeDocument/2006/relationships" ref="K886" display="http://aacpdappls.net.ms.gov.br/appls/legislacao/serc/legato.nsf/fd8600de8a55c7fc04256b210079ce25/0623038486b81ad404258a6f0047acda?OpenDocument" r:id="rId31"/>
    <hyperlink xmlns:r="http://schemas.openxmlformats.org/officeDocument/2006/relationships" ref="K887" display="http://aacpdappls.net.ms.gov.br/appls/legislacao/serc/legato.nsf/fd8600de8a55c7fc04256b210079ce25/0623038486b81ad404258a6f0047acda?OpenDocument" r:id="rId32"/>
    <hyperlink xmlns:r="http://schemas.openxmlformats.org/officeDocument/2006/relationships" ref="K888" display="http://aacpdappls.net.ms.gov.br/appls/legislacao/serc/legato.nsf/fd8600de8a55c7fc04256b210079ce25/0623038486b81ad404258a6f0047acda?OpenDocument" r:id="rId33"/>
    <hyperlink xmlns:r="http://schemas.openxmlformats.org/officeDocument/2006/relationships" ref="K889" display="http://aacpdappls.net.ms.gov.br/appls/legislacao/serc/legato.nsf/fd8600de8a55c7fc04256b210079ce25/0623038486b81ad404258a6f0047acda?OpenDocument" r:id="rId34"/>
    <hyperlink xmlns:r="http://schemas.openxmlformats.org/officeDocument/2006/relationships" ref="K890" display="http://aacpdappls.net.ms.gov.br/appls/legislacao/serc/legato.nsf/fd8600de8a55c7fc04256b210079ce25/0623038486b81ad404258a6f0047acda?OpenDocument" r:id="rId35"/>
    <hyperlink xmlns:r="http://schemas.openxmlformats.org/officeDocument/2006/relationships" ref="K891" display="http://aacpdappls.net.ms.gov.br/appls/legislacao/serc/legato.nsf/fd8600de8a55c7fc04256b210079ce25/0623038486b81ad404258a6f0047acda?OpenDocument" r:id="rId36"/>
    <hyperlink xmlns:r="http://schemas.openxmlformats.org/officeDocument/2006/relationships" ref="K892" display="http://aacpdappls.net.ms.gov.br/appls/legislacao/serc/legato.nsf/fd8600de8a55c7fc04256b210079ce25/0623038486b81ad404258a6f0047acda?OpenDocument" r:id="rId37"/>
    <hyperlink xmlns:r="http://schemas.openxmlformats.org/officeDocument/2006/relationships" ref="K893" display="http://aacpdappls.net.ms.gov.br/appls/legislacao/serc/legato.nsf/fd8600de8a55c7fc04256b210079ce25/0623038486b81ad404258a6f0047acda?OpenDocument" r:id="rId38"/>
    <hyperlink xmlns:r="http://schemas.openxmlformats.org/officeDocument/2006/relationships" ref="K894" display="http://aacpdappls.net.ms.gov.br/appls/legislacao/serc/legato.nsf/fd8600de8a55c7fc04256b210079ce25/0623038486b81ad404258a6f0047acda?OpenDocument" r:id="rId39"/>
    <hyperlink xmlns:r="http://schemas.openxmlformats.org/officeDocument/2006/relationships" ref="K895" display="http://aacpdappls.net.ms.gov.br/appls/legislacao/serc/legato.nsf/fd8600de8a55c7fc04256b210079ce25/0623038486b81ad404258a6f0047acda?OpenDocument" r:id="rId40"/>
    <hyperlink xmlns:r="http://schemas.openxmlformats.org/officeDocument/2006/relationships" ref="K896" display="http://aacpdappls.net.ms.gov.br/appls/legislacao/serc/legato.nsf/fd8600de8a55c7fc04256b210079ce25/0623038486b81ad404258a6f0047acda?OpenDocument" r:id="rId41"/>
    <hyperlink xmlns:r="http://schemas.openxmlformats.org/officeDocument/2006/relationships" ref="K897" display="http://aacpdappls.net.ms.gov.br/appls/legislacao/serc/legato.nsf/fd8600de8a55c7fc04256b210079ce25/0623038486b81ad404258a6f0047acda?OpenDocument" r:id="rId42"/>
    <hyperlink xmlns:r="http://schemas.openxmlformats.org/officeDocument/2006/relationships" ref="K898" display="http://aacpdappls.net.ms.gov.br/appls/legislacao/serc/legato.nsf/fd8600de8a55c7fc04256b210079ce25/0623038486b81ad404258a6f0047acda?OpenDocument" r:id="rId43"/>
    <hyperlink xmlns:r="http://schemas.openxmlformats.org/officeDocument/2006/relationships" ref="K899" display="http://aacpdappls.net.ms.gov.br/appls/legislacao/serc/legato.nsf/fd8600de8a55c7fc04256b210079ce25/0623038486b81ad404258a6f0047acda?OpenDocument" r:id="rId44"/>
    <hyperlink xmlns:r="http://schemas.openxmlformats.org/officeDocument/2006/relationships" ref="K900" display="http://aacpdappls.net.ms.gov.br/appls/legislacao/serc/legato.nsf/fd8600de8a55c7fc04256b210079ce25/0623038486b81ad404258a6f0047acda?OpenDocument" r:id="rId45"/>
    <hyperlink xmlns:r="http://schemas.openxmlformats.org/officeDocument/2006/relationships" ref="K901" display="http://aacpdappls.net.ms.gov.br/appls/legislacao/serc/legato.nsf/fd8600de8a55c7fc04256b210079ce25/0623038486b81ad404258a6f0047acda?OpenDocument" r:id="rId46"/>
    <hyperlink xmlns:r="http://schemas.openxmlformats.org/officeDocument/2006/relationships" ref="K902" display="http://aacpdappls.net.ms.gov.br/appls/legislacao/serc/legato.nsf/fd8600de8a55c7fc04256b210079ce25/0623038486b81ad404258a6f0047acda?OpenDocument" r:id="rId47"/>
    <hyperlink xmlns:r="http://schemas.openxmlformats.org/officeDocument/2006/relationships" ref="K903" display="http://aacpdappls.net.ms.gov.br/appls/legislacao/serc/legato.nsf/fd8600de8a55c7fc04256b210079ce25/0623038486b81ad404258a6f0047acda?OpenDocument" r:id="rId48"/>
    <hyperlink xmlns:r="http://schemas.openxmlformats.org/officeDocument/2006/relationships" ref="K904" display="http://aacpdappls.net.ms.gov.br/appls/legislacao/serc/legato.nsf/fd8600de8a55c7fc04256b210079ce25/0623038486b81ad404258a6f0047acda?OpenDocument" r:id="rId49"/>
    <hyperlink xmlns:r="http://schemas.openxmlformats.org/officeDocument/2006/relationships" ref="K905" display="http://aacpdappls.net.ms.gov.br/appls/legislacao/serc/legato.nsf/fd8600de8a55c7fc04256b210079ce25/0623038486b81ad404258a6f0047acda?OpenDocument" r:id="rId50"/>
    <hyperlink xmlns:r="http://schemas.openxmlformats.org/officeDocument/2006/relationships" ref="K906" display="http://aacpdappls.net.ms.gov.br/appls/legislacao/serc/legato.nsf/fd8600de8a55c7fc04256b210079ce25/0623038486b81ad404258a6f0047acda?OpenDocument" r:id="rId51"/>
    <hyperlink xmlns:r="http://schemas.openxmlformats.org/officeDocument/2006/relationships" ref="K907" display="http://aacpdappls.net.ms.gov.br/appls/legislacao/serc/legato.nsf/fd8600de8a55c7fc04256b210079ce25/0623038486b81ad404258a6f0047acda?OpenDocument" r:id="rId52"/>
    <hyperlink xmlns:r="http://schemas.openxmlformats.org/officeDocument/2006/relationships" ref="K908" display="http://aacpdappls.net.ms.gov.br/appls/legislacao/serc/legato.nsf/fd8600de8a55c7fc04256b210079ce25/0623038486b81ad404258a6f0047acda?OpenDocument" r:id="rId53"/>
    <hyperlink xmlns:r="http://schemas.openxmlformats.org/officeDocument/2006/relationships" ref="K909" display="http://aacpdappls.net.ms.gov.br/appls/legislacao/serc/legato.nsf/fd8600de8a55c7fc04256b210079ce25/0623038486b81ad404258a6f0047acda?OpenDocument" r:id="rId54"/>
    <hyperlink xmlns:r="http://schemas.openxmlformats.org/officeDocument/2006/relationships" ref="K910" display="http://aacpdappls.net.ms.gov.br/appls/legislacao/serc/legato.nsf/fd8600de8a55c7fc04256b210079ce25/0623038486b81ad404258a6f0047acda?OpenDocument" r:id="rId55"/>
    <hyperlink xmlns:r="http://schemas.openxmlformats.org/officeDocument/2006/relationships" ref="K911" display="http://aacpdappls.net.ms.gov.br/appls/legislacao/serc/legato.nsf/fd8600de8a55c7fc04256b210079ce25/0623038486b81ad404258a6f0047acda?OpenDocument" r:id="rId56"/>
    <hyperlink xmlns:r="http://schemas.openxmlformats.org/officeDocument/2006/relationships" ref="K912" display="http://aacpdappls.net.ms.gov.br/appls/legislacao/serc/legato.nsf/fd8600de8a55c7fc04256b210079ce25/0623038486b81ad404258a6f0047acda?OpenDocument" r:id="rId57"/>
    <hyperlink xmlns:r="http://schemas.openxmlformats.org/officeDocument/2006/relationships" ref="K913" display="http://aacpdappls.net.ms.gov.br/appls/legislacao/serc/legato.nsf/fd8600de8a55c7fc04256b210079ce25/0623038486b81ad404258a6f0047acda?OpenDocument" r:id="rId58"/>
    <hyperlink xmlns:r="http://schemas.openxmlformats.org/officeDocument/2006/relationships" ref="K914" display="http://aacpdappls.net.ms.gov.br/appls/legislacao/serc/legato.nsf/fd8600de8a55c7fc04256b210079ce25/0623038486b81ad404258a6f0047acda?OpenDocument" r:id="rId59"/>
    <hyperlink xmlns:r="http://schemas.openxmlformats.org/officeDocument/2006/relationships" ref="K915" display="http://aacpdappls.net.ms.gov.br/appls/legislacao/serc/legato.nsf/fd8600de8a55c7fc04256b210079ce25/0623038486b81ad404258a6f0047acda?OpenDocument" r:id="rId60"/>
    <hyperlink xmlns:r="http://schemas.openxmlformats.org/officeDocument/2006/relationships" ref="K916" display="http://aacpdappls.net.ms.gov.br/appls/legislacao/serc/legato.nsf/fd8600de8a55c7fc04256b210079ce25/0623038486b81ad404258a6f0047acda?OpenDocument" r:id="rId61"/>
    <hyperlink xmlns:r="http://schemas.openxmlformats.org/officeDocument/2006/relationships" ref="K917" display="http://aacpdappls.net.ms.gov.br/appls/legislacao/serc/legato.nsf/fd8600de8a55c7fc04256b210079ce25/0623038486b81ad404258a6f0047acda?OpenDocument" r:id="rId62"/>
    <hyperlink xmlns:r="http://schemas.openxmlformats.org/officeDocument/2006/relationships" ref="K959" display="http://aacpdappls.net.ms.gov.br/appls/legislacao/serc/legato.nsf/fd8600de8a55c7fc04256b210079ce25/dd2f3e6507049040042589ce004691f1?OpenDocument" r:id="rId63"/>
    <hyperlink xmlns:r="http://schemas.openxmlformats.org/officeDocument/2006/relationships" ref="K1086" display="http://aacpdappls.net.ms.gov.br/appls/legislacao/serc/legato.nsf/fd8600de8a55c7fc04256b210079ce25/360c443e97109af9042588fe004b091c?OpenDocument" r:id="rId64"/>
    <hyperlink xmlns:r="http://schemas.openxmlformats.org/officeDocument/2006/relationships" ref="K1172" display="http://aacpdappls.net.ms.gov.br/appls/legislacao/serc/legato.nsf/fd8600de8a55c7fc04256b210079ce25/360c443e97109af9042588fe004b091c?OpenDocument" r:id="rId65"/>
    <hyperlink xmlns:r="http://schemas.openxmlformats.org/officeDocument/2006/relationships" ref="K1173" display="http://aacpdappls.net.ms.gov.br/appls/legislacao/serc/legato.nsf/fd8600de8a55c7fc04256b210079ce25/360c443e97109af9042588fe004b091c?OpenDocument" r:id="rId66"/>
    <hyperlink xmlns:r="http://schemas.openxmlformats.org/officeDocument/2006/relationships" ref="K1174" display="http://aacpdappls.net.ms.gov.br/appls/legislacao/serc/legato.nsf/fd8600de8a55c7fc04256b210079ce25/360c443e97109af9042588fe004b091c?OpenDocument" r:id="rId67"/>
    <hyperlink xmlns:r="http://schemas.openxmlformats.org/officeDocument/2006/relationships" ref="K1175" display="http://aacpdappls.net.ms.gov.br/appls/legislacao/serc/legato.nsf/fd8600de8a55c7fc04256b210079ce25/360c443e97109af9042588fe004b091c?OpenDocument" r:id="rId68"/>
    <hyperlink xmlns:r="http://schemas.openxmlformats.org/officeDocument/2006/relationships" ref="K1176" display="http://aacpdappls.net.ms.gov.br/appls/legislacao/serc/legato.nsf/fd8600de8a55c7fc04256b210079ce25/360c443e97109af9042588fe004b091c?OpenDocument" r:id="rId69"/>
    <hyperlink xmlns:r="http://schemas.openxmlformats.org/officeDocument/2006/relationships" ref="K1178" display="http://aacpdappls.net.ms.gov.br/appls/legislacao/serc/legato.nsf/fd8600de8a55c7fc04256b210079ce25/360c443e97109af9042588fe004b091c?OpenDocument" r:id="rId70"/>
    <hyperlink xmlns:r="http://schemas.openxmlformats.org/officeDocument/2006/relationships" ref="K1238" display="http://aacpdappls.net.ms.gov.br/appls/legislacao/serc/legato.nsf/fd8600de8a55c7fc04256b210079ce25/d50603b720f2c17b042588a0004eae7e?OpenDocument" r:id="rId71"/>
    <hyperlink xmlns:r="http://schemas.openxmlformats.org/officeDocument/2006/relationships" ref="K1239" display="http://aacpdappls.net.ms.gov.br/appls/legislacao/serc/legato.nsf/fd8600de8a55c7fc04256b210079ce25/d50603b720f2c17b042588a0004eae7e?OpenDocument" r:id="rId72"/>
    <hyperlink xmlns:r="http://schemas.openxmlformats.org/officeDocument/2006/relationships" ref="K1240" display="http://aacpdappls.net.ms.gov.br/appls/legislacao/serc/legato.nsf/fd8600de8a55c7fc04256b210079ce25/d50603b720f2c17b042588a0004eae7e?OpenDocument" r:id="rId73"/>
    <hyperlink xmlns:r="http://schemas.openxmlformats.org/officeDocument/2006/relationships" ref="K1241" display="http://aacpdappls.net.ms.gov.br/appls/legislacao/serc/legato.nsf/fd8600de8a55c7fc04256b210079ce25/d50603b720f2c17b042588a0004eae7e?OpenDocument" r:id="rId74"/>
    <hyperlink xmlns:r="http://schemas.openxmlformats.org/officeDocument/2006/relationships" ref="K1243" display="http://aacpdappls.net.ms.gov.br/appls/legislacao/serc/legato.nsf/fd8600de8a55c7fc04256b210079ce25/d50603b720f2c17b042588a0004eae7e?OpenDocument" r:id="rId75"/>
    <hyperlink xmlns:r="http://schemas.openxmlformats.org/officeDocument/2006/relationships" ref="K1244" display="http://aacpdappls.net.ms.gov.br/appls/legislacao/serc/legato.nsf/fd8600de8a55c7fc04256b210079ce25/d50603b720f2c17b042588a0004eae7e?OpenDocument" r:id="rId76"/>
    <hyperlink xmlns:r="http://schemas.openxmlformats.org/officeDocument/2006/relationships" ref="K1245" display="http://aacpdappls.net.ms.gov.br/appls/legislacao/serc/legato.nsf/fd8600de8a55c7fc04256b210079ce25/d50603b720f2c17b042588a0004eae7e?OpenDocument" r:id="rId77"/>
    <hyperlink xmlns:r="http://schemas.openxmlformats.org/officeDocument/2006/relationships" ref="K1257" display="http://aacpdappls.net.ms.gov.br/appls/legislacao/serc/legato.nsf/fd8600de8a55c7fc04256b210079ce25/d50603b720f2c17b042588a0004eae7e?OpenDocument" r:id="rId78"/>
    <hyperlink xmlns:r="http://schemas.openxmlformats.org/officeDocument/2006/relationships" ref="K1258" display="http://aacpdappls.net.ms.gov.br/appls/legislacao/serc/legato.nsf/fd8600de8a55c7fc04256b210079ce25/d50603b720f2c17b042588a0004eae7e?OpenDocument" r:id="rId79"/>
    <hyperlink xmlns:r="http://schemas.openxmlformats.org/officeDocument/2006/relationships" ref="K1259" display="http://aacpdappls.net.ms.gov.br/appls/legislacao/serc/legato.nsf/fd8600de8a55c7fc04256b210079ce25/dd2f3e6507049040042589ce004691f1?OpenDocument" r:id="rId80"/>
    <hyperlink xmlns:r="http://schemas.openxmlformats.org/officeDocument/2006/relationships" ref="K1261" display="http://aacpdappls.net.ms.gov.br/appls/legislacao/serc/legato.nsf/fd8600de8a55c7fc04256b210079ce25/d50603b720f2c17b042588a0004eae7e?OpenDocument" r:id="rId81"/>
    <hyperlink xmlns:r="http://schemas.openxmlformats.org/officeDocument/2006/relationships" ref="K1262" display="http://aacpdappls.net.ms.gov.br/appls/legislacao/serc/legato.nsf/fd8600de8a55c7fc04256b210079ce25/d50603b720f2c17b042588a0004eae7e?OpenDocument" r:id="rId82"/>
    <hyperlink xmlns:r="http://schemas.openxmlformats.org/officeDocument/2006/relationships" ref="K1263" display="http://aacpdappls.net.ms.gov.br/appls/legislacao/serc/legato.nsf/fd8600de8a55c7fc04256b210079ce25/d50603b720f2c17b042588a0004eae7e?OpenDocument" r:id="rId83"/>
    <hyperlink xmlns:r="http://schemas.openxmlformats.org/officeDocument/2006/relationships" ref="K1265" display="http://aacpdappls.net.ms.gov.br/appls/legislacao/serc/legato.nsf/fd8600de8a55c7fc04256b210079ce25/d50603b720f2c17b042588a0004eae7e?OpenDocument" r:id="rId84"/>
    <hyperlink xmlns:r="http://schemas.openxmlformats.org/officeDocument/2006/relationships" ref="K1278" display="http://aacpdappls.net.ms.gov.br/appls/legislacao/serc/legato.nsf/fd8600de8a55c7fc04256b210079ce25/d50603b720f2c17b042588a0004eae7e?OpenDocument" r:id="rId85"/>
    <hyperlink xmlns:r="http://schemas.openxmlformats.org/officeDocument/2006/relationships" ref="K1281" display="http://aacpdappls.net.ms.gov.br/appls/legislacao/serc/legato.nsf/fd8600de8a55c7fc04256b210079ce25/d50603b720f2c17b042588a0004eae7e?OpenDocument" r:id="rId86"/>
    <hyperlink xmlns:r="http://schemas.openxmlformats.org/officeDocument/2006/relationships" ref="K1283" display="http://aacpdappls.net.ms.gov.br/appls/legislacao/serc/legato.nsf/fd8600de8a55c7fc04256b210079ce25/d50603b720f2c17b042588a0004eae7e?OpenDocument" r:id="rId87"/>
    <hyperlink xmlns:r="http://schemas.openxmlformats.org/officeDocument/2006/relationships" ref="K1285" display="http://aacpdappls.net.ms.gov.br/appls/legislacao/serc/legato.nsf/fd8600de8a55c7fc04256b210079ce25/d50603b720f2c17b042588a0004eae7e?OpenDocument" r:id="rId88"/>
    <hyperlink xmlns:r="http://schemas.openxmlformats.org/officeDocument/2006/relationships" ref="K1286" display="http://aacpdappls.net.ms.gov.br/appls/legislacao/serc/legato.nsf/fd8600de8a55c7fc04256b210079ce25/d50603b720f2c17b042588a0004eae7e?OpenDocument" r:id="rId89"/>
    <hyperlink xmlns:r="http://schemas.openxmlformats.org/officeDocument/2006/relationships" ref="K1309" display="http://aacpdappls.net.ms.gov.br/appls/legislacao/serc/legato.nsf/fd8600de8a55c7fc04256b210079ce25/d50603b720f2c17b042588a0004eae7e?OpenDocument" r:id="rId90"/>
    <hyperlink xmlns:r="http://schemas.openxmlformats.org/officeDocument/2006/relationships" ref="K1318" display="http://aacpdappls.net.ms.gov.br/appls/legislacao/serc/legato.nsf/fd8600de8a55c7fc04256b210079ce25/d50603b720f2c17b042588a0004eae7e?OpenDocument" r:id="rId91"/>
    <hyperlink xmlns:r="http://schemas.openxmlformats.org/officeDocument/2006/relationships" ref="K1319" display="http://aacpdappls.net.ms.gov.br/appls/legislacao/serc/legato.nsf/fd8600de8a55c7fc04256b210079ce25/d50603b720f2c17b042588a0004eae7e?OpenDocument" r:id="rId92"/>
    <hyperlink xmlns:r="http://schemas.openxmlformats.org/officeDocument/2006/relationships" ref="K1320" display="http://aacpdappls.net.ms.gov.br/appls/legislacao/serc/legato.nsf/fd8600de8a55c7fc04256b210079ce25/d50603b720f2c17b042588a0004eae7e?OpenDocument" r:id="rId93"/>
    <hyperlink xmlns:r="http://schemas.openxmlformats.org/officeDocument/2006/relationships" ref="K1321" display="http://aacpdappls.net.ms.gov.br/appls/legislacao/serc/legato.nsf/fd8600de8a55c7fc04256b210079ce25/d50603b720f2c17b042588a0004eae7e?OpenDocument" r:id="rId94"/>
    <hyperlink xmlns:r="http://schemas.openxmlformats.org/officeDocument/2006/relationships" ref="K1327" display="http://aacpdappls.net.ms.gov.br/appls/legislacao/serc/legato.nsf/fd8600de8a55c7fc04256b210079ce25/d50603b720f2c17b042588a0004eae7e?OpenDocument" r:id="rId95"/>
    <hyperlink xmlns:r="http://schemas.openxmlformats.org/officeDocument/2006/relationships" ref="K1328" display="http://aacpdappls.net.ms.gov.br/appls/legislacao/serc/legato.nsf/fd8600de8a55c7fc04256b210079ce25/d50603b720f2c17b042588a0004eae7e?OpenDocument" r:id="rId96"/>
    <hyperlink xmlns:r="http://schemas.openxmlformats.org/officeDocument/2006/relationships" ref="K1329" display="http://aacpdappls.net.ms.gov.br/appls/legislacao/serc/legato.nsf/fd8600de8a55c7fc04256b210079ce25/d50603b720f2c17b042588a0004eae7e?OpenDocument" r:id="rId97"/>
    <hyperlink xmlns:r="http://schemas.openxmlformats.org/officeDocument/2006/relationships" ref="K1330" display="http://aacpdappls.net.ms.gov.br/appls/legislacao/serc/legato.nsf/fd8600de8a55c7fc04256b210079ce25/d50603b720f2c17b042588a0004eae7e?OpenDocument" r:id="rId98"/>
    <hyperlink xmlns:r="http://schemas.openxmlformats.org/officeDocument/2006/relationships" ref="K1331" display="http://aacpdappls.net.ms.gov.br/appls/legislacao/serc/legato.nsf/fd8600de8a55c7fc04256b210079ce25/dd2f3e6507049040042589ce004691f1?OpenDocument" r:id="rId99"/>
    <hyperlink xmlns:r="http://schemas.openxmlformats.org/officeDocument/2006/relationships" ref="K1332" display="http://aacpdappls.net.ms.gov.br/appls/legislacao/serc/legato.nsf/fd8600de8a55c7fc04256b210079ce25/dd2f3e6507049040042589ce004691f1?OpenDocument" r:id="rId100"/>
    <hyperlink xmlns:r="http://schemas.openxmlformats.org/officeDocument/2006/relationships" ref="K1347" display="http://aacpdappls.net.ms.gov.br/appls/legislacao/serc/legato.nsf/fd8600de8a55c7fc04256b210079ce25/dd2f3e6507049040042589ce004691f1?OpenDocument" r:id="rId101"/>
    <hyperlink xmlns:r="http://schemas.openxmlformats.org/officeDocument/2006/relationships" ref="K1348" display="http://aacpdappls.net.ms.gov.br/appls/legislacao/serc/legato.nsf/fd8600de8a55c7fc04256b210079ce25/dd2f3e6507049040042589ce004691f1?OpenDocument" r:id="rId102"/>
    <hyperlink xmlns:r="http://schemas.openxmlformats.org/officeDocument/2006/relationships" ref="K1349" display="http://aacpdappls.net.ms.gov.br/appls/legislacao/serc/legato.nsf/fd8600de8a55c7fc04256b210079ce25/dd2f3e6507049040042589ce004691f1?OpenDocument" r:id="rId103"/>
    <hyperlink xmlns:r="http://schemas.openxmlformats.org/officeDocument/2006/relationships" ref="K1350" display="http://aacpdappls.net.ms.gov.br/appls/legislacao/serc/legato.nsf/fd8600de8a55c7fc04256b210079ce25/dd2f3e6507049040042589ce004691f1?OpenDocument" r:id="rId104"/>
    <hyperlink xmlns:r="http://schemas.openxmlformats.org/officeDocument/2006/relationships" ref="K1361" display="http://aacpdappls.net.ms.gov.br/appls/legislacao/serc/legato.nsf/fd8600de8a55c7fc04256b210079ce25/d50603b720f2c17b042588a0004eae7e?OpenDocument" r:id="rId105"/>
    <hyperlink xmlns:r="http://schemas.openxmlformats.org/officeDocument/2006/relationships" ref="K1362" display="http://aacpdappls.net.ms.gov.br/appls/legislacao/serc/legato.nsf/fd8600de8a55c7fc04256b210079ce25/d50603b720f2c17b042588a0004eae7e?OpenDocument" r:id="rId106"/>
    <hyperlink xmlns:r="http://schemas.openxmlformats.org/officeDocument/2006/relationships" ref="K1363" display="http://aacpdappls.net.ms.gov.br/appls/legislacao/serc/legato.nsf/fd8600de8a55c7fc04256b210079ce25/d50603b720f2c17b042588a0004eae7e?OpenDocument" r:id="rId107"/>
    <hyperlink xmlns:r="http://schemas.openxmlformats.org/officeDocument/2006/relationships" ref="K1364" display="http://aacpdappls.net.ms.gov.br/appls/legislacao/serc/legato.nsf/fd8600de8a55c7fc04256b210079ce25/d50603b720f2c17b042588a0004eae7e?OpenDocument" r:id="rId108"/>
    <hyperlink xmlns:r="http://schemas.openxmlformats.org/officeDocument/2006/relationships" ref="K1365" display="http://aacpdappls.net.ms.gov.br/appls/legislacao/serc/legato.nsf/fd8600de8a55c7fc04256b210079ce25/d50603b720f2c17b042588a0004eae7e?OpenDocument" r:id="rId109"/>
    <hyperlink xmlns:r="http://schemas.openxmlformats.org/officeDocument/2006/relationships" ref="K1366" display="http://aacpdappls.net.ms.gov.br/appls/legislacao/serc/legato.nsf/fd8600de8a55c7fc04256b210079ce25/d50603b720f2c17b042588a0004eae7e?OpenDocument" r:id="rId110"/>
    <hyperlink xmlns:r="http://schemas.openxmlformats.org/officeDocument/2006/relationships" ref="K1405" display="http://aacpdappls.net.ms.gov.br/appls/legislacao/serc/legato.nsf/fd8600de8a55c7fc04256b210079ce25/d50603b720f2c17b042588a0004eae7e?OpenDocument" r:id="rId111"/>
    <hyperlink xmlns:r="http://schemas.openxmlformats.org/officeDocument/2006/relationships" ref="K1406" display="http://aacpdappls.net.ms.gov.br/appls/legislacao/serc/legato.nsf/fd8600de8a55c7fc04256b210079ce25/d50603b720f2c17b042588a0004eae7e?OpenDocument" r:id="rId112"/>
    <hyperlink xmlns:r="http://schemas.openxmlformats.org/officeDocument/2006/relationships" ref="K1412" display="http://aacpdappls.net.ms.gov.br/appls/legislacao/serc/legato.nsf/fd8600de8a55c7fc04256b210079ce25/d50603b720f2c17b042588a0004eae7e?OpenDocument" r:id="rId113"/>
    <hyperlink xmlns:r="http://schemas.openxmlformats.org/officeDocument/2006/relationships" ref="K1413" display="http://aacpdappls.net.ms.gov.br/appls/legislacao/serc/legato.nsf/fd8600de8a55c7fc04256b210079ce25/d50603b720f2c17b042588a0004eae7e?OpenDocument" r:id="rId114"/>
  </hyperlinks>
  <pageMargins left="0.511811024" right="0.511811024" top="0.787401575" bottom="0.787401575" header="0.31496062" footer="0.31496062"/>
  <pageSetup orientation="portrait" paperSize="9"/>
</worksheet>
</file>

<file path=xl/worksheets/sheet7.xml><?xml version="1.0" encoding="utf-8"?>
<worksheet xmlns="http://schemas.openxmlformats.org/spreadsheetml/2006/main">
  <sheetPr codeName="wsSuperfluos">
    <outlinePr summaryBelow="1" summaryRight="1"/>
    <pageSetUpPr/>
  </sheetPr>
  <dimension ref="A1:G19"/>
  <sheetViews>
    <sheetView workbookViewId="0">
      <selection activeCell="G10" sqref="G10"/>
    </sheetView>
  </sheetViews>
  <sheetFormatPr baseColWidth="8" defaultRowHeight="15"/>
  <cols>
    <col width="25.42578125" customWidth="1" style="1" min="1" max="1"/>
  </cols>
  <sheetData>
    <row r="1">
      <c r="A1" s="3" t="inlineStr">
        <is>
          <t>Superfluos</t>
        </is>
      </c>
      <c r="C1" t="inlineStr">
        <is>
          <t>Cod.ap</t>
        </is>
      </c>
      <c r="D1" t="inlineStr">
        <is>
          <t>Lista</t>
        </is>
      </c>
      <c r="E1" t="inlineStr">
        <is>
          <t>Descr.Lista</t>
        </is>
      </c>
      <c r="F1" t="inlineStr">
        <is>
          <t>Aliq</t>
        </is>
      </c>
      <c r="G1" t="inlineStr">
        <is>
          <t>1+MVA</t>
        </is>
      </c>
    </row>
    <row r="2">
      <c r="A2" s="2" t="n">
        <v>12119090</v>
      </c>
      <c r="C2">
        <f>D2+F2</f>
        <v/>
      </c>
      <c r="D2" t="n">
        <v>3</v>
      </c>
      <c r="E2" t="inlineStr">
        <is>
          <t>neutra</t>
        </is>
      </c>
      <c r="F2" t="n">
        <v>0.04</v>
      </c>
      <c r="G2" t="n">
        <v>1.4713</v>
      </c>
    </row>
    <row r="3">
      <c r="A3" s="2" t="n">
        <v>12119090</v>
      </c>
      <c r="C3">
        <f>D3+F3</f>
        <v/>
      </c>
      <c r="D3" t="n">
        <v>3</v>
      </c>
      <c r="E3" t="inlineStr">
        <is>
          <t>neutra</t>
        </is>
      </c>
      <c r="F3" t="n">
        <v>0.07000000000000001</v>
      </c>
      <c r="G3" t="n">
        <v>1.4253</v>
      </c>
    </row>
    <row r="4">
      <c r="A4" s="2" t="n">
        <v>3301</v>
      </c>
      <c r="C4">
        <f>D4+F4</f>
        <v/>
      </c>
      <c r="D4" t="n">
        <v>3</v>
      </c>
      <c r="E4" t="inlineStr">
        <is>
          <t>neutra</t>
        </is>
      </c>
      <c r="F4" t="n">
        <v>0.12</v>
      </c>
      <c r="G4" t="n">
        <v>1.3487</v>
      </c>
    </row>
    <row r="5">
      <c r="A5" s="2" t="n">
        <v>33030010</v>
      </c>
      <c r="C5">
        <f>D5+F5</f>
        <v/>
      </c>
      <c r="D5" t="n">
        <v>1</v>
      </c>
      <c r="E5" t="inlineStr">
        <is>
          <t>negativa</t>
        </is>
      </c>
      <c r="F5" t="n">
        <v>0.04</v>
      </c>
      <c r="G5" t="n">
        <v>1.385</v>
      </c>
    </row>
    <row r="6">
      <c r="A6" s="2" t="n">
        <v>33030020</v>
      </c>
      <c r="C6">
        <f>D6+F6</f>
        <v/>
      </c>
      <c r="D6" t="n">
        <v>1</v>
      </c>
      <c r="E6" t="inlineStr">
        <is>
          <t>negativa</t>
        </is>
      </c>
      <c r="F6" t="n">
        <v>0.07000000000000001</v>
      </c>
      <c r="G6" t="n">
        <v>1.3417</v>
      </c>
    </row>
    <row r="7">
      <c r="A7" s="2" t="n">
        <v>33041000</v>
      </c>
      <c r="C7">
        <f>D7+F7</f>
        <v/>
      </c>
      <c r="D7" t="n">
        <v>1</v>
      </c>
      <c r="E7" t="inlineStr">
        <is>
          <t>negativa</t>
        </is>
      </c>
      <c r="F7" t="n">
        <v>0.12</v>
      </c>
      <c r="G7" t="n">
        <v>1.2695</v>
      </c>
    </row>
    <row r="8">
      <c r="A8" s="2" t="n">
        <v>33042010</v>
      </c>
      <c r="C8">
        <f>D8+F8</f>
        <v/>
      </c>
      <c r="D8" t="n">
        <v>2</v>
      </c>
      <c r="E8" t="inlineStr">
        <is>
          <t>positiva</t>
        </is>
      </c>
      <c r="F8" t="n">
        <v>0.04</v>
      </c>
      <c r="G8" t="n">
        <v>1.439</v>
      </c>
    </row>
    <row r="9">
      <c r="A9" s="2" t="n">
        <v>33042090</v>
      </c>
      <c r="C9">
        <f>D9+F9</f>
        <v/>
      </c>
      <c r="D9" t="n">
        <v>2</v>
      </c>
      <c r="E9" t="inlineStr">
        <is>
          <t>positiva</t>
        </is>
      </c>
      <c r="F9" t="n">
        <v>0.07000000000000001</v>
      </c>
      <c r="G9" t="n">
        <v>1.394</v>
      </c>
    </row>
    <row r="10">
      <c r="A10" s="2" t="n">
        <v>33043000</v>
      </c>
      <c r="C10">
        <f>D10+F10</f>
        <v/>
      </c>
      <c r="D10" t="n">
        <v>2</v>
      </c>
      <c r="E10" t="inlineStr">
        <is>
          <t>positiva</t>
        </is>
      </c>
      <c r="F10" t="n">
        <v>0.12</v>
      </c>
      <c r="G10" t="n">
        <v>1.319</v>
      </c>
    </row>
    <row r="11">
      <c r="A11" s="2" t="n">
        <v>33049100</v>
      </c>
    </row>
    <row r="12">
      <c r="A12" s="2" t="n">
        <v>33049910</v>
      </c>
    </row>
    <row r="13">
      <c r="A13" s="2" t="n">
        <v>33049990</v>
      </c>
    </row>
    <row r="14">
      <c r="A14" s="2" t="n">
        <v>33052000</v>
      </c>
      <c r="C14" t="inlineStr">
        <is>
          <t>* duvidas</t>
        </is>
      </c>
    </row>
    <row r="15">
      <c r="A15" s="2" t="n">
        <v>33053000</v>
      </c>
      <c r="C15" t="inlineStr">
        <is>
          <t>onde está definido os NCM ditos superfluos</t>
        </is>
      </c>
    </row>
    <row r="16">
      <c r="A16" s="2" t="n">
        <v>33059000</v>
      </c>
      <c r="C16" t="inlineStr">
        <is>
          <t>O desconto de 10% na Aliquota em virtude do Convenio 79, pode ser aplicado no calculo do ST original, de modo que a aliquota seja 15,3%</t>
        </is>
      </c>
    </row>
    <row r="17">
      <c r="A17" s="2" t="n">
        <v>33059000</v>
      </c>
      <c r="C17" t="inlineStr">
        <is>
          <t>o TA define que a aliquota de creditamento será sempre 7%, mas quando a BC na origem é reduzida, posso aplicar sobre o valor dos produtos</t>
        </is>
      </c>
    </row>
    <row r="18">
      <c r="A18" s="2" t="n">
        <v>33059000</v>
      </c>
    </row>
    <row r="19">
      <c r="A19" s="4" t="n">
        <v>33073000</v>
      </c>
    </row>
  </sheetData>
  <pageMargins left="0.511811024" right="0.511811024" top="0.787401575" bottom="0.787401575" header="0.31496062" footer="0.31496062"/>
  <tableParts count="2">
    <tablePart xmlns:r="http://schemas.openxmlformats.org/officeDocument/2006/relationships" r:id="rId1"/>
    <tablePart xmlns:r="http://schemas.openxmlformats.org/officeDocument/2006/relationships" r:id="rId2"/>
  </tableParts>
</worksheet>
</file>

<file path=customUI/customUI14.xml><?xml version="1.0" encoding="utf-8"?>
<customUI xmlns="http://schemas.microsoft.com/office/2009/07/customui">
  <ribbon>
    <tabs>
      <tab id="customTab" label="Contili Contabilidade">
        <!-- Grupo: Importar -->
        <group id="group_Importar" label="Importar">
          <button id="btn_ImportarXML" label="Importar XML" imageMso="FileImport" size="large" onAction="ImportarVariosXMLs" screentip="Importar múltiplos arquivos XML" supertip="Clique para iniciar a importação de arquivos XML das Notas Fiscais."/>
        </group>
        <!-- Grupo: Análise Dados -->
        <group id="group_AnaliseDados" label="Análise Dados">
          <button id="btn_CEMEDPMC" label="CEMED - PMC" imageMso="FindTaggedNotes" onAction="CEMEDConexaoExcel1" screentip="PMC da tabela CEMED atual" supertip="Coletar o PMC da tabela CEMED, lembre de baixa-la e indica-la antes"/>
          <button id="btn_MVAProduto" label="MVA - Produto" imageMso="MailMergeFindRecipient" onAction="CadastroProduto_SQL" screentip="MVA do NOSSO cadastro de produtos" supertip="coleta MVA do nosso cadastro de produtos"/>
        </group>
        <!-- Grupo: Gestão Planilha -->
        <group id="group_GestaoPlanilha" label="Gestão Planilha">
          <button id="btn_ExcluirNFE" label="Excluir NFE" imageMso="Delete" onAction="ExcluirNotaFiscal"/>
          <button id="btn_ProximoMes" label="Próximo Mês" imageMso="Next" onAction="PrepararProximoMes"/>
          <button id="btn_PrepararFiscal" label="Preparar Fiscal" imageMso="TableAnalysisToolsInsertSlicer" onAction="PrepararFiscal"/>
          <button id="btn_AtualizarMVAProd" label="Atualizar Cadastro Produtos" imageMso="Refresh" onAction="AtualizarCadastroProdutos_SQL" screentip="Atualiza MVA de novos produtos" supertip="Atualiza no cadaastro novos produtos (MVA)"/>
          <button id="btn_ArquivoCemed" label="Arquivo CEMED" imageMso="Refresh" onAction="Arquivo_Cemed_Menu"/>
          <button id="btn_ListaCemed" label="Download Lista CEMED" imageMso="Refresh" onAction="AbrirListaDePrecosCEMED"/>
        </group>
        <!-- Grupo: Novo -->
        <group id="group_Novo" label="Novo">
          <button id="btn_Novo" label="Novo" imageMso="NewDocument" onAction="Novo"/>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luzemir barbosa</dc:creator>
  <dcterms:created xmlns:dcterms="http://purl.org/dc/terms/" xmlns:xsi="http://www.w3.org/2001/XMLSchema-instance" xsi:type="dcterms:W3CDTF">2024-12-22T23:48:54Z</dcterms:created>
  <dcterms:modified xmlns:dcterms="http://purl.org/dc/terms/" xmlns:xsi="http://www.w3.org/2001/XMLSchema-instance" xsi:type="dcterms:W3CDTF">2026-07-06T19:26:05Z</dcterms:modified>
  <cp:lastModifiedBy>Contili</cp:lastModifiedBy>
  <cp:lastPrinted>2025-11-07T20:22:20Z</cp:lastPrinted>
</cp:coreProperties>
</file>